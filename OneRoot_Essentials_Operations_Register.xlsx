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hilipboakye/Documents/OneRoot Expense Register/outputs/oneroot-essentials-register/"/>
    </mc:Choice>
  </mc:AlternateContent>
  <xr:revisionPtr revIDLastSave="0" documentId="13_ncr:1_{F714EB7E-DC00-A846-8D56-20AF12C2D0AC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Summary" sheetId="1" r:id="rId1"/>
    <sheet name="Expenses" sheetId="2" r:id="rId2"/>
    <sheet name="Budget_Planner" sheetId="3" r:id="rId3"/>
    <sheet name="Daily_Sales" sheetId="4" r:id="rId4"/>
    <sheet name="Apartments" sheetId="5" r:id="rId5"/>
    <sheet name="Petty_Cash" sheetId="6" r:id="rId6"/>
    <sheet name="Petty_Cash_Budget" sheetId="7" r:id="rId7"/>
    <sheet name="Lis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0" i="6" l="1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AJ300" i="5"/>
  <c r="AK300" i="5" s="1"/>
  <c r="AJ299" i="5"/>
  <c r="AK299" i="5" s="1"/>
  <c r="AJ298" i="5"/>
  <c r="AK298" i="5" s="1"/>
  <c r="AJ297" i="5"/>
  <c r="AK297" i="5" s="1"/>
  <c r="AJ296" i="5"/>
  <c r="AK296" i="5" s="1"/>
  <c r="AJ295" i="5"/>
  <c r="AK295" i="5" s="1"/>
  <c r="AJ294" i="5"/>
  <c r="AK294" i="5" s="1"/>
  <c r="AJ293" i="5"/>
  <c r="AK293" i="5" s="1"/>
  <c r="AJ292" i="5"/>
  <c r="AK292" i="5" s="1"/>
  <c r="AJ291" i="5"/>
  <c r="AK291" i="5" s="1"/>
  <c r="AJ290" i="5"/>
  <c r="AK290" i="5" s="1"/>
  <c r="AJ289" i="5"/>
  <c r="AK289" i="5" s="1"/>
  <c r="AJ288" i="5"/>
  <c r="AK288" i="5" s="1"/>
  <c r="AJ287" i="5"/>
  <c r="AK287" i="5" s="1"/>
  <c r="AJ286" i="5"/>
  <c r="AK286" i="5" s="1"/>
  <c r="AJ285" i="5"/>
  <c r="AK285" i="5" s="1"/>
  <c r="AJ284" i="5"/>
  <c r="AK284" i="5" s="1"/>
  <c r="AJ283" i="5"/>
  <c r="AK283" i="5" s="1"/>
  <c r="AJ282" i="5"/>
  <c r="AK282" i="5" s="1"/>
  <c r="AJ281" i="5"/>
  <c r="AK281" i="5" s="1"/>
  <c r="AJ280" i="5"/>
  <c r="AK280" i="5" s="1"/>
  <c r="AJ279" i="5"/>
  <c r="AK279" i="5" s="1"/>
  <c r="AJ278" i="5"/>
  <c r="AK278" i="5" s="1"/>
  <c r="AJ277" i="5"/>
  <c r="AK277" i="5" s="1"/>
  <c r="AJ276" i="5"/>
  <c r="AK276" i="5" s="1"/>
  <c r="AJ275" i="5"/>
  <c r="AK275" i="5" s="1"/>
  <c r="AJ274" i="5"/>
  <c r="AK274" i="5" s="1"/>
  <c r="AJ273" i="5"/>
  <c r="AK273" i="5" s="1"/>
  <c r="AJ272" i="5"/>
  <c r="AK272" i="5" s="1"/>
  <c r="AJ271" i="5"/>
  <c r="AK271" i="5" s="1"/>
  <c r="AJ270" i="5"/>
  <c r="AK270" i="5" s="1"/>
  <c r="AJ269" i="5"/>
  <c r="AK269" i="5" s="1"/>
  <c r="AJ268" i="5"/>
  <c r="AK268" i="5" s="1"/>
  <c r="AJ267" i="5"/>
  <c r="AK267" i="5" s="1"/>
  <c r="AJ266" i="5"/>
  <c r="AK266" i="5" s="1"/>
  <c r="AJ265" i="5"/>
  <c r="AK265" i="5" s="1"/>
  <c r="AJ264" i="5"/>
  <c r="AK264" i="5" s="1"/>
  <c r="AJ263" i="5"/>
  <c r="AK263" i="5" s="1"/>
  <c r="AJ262" i="5"/>
  <c r="AK262" i="5" s="1"/>
  <c r="AJ261" i="5"/>
  <c r="AK261" i="5" s="1"/>
  <c r="AJ260" i="5"/>
  <c r="AK260" i="5" s="1"/>
  <c r="AJ259" i="5"/>
  <c r="AK259" i="5" s="1"/>
  <c r="AJ258" i="5"/>
  <c r="AK258" i="5" s="1"/>
  <c r="AJ257" i="5"/>
  <c r="AK257" i="5" s="1"/>
  <c r="AJ256" i="5"/>
  <c r="AK256" i="5" s="1"/>
  <c r="AJ255" i="5"/>
  <c r="AK255" i="5" s="1"/>
  <c r="AJ254" i="5"/>
  <c r="AK254" i="5" s="1"/>
  <c r="AJ253" i="5"/>
  <c r="AK253" i="5" s="1"/>
  <c r="AJ252" i="5"/>
  <c r="AK252" i="5" s="1"/>
  <c r="AJ251" i="5"/>
  <c r="AK251" i="5" s="1"/>
  <c r="AJ250" i="5"/>
  <c r="AK250" i="5" s="1"/>
  <c r="AJ249" i="5"/>
  <c r="AK249" i="5" s="1"/>
  <c r="AJ248" i="5"/>
  <c r="AK248" i="5" s="1"/>
  <c r="AJ247" i="5"/>
  <c r="AK247" i="5" s="1"/>
  <c r="AJ246" i="5"/>
  <c r="AK246" i="5" s="1"/>
  <c r="AJ245" i="5"/>
  <c r="AK245" i="5" s="1"/>
  <c r="AJ244" i="5"/>
  <c r="AK244" i="5" s="1"/>
  <c r="AJ243" i="5"/>
  <c r="AK243" i="5" s="1"/>
  <c r="AJ242" i="5"/>
  <c r="AK242" i="5" s="1"/>
  <c r="AJ241" i="5"/>
  <c r="AK241" i="5" s="1"/>
  <c r="AJ240" i="5"/>
  <c r="AK240" i="5" s="1"/>
  <c r="AJ239" i="5"/>
  <c r="AK239" i="5" s="1"/>
  <c r="AJ238" i="5"/>
  <c r="AK238" i="5" s="1"/>
  <c r="AJ237" i="5"/>
  <c r="AK237" i="5" s="1"/>
  <c r="AJ236" i="5"/>
  <c r="AK236" i="5" s="1"/>
  <c r="AJ235" i="5"/>
  <c r="AK235" i="5" s="1"/>
  <c r="AJ234" i="5"/>
  <c r="AK234" i="5" s="1"/>
  <c r="AJ233" i="5"/>
  <c r="AK233" i="5" s="1"/>
  <c r="AJ232" i="5"/>
  <c r="AK232" i="5" s="1"/>
  <c r="AJ231" i="5"/>
  <c r="AK231" i="5" s="1"/>
  <c r="AJ230" i="5"/>
  <c r="AK230" i="5" s="1"/>
  <c r="AJ229" i="5"/>
  <c r="AK229" i="5" s="1"/>
  <c r="AJ228" i="5"/>
  <c r="AK228" i="5" s="1"/>
  <c r="AJ227" i="5"/>
  <c r="AK227" i="5" s="1"/>
  <c r="AJ226" i="5"/>
  <c r="AK226" i="5" s="1"/>
  <c r="AJ225" i="5"/>
  <c r="AK225" i="5" s="1"/>
  <c r="AJ224" i="5"/>
  <c r="AK224" i="5" s="1"/>
  <c r="AJ223" i="5"/>
  <c r="AK223" i="5" s="1"/>
  <c r="AJ222" i="5"/>
  <c r="AK222" i="5" s="1"/>
  <c r="AJ221" i="5"/>
  <c r="AK221" i="5" s="1"/>
  <c r="AJ220" i="5"/>
  <c r="AK220" i="5" s="1"/>
  <c r="AJ219" i="5"/>
  <c r="AK219" i="5" s="1"/>
  <c r="AJ218" i="5"/>
  <c r="AK218" i="5" s="1"/>
  <c r="AJ217" i="5"/>
  <c r="AK217" i="5" s="1"/>
  <c r="AJ216" i="5"/>
  <c r="AK216" i="5" s="1"/>
  <c r="AJ215" i="5"/>
  <c r="AK215" i="5" s="1"/>
  <c r="AJ214" i="5"/>
  <c r="AK214" i="5" s="1"/>
  <c r="AJ213" i="5"/>
  <c r="AK213" i="5" s="1"/>
  <c r="AJ212" i="5"/>
  <c r="AK212" i="5" s="1"/>
  <c r="AJ211" i="5"/>
  <c r="AK211" i="5" s="1"/>
  <c r="AJ210" i="5"/>
  <c r="AK210" i="5" s="1"/>
  <c r="AJ209" i="5"/>
  <c r="AK209" i="5" s="1"/>
  <c r="AJ208" i="5"/>
  <c r="AK208" i="5" s="1"/>
  <c r="AJ207" i="5"/>
  <c r="AK207" i="5" s="1"/>
  <c r="AJ206" i="5"/>
  <c r="AK206" i="5" s="1"/>
  <c r="AJ205" i="5"/>
  <c r="AK205" i="5" s="1"/>
  <c r="AJ204" i="5"/>
  <c r="AK204" i="5" s="1"/>
  <c r="AJ203" i="5"/>
  <c r="AK203" i="5" s="1"/>
  <c r="AJ202" i="5"/>
  <c r="AK202" i="5" s="1"/>
  <c r="AJ201" i="5"/>
  <c r="AK201" i="5" s="1"/>
  <c r="AJ200" i="5"/>
  <c r="AK200" i="5" s="1"/>
  <c r="AJ199" i="5"/>
  <c r="AK199" i="5" s="1"/>
  <c r="AJ198" i="5"/>
  <c r="AK198" i="5" s="1"/>
  <c r="AJ197" i="5"/>
  <c r="AK197" i="5" s="1"/>
  <c r="AJ196" i="5"/>
  <c r="AK196" i="5" s="1"/>
  <c r="AJ195" i="5"/>
  <c r="AK195" i="5" s="1"/>
  <c r="AJ194" i="5"/>
  <c r="AK194" i="5" s="1"/>
  <c r="AJ193" i="5"/>
  <c r="AK193" i="5" s="1"/>
  <c r="AJ192" i="5"/>
  <c r="AK192" i="5" s="1"/>
  <c r="AJ191" i="5"/>
  <c r="AK191" i="5" s="1"/>
  <c r="AJ190" i="5"/>
  <c r="AK190" i="5" s="1"/>
  <c r="AJ189" i="5"/>
  <c r="AK189" i="5" s="1"/>
  <c r="AJ188" i="5"/>
  <c r="AK188" i="5" s="1"/>
  <c r="AJ187" i="5"/>
  <c r="AK187" i="5" s="1"/>
  <c r="AJ186" i="5"/>
  <c r="AK186" i="5" s="1"/>
  <c r="AJ185" i="5"/>
  <c r="AK185" i="5" s="1"/>
  <c r="AJ184" i="5"/>
  <c r="AK184" i="5" s="1"/>
  <c r="AJ183" i="5"/>
  <c r="AK183" i="5" s="1"/>
  <c r="AJ182" i="5"/>
  <c r="AK182" i="5" s="1"/>
  <c r="AJ181" i="5"/>
  <c r="AK181" i="5" s="1"/>
  <c r="AJ180" i="5"/>
  <c r="AK180" i="5" s="1"/>
  <c r="AJ179" i="5"/>
  <c r="AK179" i="5" s="1"/>
  <c r="AJ178" i="5"/>
  <c r="AK178" i="5" s="1"/>
  <c r="AJ177" i="5"/>
  <c r="AK177" i="5" s="1"/>
  <c r="AJ176" i="5"/>
  <c r="AK176" i="5" s="1"/>
  <c r="AJ175" i="5"/>
  <c r="AK175" i="5" s="1"/>
  <c r="AJ174" i="5"/>
  <c r="AK174" i="5" s="1"/>
  <c r="AJ173" i="5"/>
  <c r="AK173" i="5" s="1"/>
  <c r="AJ172" i="5"/>
  <c r="AK172" i="5" s="1"/>
  <c r="AJ171" i="5"/>
  <c r="AK171" i="5" s="1"/>
  <c r="AJ170" i="5"/>
  <c r="AK170" i="5" s="1"/>
  <c r="AJ169" i="5"/>
  <c r="AK169" i="5" s="1"/>
  <c r="AJ168" i="5"/>
  <c r="AK168" i="5" s="1"/>
  <c r="AJ167" i="5"/>
  <c r="AK167" i="5" s="1"/>
  <c r="AJ166" i="5"/>
  <c r="AK166" i="5" s="1"/>
  <c r="AJ165" i="5"/>
  <c r="AK165" i="5" s="1"/>
  <c r="AJ164" i="5"/>
  <c r="AK164" i="5" s="1"/>
  <c r="AJ163" i="5"/>
  <c r="AK163" i="5" s="1"/>
  <c r="AJ162" i="5"/>
  <c r="AK162" i="5" s="1"/>
  <c r="AJ161" i="5"/>
  <c r="AK161" i="5" s="1"/>
  <c r="AJ160" i="5"/>
  <c r="AK160" i="5" s="1"/>
  <c r="AJ159" i="5"/>
  <c r="AK159" i="5" s="1"/>
  <c r="AJ158" i="5"/>
  <c r="AK158" i="5" s="1"/>
  <c r="AJ157" i="5"/>
  <c r="AK157" i="5" s="1"/>
  <c r="AJ156" i="5"/>
  <c r="AK156" i="5" s="1"/>
  <c r="AJ155" i="5"/>
  <c r="AK155" i="5" s="1"/>
  <c r="AJ154" i="5"/>
  <c r="AK154" i="5" s="1"/>
  <c r="AJ153" i="5"/>
  <c r="AK153" i="5" s="1"/>
  <c r="AJ152" i="5"/>
  <c r="AK152" i="5" s="1"/>
  <c r="AJ151" i="5"/>
  <c r="AK151" i="5" s="1"/>
  <c r="AJ150" i="5"/>
  <c r="AK150" i="5" s="1"/>
  <c r="AJ149" i="5"/>
  <c r="AK149" i="5" s="1"/>
  <c r="AJ148" i="5"/>
  <c r="AK148" i="5" s="1"/>
  <c r="AJ147" i="5"/>
  <c r="AK147" i="5" s="1"/>
  <c r="AJ146" i="5"/>
  <c r="AK146" i="5" s="1"/>
  <c r="AJ145" i="5"/>
  <c r="AK145" i="5" s="1"/>
  <c r="AJ144" i="5"/>
  <c r="AK144" i="5" s="1"/>
  <c r="AJ143" i="5"/>
  <c r="AK143" i="5" s="1"/>
  <c r="AJ142" i="5"/>
  <c r="AK142" i="5" s="1"/>
  <c r="AJ141" i="5"/>
  <c r="AK141" i="5" s="1"/>
  <c r="AJ140" i="5"/>
  <c r="AK140" i="5" s="1"/>
  <c r="AJ139" i="5"/>
  <c r="AK139" i="5" s="1"/>
  <c r="AJ138" i="5"/>
  <c r="AK138" i="5" s="1"/>
  <c r="AJ137" i="5"/>
  <c r="AK137" i="5" s="1"/>
  <c r="AJ136" i="5"/>
  <c r="AK136" i="5" s="1"/>
  <c r="AJ135" i="5"/>
  <c r="AK135" i="5" s="1"/>
  <c r="AJ134" i="5"/>
  <c r="AK134" i="5" s="1"/>
  <c r="AJ133" i="5"/>
  <c r="AK133" i="5" s="1"/>
  <c r="AJ132" i="5"/>
  <c r="AK132" i="5" s="1"/>
  <c r="AJ131" i="5"/>
  <c r="AK131" i="5" s="1"/>
  <c r="AJ130" i="5"/>
  <c r="AK130" i="5" s="1"/>
  <c r="AJ129" i="5"/>
  <c r="AK129" i="5" s="1"/>
  <c r="AJ128" i="5"/>
  <c r="AK128" i="5" s="1"/>
  <c r="AJ127" i="5"/>
  <c r="AK127" i="5" s="1"/>
  <c r="AJ126" i="5"/>
  <c r="AK126" i="5" s="1"/>
  <c r="AJ125" i="5"/>
  <c r="AK125" i="5" s="1"/>
  <c r="AJ124" i="5"/>
  <c r="AK124" i="5" s="1"/>
  <c r="AJ123" i="5"/>
  <c r="AK123" i="5" s="1"/>
  <c r="AJ122" i="5"/>
  <c r="AK122" i="5" s="1"/>
  <c r="AJ121" i="5"/>
  <c r="AK121" i="5" s="1"/>
  <c r="AJ120" i="5"/>
  <c r="AK120" i="5" s="1"/>
  <c r="AJ119" i="5"/>
  <c r="AK119" i="5" s="1"/>
  <c r="AJ118" i="5"/>
  <c r="AK118" i="5" s="1"/>
  <c r="AJ117" i="5"/>
  <c r="AK117" i="5" s="1"/>
  <c r="AJ116" i="5"/>
  <c r="AK116" i="5" s="1"/>
  <c r="AJ115" i="5"/>
  <c r="AK115" i="5" s="1"/>
  <c r="AJ114" i="5"/>
  <c r="AK114" i="5" s="1"/>
  <c r="AJ113" i="5"/>
  <c r="AK113" i="5" s="1"/>
  <c r="AJ112" i="5"/>
  <c r="AK112" i="5" s="1"/>
  <c r="AJ111" i="5"/>
  <c r="AK111" i="5" s="1"/>
  <c r="AJ110" i="5"/>
  <c r="AK110" i="5" s="1"/>
  <c r="AJ109" i="5"/>
  <c r="AK109" i="5" s="1"/>
  <c r="AJ108" i="5"/>
  <c r="AK108" i="5" s="1"/>
  <c r="AJ107" i="5"/>
  <c r="AK107" i="5" s="1"/>
  <c r="AJ106" i="5"/>
  <c r="AK106" i="5" s="1"/>
  <c r="AJ105" i="5"/>
  <c r="AK105" i="5" s="1"/>
  <c r="AJ104" i="5"/>
  <c r="AK104" i="5" s="1"/>
  <c r="AJ103" i="5"/>
  <c r="AK103" i="5" s="1"/>
  <c r="AJ102" i="5"/>
  <c r="AK102" i="5" s="1"/>
  <c r="AJ101" i="5"/>
  <c r="AK101" i="5" s="1"/>
  <c r="AJ100" i="5"/>
  <c r="AK100" i="5" s="1"/>
  <c r="AJ99" i="5"/>
  <c r="AK99" i="5" s="1"/>
  <c r="AJ98" i="5"/>
  <c r="AK98" i="5" s="1"/>
  <c r="AJ97" i="5"/>
  <c r="AK97" i="5" s="1"/>
  <c r="AJ96" i="5"/>
  <c r="AK96" i="5" s="1"/>
  <c r="AJ95" i="5"/>
  <c r="AK95" i="5" s="1"/>
  <c r="AJ94" i="5"/>
  <c r="AK94" i="5" s="1"/>
  <c r="AJ93" i="5"/>
  <c r="AK93" i="5" s="1"/>
  <c r="AJ92" i="5"/>
  <c r="AK92" i="5" s="1"/>
  <c r="AJ91" i="5"/>
  <c r="AK91" i="5" s="1"/>
  <c r="AJ90" i="5"/>
  <c r="AK90" i="5" s="1"/>
  <c r="AJ89" i="5"/>
  <c r="AK89" i="5" s="1"/>
  <c r="AJ88" i="5"/>
  <c r="AK88" i="5" s="1"/>
  <c r="AJ87" i="5"/>
  <c r="AK87" i="5" s="1"/>
  <c r="AJ86" i="5"/>
  <c r="AK86" i="5" s="1"/>
  <c r="AJ85" i="5"/>
  <c r="AK85" i="5" s="1"/>
  <c r="AJ84" i="5"/>
  <c r="AK84" i="5" s="1"/>
  <c r="AJ83" i="5"/>
  <c r="AK83" i="5" s="1"/>
  <c r="AJ82" i="5"/>
  <c r="AK82" i="5" s="1"/>
  <c r="AJ81" i="5"/>
  <c r="AK81" i="5" s="1"/>
  <c r="AJ80" i="5"/>
  <c r="AK80" i="5" s="1"/>
  <c r="AJ79" i="5"/>
  <c r="AK79" i="5" s="1"/>
  <c r="AJ78" i="5"/>
  <c r="AK78" i="5" s="1"/>
  <c r="AJ77" i="5"/>
  <c r="AK77" i="5" s="1"/>
  <c r="AJ76" i="5"/>
  <c r="AK76" i="5" s="1"/>
  <c r="AJ75" i="5"/>
  <c r="AK75" i="5" s="1"/>
  <c r="AJ74" i="5"/>
  <c r="AK74" i="5" s="1"/>
  <c r="AJ73" i="5"/>
  <c r="AK73" i="5" s="1"/>
  <c r="AJ72" i="5"/>
  <c r="AK72" i="5" s="1"/>
  <c r="AJ71" i="5"/>
  <c r="AK71" i="5" s="1"/>
  <c r="AJ70" i="5"/>
  <c r="AK70" i="5" s="1"/>
  <c r="AJ69" i="5"/>
  <c r="AK69" i="5" s="1"/>
  <c r="AJ68" i="5"/>
  <c r="AK68" i="5" s="1"/>
  <c r="AJ67" i="5"/>
  <c r="AK67" i="5" s="1"/>
  <c r="AJ66" i="5"/>
  <c r="AK66" i="5" s="1"/>
  <c r="AJ65" i="5"/>
  <c r="AK65" i="5" s="1"/>
  <c r="AJ64" i="5"/>
  <c r="AK64" i="5" s="1"/>
  <c r="AJ63" i="5"/>
  <c r="AK63" i="5" s="1"/>
  <c r="AJ62" i="5"/>
  <c r="AK62" i="5" s="1"/>
  <c r="AJ61" i="5"/>
  <c r="AK61" i="5" s="1"/>
  <c r="AJ60" i="5"/>
  <c r="AK60" i="5" s="1"/>
  <c r="AJ59" i="5"/>
  <c r="AK59" i="5" s="1"/>
  <c r="AJ58" i="5"/>
  <c r="AK58" i="5" s="1"/>
  <c r="AJ57" i="5"/>
  <c r="AK57" i="5" s="1"/>
  <c r="AJ56" i="5"/>
  <c r="AK56" i="5" s="1"/>
  <c r="AJ55" i="5"/>
  <c r="AK55" i="5" s="1"/>
  <c r="AJ54" i="5"/>
  <c r="AK54" i="5" s="1"/>
  <c r="AJ53" i="5"/>
  <c r="AK53" i="5" s="1"/>
  <c r="AJ52" i="5"/>
  <c r="AK52" i="5" s="1"/>
  <c r="AJ51" i="5"/>
  <c r="AK51" i="5" s="1"/>
  <c r="AJ50" i="5"/>
  <c r="AK50" i="5" s="1"/>
  <c r="AJ49" i="5"/>
  <c r="AK49" i="5" s="1"/>
  <c r="AJ48" i="5"/>
  <c r="AK48" i="5" s="1"/>
  <c r="AJ47" i="5"/>
  <c r="AK47" i="5" s="1"/>
  <c r="AJ46" i="5"/>
  <c r="AK46" i="5" s="1"/>
  <c r="AJ45" i="5"/>
  <c r="AK45" i="5" s="1"/>
  <c r="AJ44" i="5"/>
  <c r="AK44" i="5" s="1"/>
  <c r="AJ43" i="5"/>
  <c r="AK43" i="5" s="1"/>
  <c r="AJ42" i="5"/>
  <c r="AK42" i="5" s="1"/>
  <c r="AJ41" i="5"/>
  <c r="AK41" i="5" s="1"/>
  <c r="AJ40" i="5"/>
  <c r="AK40" i="5" s="1"/>
  <c r="AJ39" i="5"/>
  <c r="AK39" i="5" s="1"/>
  <c r="AJ38" i="5"/>
  <c r="AK38" i="5" s="1"/>
  <c r="AJ37" i="5"/>
  <c r="AK37" i="5" s="1"/>
  <c r="AJ36" i="5"/>
  <c r="AK36" i="5" s="1"/>
  <c r="AJ35" i="5"/>
  <c r="AK35" i="5" s="1"/>
  <c r="AJ34" i="5"/>
  <c r="AK34" i="5" s="1"/>
  <c r="AJ33" i="5"/>
  <c r="AK33" i="5" s="1"/>
  <c r="AJ32" i="5"/>
  <c r="AK32" i="5" s="1"/>
  <c r="AJ31" i="5"/>
  <c r="AK31" i="5" s="1"/>
  <c r="AJ30" i="5"/>
  <c r="AK30" i="5" s="1"/>
  <c r="AJ29" i="5"/>
  <c r="AK29" i="5" s="1"/>
  <c r="AJ28" i="5"/>
  <c r="AK28" i="5" s="1"/>
  <c r="AJ27" i="5"/>
  <c r="AK27" i="5" s="1"/>
  <c r="AJ26" i="5"/>
  <c r="AK26" i="5" s="1"/>
  <c r="AJ25" i="5"/>
  <c r="AK25" i="5" s="1"/>
  <c r="AJ24" i="5"/>
  <c r="AK24" i="5" s="1"/>
  <c r="AJ23" i="5"/>
  <c r="AK23" i="5" s="1"/>
  <c r="AJ22" i="5"/>
  <c r="AK22" i="5" s="1"/>
  <c r="AJ21" i="5"/>
  <c r="AK21" i="5" s="1"/>
  <c r="AJ20" i="5"/>
  <c r="AK20" i="5" s="1"/>
  <c r="AJ19" i="5"/>
  <c r="AK19" i="5" s="1"/>
  <c r="AJ18" i="5"/>
  <c r="AK18" i="5" s="1"/>
  <c r="AJ17" i="5"/>
  <c r="AK17" i="5" s="1"/>
  <c r="AJ16" i="5"/>
  <c r="AK16" i="5" s="1"/>
  <c r="AJ15" i="5"/>
  <c r="AK15" i="5" s="1"/>
  <c r="AJ14" i="5"/>
  <c r="AK14" i="5" s="1"/>
  <c r="AJ13" i="5"/>
  <c r="AK13" i="5" s="1"/>
  <c r="AJ12" i="5"/>
  <c r="AK12" i="5" s="1"/>
  <c r="AJ11" i="5"/>
  <c r="AK11" i="5" s="1"/>
  <c r="AJ10" i="5"/>
  <c r="AK10" i="5" s="1"/>
  <c r="AJ9" i="5"/>
  <c r="AK9" i="5" s="1"/>
  <c r="AJ8" i="5"/>
  <c r="AK8" i="5" s="1"/>
  <c r="AJ7" i="5"/>
  <c r="AK7" i="5" s="1"/>
  <c r="AJ6" i="5"/>
  <c r="AK6" i="5" s="1"/>
  <c r="AJ5" i="5"/>
  <c r="AK5" i="5" s="1"/>
  <c r="AJ4" i="5"/>
  <c r="AK4" i="5" s="1"/>
  <c r="AJ3" i="5"/>
  <c r="AK3" i="5" s="1"/>
  <c r="AJ2" i="5"/>
  <c r="AK2" i="5" s="1"/>
  <c r="E300" i="3"/>
  <c r="F300" i="3" s="1"/>
  <c r="E299" i="3"/>
  <c r="F299" i="3" s="1"/>
  <c r="E298" i="3"/>
  <c r="F298" i="3" s="1"/>
  <c r="E297" i="3"/>
  <c r="F297" i="3" s="1"/>
  <c r="E296" i="3"/>
  <c r="F296" i="3" s="1"/>
  <c r="E295" i="3"/>
  <c r="F295" i="3" s="1"/>
  <c r="E294" i="3"/>
  <c r="F294" i="3" s="1"/>
  <c r="E293" i="3"/>
  <c r="F293" i="3" s="1"/>
  <c r="E292" i="3"/>
  <c r="F292" i="3" s="1"/>
  <c r="E291" i="3"/>
  <c r="F291" i="3" s="1"/>
  <c r="E290" i="3"/>
  <c r="F290" i="3" s="1"/>
  <c r="E289" i="3"/>
  <c r="F289" i="3" s="1"/>
  <c r="E288" i="3"/>
  <c r="F288" i="3" s="1"/>
  <c r="E287" i="3"/>
  <c r="F287" i="3" s="1"/>
  <c r="E286" i="3"/>
  <c r="F286" i="3" s="1"/>
  <c r="E285" i="3"/>
  <c r="F285" i="3" s="1"/>
  <c r="E284" i="3"/>
  <c r="F284" i="3" s="1"/>
  <c r="E283" i="3"/>
  <c r="F283" i="3" s="1"/>
  <c r="E282" i="3"/>
  <c r="F282" i="3" s="1"/>
  <c r="E281" i="3"/>
  <c r="F281" i="3" s="1"/>
  <c r="E280" i="3"/>
  <c r="F280" i="3" s="1"/>
  <c r="E279" i="3"/>
  <c r="F279" i="3" s="1"/>
  <c r="E278" i="3"/>
  <c r="F278" i="3" s="1"/>
  <c r="E277" i="3"/>
  <c r="F277" i="3" s="1"/>
  <c r="E276" i="3"/>
  <c r="F276" i="3" s="1"/>
  <c r="E275" i="3"/>
  <c r="F275" i="3" s="1"/>
  <c r="E274" i="3"/>
  <c r="F274" i="3" s="1"/>
  <c r="E273" i="3"/>
  <c r="F273" i="3" s="1"/>
  <c r="E272" i="3"/>
  <c r="F272" i="3" s="1"/>
  <c r="E271" i="3"/>
  <c r="F271" i="3" s="1"/>
  <c r="E270" i="3"/>
  <c r="F270" i="3" s="1"/>
  <c r="E269" i="3"/>
  <c r="F269" i="3" s="1"/>
  <c r="E268" i="3"/>
  <c r="F268" i="3" s="1"/>
  <c r="E267" i="3"/>
  <c r="F267" i="3" s="1"/>
  <c r="E266" i="3"/>
  <c r="F266" i="3" s="1"/>
  <c r="E265" i="3"/>
  <c r="F265" i="3" s="1"/>
  <c r="E264" i="3"/>
  <c r="F264" i="3" s="1"/>
  <c r="E263" i="3"/>
  <c r="F263" i="3" s="1"/>
  <c r="E262" i="3"/>
  <c r="F262" i="3" s="1"/>
  <c r="E261" i="3"/>
  <c r="F261" i="3" s="1"/>
  <c r="E260" i="3"/>
  <c r="F260" i="3" s="1"/>
  <c r="E259" i="3"/>
  <c r="F259" i="3" s="1"/>
  <c r="E258" i="3"/>
  <c r="F258" i="3" s="1"/>
  <c r="E257" i="3"/>
  <c r="F257" i="3" s="1"/>
  <c r="E256" i="3"/>
  <c r="F256" i="3" s="1"/>
  <c r="E255" i="3"/>
  <c r="F255" i="3" s="1"/>
  <c r="E254" i="3"/>
  <c r="F254" i="3" s="1"/>
  <c r="E253" i="3"/>
  <c r="F253" i="3" s="1"/>
  <c r="E252" i="3"/>
  <c r="F252" i="3" s="1"/>
  <c r="E251" i="3"/>
  <c r="F251" i="3" s="1"/>
  <c r="E250" i="3"/>
  <c r="F250" i="3" s="1"/>
  <c r="E249" i="3"/>
  <c r="F249" i="3" s="1"/>
  <c r="E248" i="3"/>
  <c r="F248" i="3" s="1"/>
  <c r="E247" i="3"/>
  <c r="F247" i="3" s="1"/>
  <c r="E246" i="3"/>
  <c r="F246" i="3" s="1"/>
  <c r="E245" i="3"/>
  <c r="F245" i="3" s="1"/>
  <c r="E244" i="3"/>
  <c r="F244" i="3" s="1"/>
  <c r="E243" i="3"/>
  <c r="F243" i="3" s="1"/>
  <c r="E242" i="3"/>
  <c r="F242" i="3" s="1"/>
  <c r="E241" i="3"/>
  <c r="F241" i="3" s="1"/>
  <c r="E240" i="3"/>
  <c r="F240" i="3" s="1"/>
  <c r="E239" i="3"/>
  <c r="F239" i="3" s="1"/>
  <c r="E238" i="3"/>
  <c r="F238" i="3" s="1"/>
  <c r="E237" i="3"/>
  <c r="F237" i="3" s="1"/>
  <c r="E236" i="3"/>
  <c r="F236" i="3" s="1"/>
  <c r="E235" i="3"/>
  <c r="F235" i="3" s="1"/>
  <c r="E234" i="3"/>
  <c r="F234" i="3" s="1"/>
  <c r="E233" i="3"/>
  <c r="F233" i="3" s="1"/>
  <c r="E232" i="3"/>
  <c r="F232" i="3" s="1"/>
  <c r="E231" i="3"/>
  <c r="F231" i="3" s="1"/>
  <c r="E230" i="3"/>
  <c r="F230" i="3" s="1"/>
  <c r="E229" i="3"/>
  <c r="F229" i="3" s="1"/>
  <c r="E228" i="3"/>
  <c r="F228" i="3" s="1"/>
  <c r="E227" i="3"/>
  <c r="F227" i="3" s="1"/>
  <c r="E226" i="3"/>
  <c r="F226" i="3" s="1"/>
  <c r="E225" i="3"/>
  <c r="F225" i="3" s="1"/>
  <c r="E224" i="3"/>
  <c r="F224" i="3" s="1"/>
  <c r="E223" i="3"/>
  <c r="F223" i="3" s="1"/>
  <c r="E222" i="3"/>
  <c r="F222" i="3" s="1"/>
  <c r="E221" i="3"/>
  <c r="F221" i="3" s="1"/>
  <c r="E220" i="3"/>
  <c r="F220" i="3" s="1"/>
  <c r="E219" i="3"/>
  <c r="F219" i="3" s="1"/>
  <c r="E218" i="3"/>
  <c r="F218" i="3" s="1"/>
  <c r="E217" i="3"/>
  <c r="F217" i="3" s="1"/>
  <c r="E216" i="3"/>
  <c r="F216" i="3" s="1"/>
  <c r="E215" i="3"/>
  <c r="F215" i="3" s="1"/>
  <c r="E214" i="3"/>
  <c r="F214" i="3" s="1"/>
  <c r="E213" i="3"/>
  <c r="F213" i="3" s="1"/>
  <c r="E212" i="3"/>
  <c r="F212" i="3" s="1"/>
  <c r="E211" i="3"/>
  <c r="F211" i="3" s="1"/>
  <c r="E210" i="3"/>
  <c r="F210" i="3" s="1"/>
  <c r="E209" i="3"/>
  <c r="F209" i="3" s="1"/>
  <c r="E208" i="3"/>
  <c r="F208" i="3" s="1"/>
  <c r="E207" i="3"/>
  <c r="F207" i="3" s="1"/>
  <c r="E206" i="3"/>
  <c r="F206" i="3" s="1"/>
  <c r="E205" i="3"/>
  <c r="F205" i="3" s="1"/>
  <c r="E204" i="3"/>
  <c r="F204" i="3" s="1"/>
  <c r="E203" i="3"/>
  <c r="F203" i="3" s="1"/>
  <c r="E202" i="3"/>
  <c r="F202" i="3" s="1"/>
  <c r="E201" i="3"/>
  <c r="F201" i="3" s="1"/>
  <c r="E200" i="3"/>
  <c r="F200" i="3" s="1"/>
  <c r="E199" i="3"/>
  <c r="F199" i="3" s="1"/>
  <c r="E198" i="3"/>
  <c r="F198" i="3" s="1"/>
  <c r="E197" i="3"/>
  <c r="F197" i="3" s="1"/>
  <c r="E196" i="3"/>
  <c r="F196" i="3" s="1"/>
  <c r="E195" i="3"/>
  <c r="F195" i="3" s="1"/>
  <c r="E194" i="3"/>
  <c r="F194" i="3" s="1"/>
  <c r="E193" i="3"/>
  <c r="F193" i="3" s="1"/>
  <c r="E192" i="3"/>
  <c r="F192" i="3" s="1"/>
  <c r="E191" i="3"/>
  <c r="F191" i="3" s="1"/>
  <c r="E190" i="3"/>
  <c r="F190" i="3" s="1"/>
  <c r="E189" i="3"/>
  <c r="F189" i="3" s="1"/>
  <c r="E188" i="3"/>
  <c r="F188" i="3" s="1"/>
  <c r="E187" i="3"/>
  <c r="F187" i="3" s="1"/>
  <c r="E186" i="3"/>
  <c r="F186" i="3" s="1"/>
  <c r="E185" i="3"/>
  <c r="F185" i="3" s="1"/>
  <c r="E184" i="3"/>
  <c r="F184" i="3" s="1"/>
  <c r="E183" i="3"/>
  <c r="F183" i="3" s="1"/>
  <c r="E182" i="3"/>
  <c r="F182" i="3" s="1"/>
  <c r="E181" i="3"/>
  <c r="F181" i="3" s="1"/>
  <c r="E180" i="3"/>
  <c r="F180" i="3" s="1"/>
  <c r="E179" i="3"/>
  <c r="F179" i="3" s="1"/>
  <c r="E178" i="3"/>
  <c r="F178" i="3" s="1"/>
  <c r="E177" i="3"/>
  <c r="F177" i="3" s="1"/>
  <c r="E176" i="3"/>
  <c r="F176" i="3" s="1"/>
  <c r="E175" i="3"/>
  <c r="F175" i="3" s="1"/>
  <c r="E174" i="3"/>
  <c r="F174" i="3" s="1"/>
  <c r="E173" i="3"/>
  <c r="F173" i="3" s="1"/>
  <c r="E172" i="3"/>
  <c r="F172" i="3" s="1"/>
  <c r="E171" i="3"/>
  <c r="F171" i="3" s="1"/>
  <c r="E170" i="3"/>
  <c r="F170" i="3" s="1"/>
  <c r="E169" i="3"/>
  <c r="F169" i="3" s="1"/>
  <c r="E168" i="3"/>
  <c r="F168" i="3" s="1"/>
  <c r="E167" i="3"/>
  <c r="F167" i="3" s="1"/>
  <c r="E166" i="3"/>
  <c r="F166" i="3" s="1"/>
  <c r="E165" i="3"/>
  <c r="F165" i="3" s="1"/>
  <c r="E164" i="3"/>
  <c r="F164" i="3" s="1"/>
  <c r="E163" i="3"/>
  <c r="F163" i="3" s="1"/>
  <c r="E162" i="3"/>
  <c r="F162" i="3" s="1"/>
  <c r="E161" i="3"/>
  <c r="F161" i="3" s="1"/>
  <c r="E160" i="3"/>
  <c r="F160" i="3" s="1"/>
  <c r="E159" i="3"/>
  <c r="F159" i="3" s="1"/>
  <c r="E158" i="3"/>
  <c r="F158" i="3" s="1"/>
  <c r="E157" i="3"/>
  <c r="F157" i="3" s="1"/>
  <c r="E156" i="3"/>
  <c r="F156" i="3" s="1"/>
  <c r="E155" i="3"/>
  <c r="F155" i="3" s="1"/>
  <c r="E154" i="3"/>
  <c r="F154" i="3" s="1"/>
  <c r="E153" i="3"/>
  <c r="F153" i="3" s="1"/>
  <c r="E152" i="3"/>
  <c r="F152" i="3" s="1"/>
  <c r="E151" i="3"/>
  <c r="F151" i="3" s="1"/>
  <c r="E150" i="3"/>
  <c r="F150" i="3" s="1"/>
  <c r="E149" i="3"/>
  <c r="F149" i="3" s="1"/>
  <c r="E148" i="3"/>
  <c r="F148" i="3" s="1"/>
  <c r="E147" i="3"/>
  <c r="F147" i="3" s="1"/>
  <c r="E146" i="3"/>
  <c r="F146" i="3" s="1"/>
  <c r="E145" i="3"/>
  <c r="F145" i="3" s="1"/>
  <c r="E144" i="3"/>
  <c r="F144" i="3" s="1"/>
  <c r="E143" i="3"/>
  <c r="F143" i="3" s="1"/>
  <c r="E142" i="3"/>
  <c r="F142" i="3" s="1"/>
  <c r="E141" i="3"/>
  <c r="F141" i="3" s="1"/>
  <c r="E140" i="3"/>
  <c r="F140" i="3" s="1"/>
  <c r="E139" i="3"/>
  <c r="F139" i="3" s="1"/>
  <c r="E138" i="3"/>
  <c r="F138" i="3" s="1"/>
  <c r="E137" i="3"/>
  <c r="F137" i="3" s="1"/>
  <c r="E136" i="3"/>
  <c r="F136" i="3" s="1"/>
  <c r="E135" i="3"/>
  <c r="F135" i="3" s="1"/>
  <c r="E134" i="3"/>
  <c r="F134" i="3" s="1"/>
  <c r="E133" i="3"/>
  <c r="F133" i="3" s="1"/>
  <c r="E132" i="3"/>
  <c r="F132" i="3" s="1"/>
  <c r="E131" i="3"/>
  <c r="F131" i="3" s="1"/>
  <c r="E130" i="3"/>
  <c r="F130" i="3" s="1"/>
  <c r="E129" i="3"/>
  <c r="F129" i="3" s="1"/>
  <c r="E128" i="3"/>
  <c r="F128" i="3" s="1"/>
  <c r="E127" i="3"/>
  <c r="F127" i="3" s="1"/>
  <c r="E126" i="3"/>
  <c r="F126" i="3" s="1"/>
  <c r="E125" i="3"/>
  <c r="F125" i="3" s="1"/>
  <c r="E124" i="3"/>
  <c r="F124" i="3" s="1"/>
  <c r="E123" i="3"/>
  <c r="F123" i="3" s="1"/>
  <c r="E122" i="3"/>
  <c r="F122" i="3" s="1"/>
  <c r="E121" i="3"/>
  <c r="F121" i="3" s="1"/>
  <c r="E120" i="3"/>
  <c r="F120" i="3" s="1"/>
  <c r="E119" i="3"/>
  <c r="F119" i="3" s="1"/>
  <c r="E118" i="3"/>
  <c r="F118" i="3" s="1"/>
  <c r="E117" i="3"/>
  <c r="F117" i="3" s="1"/>
  <c r="E116" i="3"/>
  <c r="F116" i="3" s="1"/>
  <c r="E115" i="3"/>
  <c r="F115" i="3" s="1"/>
  <c r="E114" i="3"/>
  <c r="F114" i="3" s="1"/>
  <c r="E113" i="3"/>
  <c r="F113" i="3" s="1"/>
  <c r="E112" i="3"/>
  <c r="F112" i="3" s="1"/>
  <c r="E111" i="3"/>
  <c r="F111" i="3" s="1"/>
  <c r="E110" i="3"/>
  <c r="F110" i="3" s="1"/>
  <c r="E109" i="3"/>
  <c r="F109" i="3" s="1"/>
  <c r="E108" i="3"/>
  <c r="F108" i="3" s="1"/>
  <c r="E107" i="3"/>
  <c r="F107" i="3" s="1"/>
  <c r="E106" i="3"/>
  <c r="F106" i="3" s="1"/>
  <c r="E105" i="3"/>
  <c r="F105" i="3" s="1"/>
  <c r="E104" i="3"/>
  <c r="F104" i="3" s="1"/>
  <c r="E103" i="3"/>
  <c r="F103" i="3" s="1"/>
  <c r="E102" i="3"/>
  <c r="F102" i="3" s="1"/>
  <c r="E101" i="3"/>
  <c r="F101" i="3" s="1"/>
  <c r="E100" i="3"/>
  <c r="F100" i="3" s="1"/>
  <c r="E99" i="3"/>
  <c r="F99" i="3" s="1"/>
  <c r="E98" i="3"/>
  <c r="F98" i="3" s="1"/>
  <c r="E97" i="3"/>
  <c r="F97" i="3" s="1"/>
  <c r="E96" i="3"/>
  <c r="F96" i="3" s="1"/>
  <c r="E95" i="3"/>
  <c r="F95" i="3" s="1"/>
  <c r="E94" i="3"/>
  <c r="F94" i="3" s="1"/>
  <c r="E93" i="3"/>
  <c r="F93" i="3" s="1"/>
  <c r="E92" i="3"/>
  <c r="F92" i="3" s="1"/>
  <c r="E91" i="3"/>
  <c r="F91" i="3" s="1"/>
  <c r="E90" i="3"/>
  <c r="F90" i="3" s="1"/>
  <c r="E89" i="3"/>
  <c r="F89" i="3" s="1"/>
  <c r="E88" i="3"/>
  <c r="F88" i="3" s="1"/>
  <c r="E87" i="3"/>
  <c r="F87" i="3" s="1"/>
  <c r="E86" i="3"/>
  <c r="F86" i="3" s="1"/>
  <c r="E85" i="3"/>
  <c r="F85" i="3" s="1"/>
  <c r="E84" i="3"/>
  <c r="F84" i="3" s="1"/>
  <c r="E83" i="3"/>
  <c r="F83" i="3" s="1"/>
  <c r="E82" i="3"/>
  <c r="F82" i="3" s="1"/>
  <c r="E81" i="3"/>
  <c r="F81" i="3" s="1"/>
  <c r="E80" i="3"/>
  <c r="F80" i="3" s="1"/>
  <c r="E79" i="3"/>
  <c r="F79" i="3" s="1"/>
  <c r="E78" i="3"/>
  <c r="F78" i="3" s="1"/>
  <c r="E77" i="3"/>
  <c r="F77" i="3" s="1"/>
  <c r="E76" i="3"/>
  <c r="F76" i="3" s="1"/>
  <c r="E75" i="3"/>
  <c r="F75" i="3" s="1"/>
  <c r="E74" i="3"/>
  <c r="F74" i="3" s="1"/>
  <c r="E73" i="3"/>
  <c r="F73" i="3" s="1"/>
  <c r="E72" i="3"/>
  <c r="F72" i="3" s="1"/>
  <c r="E71" i="3"/>
  <c r="F71" i="3" s="1"/>
  <c r="E70" i="3"/>
  <c r="F70" i="3" s="1"/>
  <c r="E69" i="3"/>
  <c r="F69" i="3" s="1"/>
  <c r="E68" i="3"/>
  <c r="F68" i="3" s="1"/>
  <c r="E67" i="3"/>
  <c r="F67" i="3" s="1"/>
  <c r="E66" i="3"/>
  <c r="F66" i="3" s="1"/>
  <c r="E65" i="3"/>
  <c r="F65" i="3" s="1"/>
  <c r="E64" i="3"/>
  <c r="F64" i="3" s="1"/>
  <c r="E63" i="3"/>
  <c r="F63" i="3" s="1"/>
  <c r="E62" i="3"/>
  <c r="F62" i="3" s="1"/>
  <c r="E61" i="3"/>
  <c r="F61" i="3" s="1"/>
  <c r="E60" i="3"/>
  <c r="F60" i="3" s="1"/>
  <c r="E59" i="3"/>
  <c r="F59" i="3" s="1"/>
  <c r="E58" i="3"/>
  <c r="F58" i="3" s="1"/>
  <c r="E57" i="3"/>
  <c r="F57" i="3" s="1"/>
  <c r="E56" i="3"/>
  <c r="F56" i="3" s="1"/>
  <c r="E55" i="3"/>
  <c r="F55" i="3" s="1"/>
  <c r="E54" i="3"/>
  <c r="F54" i="3" s="1"/>
  <c r="E53" i="3"/>
  <c r="F53" i="3" s="1"/>
  <c r="E52" i="3"/>
  <c r="F52" i="3" s="1"/>
  <c r="E51" i="3"/>
  <c r="F51" i="3" s="1"/>
  <c r="E50" i="3"/>
  <c r="F50" i="3" s="1"/>
  <c r="E49" i="3"/>
  <c r="F49" i="3" s="1"/>
  <c r="E48" i="3"/>
  <c r="F48" i="3" s="1"/>
  <c r="E47" i="3"/>
  <c r="F47" i="3" s="1"/>
  <c r="E46" i="3"/>
  <c r="F46" i="3" s="1"/>
  <c r="E45" i="3"/>
  <c r="F45" i="3" s="1"/>
  <c r="E44" i="3"/>
  <c r="F44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E3" i="3"/>
  <c r="F3" i="3" s="1"/>
  <c r="E2" i="3"/>
  <c r="F2" i="3" s="1"/>
  <c r="B13" i="1"/>
  <c r="B12" i="1"/>
  <c r="B11" i="1"/>
  <c r="B10" i="1"/>
  <c r="B9" i="1"/>
  <c r="B7" i="1"/>
  <c r="B6" i="1"/>
  <c r="B5" i="1"/>
  <c r="B14" i="1" l="1"/>
  <c r="B15" i="1"/>
  <c r="B8" i="1"/>
</calcChain>
</file>

<file path=xl/sharedStrings.xml><?xml version="1.0" encoding="utf-8"?>
<sst xmlns="http://schemas.openxmlformats.org/spreadsheetml/2006/main" count="277" uniqueCount="168">
  <si>
    <t>OneRoot Essentials Operations Register</t>
  </si>
  <si>
    <t>Capture expenses, daily sales, apartments, and petty cash without using business-unit columns.</t>
  </si>
  <si>
    <t>Metric</t>
  </si>
  <si>
    <t>Value</t>
  </si>
  <si>
    <t>OneRoot business areas covered</t>
  </si>
  <si>
    <t>Total Expenses</t>
  </si>
  <si>
    <t>OneRoot Water &amp; Equipment Rentals</t>
  </si>
  <si>
    <t>Expense Budgeted</t>
  </si>
  <si>
    <t>OneRoot Cold Store &amp; Groceries</t>
  </si>
  <si>
    <t>Total Daily Sales</t>
  </si>
  <si>
    <t>OneRoot Laundry Services</t>
  </si>
  <si>
    <t>Net Sales Less Expenses</t>
  </si>
  <si>
    <t>OneRoot Mobile Money Services</t>
  </si>
  <si>
    <t>Rent Due</t>
  </si>
  <si>
    <t>OneRoot Rentals &amp; Apartments</t>
  </si>
  <si>
    <t>Rent Paid</t>
  </si>
  <si>
    <t>OneRoot Fresh Foods &amp; Drinks</t>
  </si>
  <si>
    <t>Bills Paid</t>
  </si>
  <si>
    <t>OneRoot Kitchen</t>
  </si>
  <si>
    <t>Petty Cash Budgeted</t>
  </si>
  <si>
    <t>OneRoot Shared Operations</t>
  </si>
  <si>
    <t>Petty Cash Expense Paid</t>
  </si>
  <si>
    <t>Petty Cash Balance</t>
  </si>
  <si>
    <t>Petty Cash Budget Remaining</t>
  </si>
  <si>
    <t>Workbook workflow: fill Expenses, Budget_Planner, Daily_Sales, Apartments, Petty_Cash, and Petty_Cash_Budget. Dropdown columns are preloaded from Lists.</t>
  </si>
  <si>
    <t>Apartment bills captured: water bill, toilet bill, sweeping and gutter cleaning bill, and waste management bill.</t>
  </si>
  <si>
    <t>Petty cash ledger captures opening float, top-ups, expense-paid entries, cash returns, adjustments, and monthly budgets.</t>
  </si>
  <si>
    <t>Date</t>
  </si>
  <si>
    <t>Business Area</t>
  </si>
  <si>
    <t>Vendor / Payee</t>
  </si>
  <si>
    <t>Expense Type</t>
  </si>
  <si>
    <t>Description</t>
  </si>
  <si>
    <t>Payment Method</t>
  </si>
  <si>
    <t>Receipt Status</t>
  </si>
  <si>
    <t>Amount (GHS)</t>
  </si>
  <si>
    <t>Notes</t>
  </si>
  <si>
    <t>Budget Month</t>
  </si>
  <si>
    <t>Budget Amount (GHS)</t>
  </si>
  <si>
    <t>Actual Spend (GHS)</t>
  </si>
  <si>
    <t>Variance (GHS)</t>
  </si>
  <si>
    <t>Total Daily Sales (GHS)</t>
  </si>
  <si>
    <t>Billing Month</t>
  </si>
  <si>
    <t>Suite</t>
  </si>
  <si>
    <t>Status</t>
  </si>
  <si>
    <t>Tenant</t>
  </si>
  <si>
    <t>Tenant Phone</t>
  </si>
  <si>
    <t>Emergency Contact</t>
  </si>
  <si>
    <t>ID Ref</t>
  </si>
  <si>
    <t>Move-In</t>
  </si>
  <si>
    <t>Move-Out</t>
  </si>
  <si>
    <t>Rent Cycle</t>
  </si>
  <si>
    <t>Cycle Months</t>
  </si>
  <si>
    <t>Cycle Amount (GHS)</t>
  </si>
  <si>
    <t>Rent Due (GHS)</t>
  </si>
  <si>
    <t>Rent Paid (GHS)</t>
  </si>
  <si>
    <t>Coverage Start</t>
  </si>
  <si>
    <t>Coverage End</t>
  </si>
  <si>
    <t>Next Rent Due</t>
  </si>
  <si>
    <t>Renewal Date</t>
  </si>
  <si>
    <t>Rent Payment Date</t>
  </si>
  <si>
    <t>Rent Payment Method</t>
  </si>
  <si>
    <t>Rent Reference</t>
  </si>
  <si>
    <t>Water Bill (GHS)</t>
  </si>
  <si>
    <t>Toilet Bill (GHS)</t>
  </si>
  <si>
    <t>Sweeping Bill (GHS)</t>
  </si>
  <si>
    <t>Waste Bill (GHS)</t>
  </si>
  <si>
    <t>Bill Due Date</t>
  </si>
  <si>
    <t>Bills Paid (GHS)</t>
  </si>
  <si>
    <t>Bill Payment Date</t>
  </si>
  <si>
    <t>Bill Payment Method</t>
  </si>
  <si>
    <t>Bill Reference</t>
  </si>
  <si>
    <t>Arrears B/F (GHS)</t>
  </si>
  <si>
    <t>Late Fee (GHS)</t>
  </si>
  <si>
    <t>Custom Total (GHS)</t>
  </si>
  <si>
    <t>Custom Bill Items</t>
  </si>
  <si>
    <t>Total Bills Due (GHS)</t>
  </si>
  <si>
    <t>Total Balance Due (GHS)</t>
  </si>
  <si>
    <t>Transaction Type</t>
  </si>
  <si>
    <t>Payee / Purpose</t>
  </si>
  <si>
    <t>Cash Effect (GHS)</t>
  </si>
  <si>
    <t>Business Areas</t>
  </si>
  <si>
    <t>Expense Types</t>
  </si>
  <si>
    <t>Payment Methods</t>
  </si>
  <si>
    <t>Receipt Statuses</t>
  </si>
  <si>
    <t>Suites</t>
  </si>
  <si>
    <t>Petty Cash Types</t>
  </si>
  <si>
    <t>Occupancy Statuses</t>
  </si>
  <si>
    <t>Rent Cycles</t>
  </si>
  <si>
    <t>Water Stock &amp; Supply</t>
  </si>
  <si>
    <t>Bank Transfer</t>
  </si>
  <si>
    <t>Uploaded</t>
  </si>
  <si>
    <t>Peace Suite</t>
  </si>
  <si>
    <t>Opening Float</t>
  </si>
  <si>
    <t>Occupied</t>
  </si>
  <si>
    <t>6 Months</t>
  </si>
  <si>
    <t>Equipment Repairs</t>
  </si>
  <si>
    <t>Cash</t>
  </si>
  <si>
    <t>Pending</t>
  </si>
  <si>
    <t>Grace Suite</t>
  </si>
  <si>
    <t>Cash Top-up</t>
  </si>
  <si>
    <t>Vacant</t>
  </si>
  <si>
    <t>12 Months</t>
  </si>
  <si>
    <t>Fuel &amp; Delivery</t>
  </si>
  <si>
    <t>Card</t>
  </si>
  <si>
    <t>Not Required</t>
  </si>
  <si>
    <t>Joy Suite</t>
  </si>
  <si>
    <t>Expense Paid</t>
  </si>
  <si>
    <t>Reserved</t>
  </si>
  <si>
    <t>Custom</t>
  </si>
  <si>
    <t>Tools &amp; Consumables</t>
  </si>
  <si>
    <t>Mobile Money</t>
  </si>
  <si>
    <t>Hope Suite</t>
  </si>
  <si>
    <t>Cash Returned</t>
  </si>
  <si>
    <t>Under Maintenance</t>
  </si>
  <si>
    <t>Site Labour</t>
  </si>
  <si>
    <t>Cheque</t>
  </si>
  <si>
    <t>Faith Suite</t>
  </si>
  <si>
    <t>Adjustment In</t>
  </si>
  <si>
    <t>Utilities</t>
  </si>
  <si>
    <t>Petty Cash</t>
  </si>
  <si>
    <t>Love Suite</t>
  </si>
  <si>
    <t>Adjustment Out</t>
  </si>
  <si>
    <t>Marketing &amp; Promotion</t>
  </si>
  <si>
    <t>Wisdom Suite</t>
  </si>
  <si>
    <t>Professional Services</t>
  </si>
  <si>
    <t>Unity Suite</t>
  </si>
  <si>
    <t>Rent &amp; Space</t>
  </si>
  <si>
    <t>Harmony Suite</t>
  </si>
  <si>
    <t>Inventory Purchase</t>
  </si>
  <si>
    <t>Additional Suites / Common Areas</t>
  </si>
  <si>
    <t>Cold Chain Utilities</t>
  </si>
  <si>
    <t>Other / Custom</t>
  </si>
  <si>
    <t>Packaging &amp; Carrier Bags</t>
  </si>
  <si>
    <t>Delivery &amp; Transport</t>
  </si>
  <si>
    <t>Spoilage &amp; Waste</t>
  </si>
  <si>
    <t>Repairs &amp; Maintenance</t>
  </si>
  <si>
    <t>Staff Wages</t>
  </si>
  <si>
    <t>Detergents &amp; Laundry Supplies</t>
  </si>
  <si>
    <t>Machine Repairs</t>
  </si>
  <si>
    <t>Power &amp; Water</t>
  </si>
  <si>
    <t>Packaging &amp; Hangers</t>
  </si>
  <si>
    <t>Transaction Charges</t>
  </si>
  <si>
    <t>Booth Utilities</t>
  </si>
  <si>
    <t>Cash Handling &amp; Security</t>
  </si>
  <si>
    <t>Stationery &amp; Receipt Rolls</t>
  </si>
  <si>
    <t>Connectivity &amp; Data</t>
  </si>
  <si>
    <t>Licensing &amp; Fees</t>
  </si>
  <si>
    <t>Suite Maintenance</t>
  </si>
  <si>
    <t>Cleaning &amp; Housekeeping</t>
  </si>
  <si>
    <t>Linen &amp; Furnishings</t>
  </si>
  <si>
    <t>Security</t>
  </si>
  <si>
    <t>Ingredients &amp; Stock</t>
  </si>
  <si>
    <t>Food Ingredients &amp; Produce</t>
  </si>
  <si>
    <t>Packaging &amp; Cups</t>
  </si>
  <si>
    <t>Packaging &amp; Serving</t>
  </si>
  <si>
    <t>Cold Storage &amp; Ice</t>
  </si>
  <si>
    <t>Production Labour</t>
  </si>
  <si>
    <t>Cooking Fuel &amp; Gas</t>
  </si>
  <si>
    <t>Kitchen Utensils &amp; Smallware</t>
  </si>
  <si>
    <t>Cleaning &amp; Hygiene</t>
  </si>
  <si>
    <t>Office Supplies</t>
  </si>
  <si>
    <t>Software &amp; Subscriptions</t>
  </si>
  <si>
    <t>Transport</t>
  </si>
  <si>
    <t>Bank Charges</t>
  </si>
  <si>
    <t>Taxes &amp; Fees</t>
  </si>
  <si>
    <t>Erica Asare</t>
  </si>
  <si>
    <t>Emmanuella Asare</t>
  </si>
  <si>
    <t>Daniel Lamadeku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</si>
</sst>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GH₵&quot;\ #,##0.00"/>
    <numFmt numFmtId="165" formatCode="yyyy\-mm\-dd"/>
    <numFmt numFmtId="166" formatCode="mmm\ yyyy"/>
  </numFmts>
  <fonts count="6">
    <font>
      <sz val="11"/>
      <name val="Carlito"/>
    </font>
    <font>
      <b/>
      <sz val="16"/>
      <color rgb="FFFFFFFF"/>
      <name val="Carlito"/>
    </font>
    <font>
      <i/>
      <sz val="11"/>
      <color rgb="FF243228"/>
      <name val="Carlito"/>
    </font>
    <font>
      <b/>
      <sz val="11"/>
      <color rgb="FFFFFFFF"/>
      <name val="Carlito"/>
    </font>
    <font>
      <b/>
      <sz val="11"/>
      <color rgb="FF243228"/>
      <name val="Carlito"/>
    </font>
    <font>
      <sz val="11"/>
      <color rgb="FF24322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33553F"/>
      </patternFill>
    </fill>
    <fill>
      <patternFill patternType="solid">
        <fgColor rgb="FFEEF4EC"/>
      </patternFill>
    </fill>
    <fill>
      <patternFill patternType="solid">
        <fgColor rgb="FF54805C"/>
      </patternFill>
    </fill>
    <fill>
      <patternFill patternType="solid">
        <fgColor rgb="FFF7F2E8"/>
      </patternFill>
    </fill>
    <fill>
      <patternFill patternType="solid">
        <fgColor rgb="FFD9E6D7"/>
      </patternFill>
    </fill>
    <fill>
      <patternFill patternType="solid">
        <fgColor rgb="FFF0E7D7"/>
      </patternFill>
    </fill>
  </fills>
  <borders count="17">
    <border>
      <left/>
      <right/>
      <top/>
      <bottom/>
      <diagonal/>
    </border>
    <border>
      <left style="thin">
        <color rgb="FFD9E3D8"/>
      </left>
      <right/>
      <top style="thin">
        <color rgb="FFD9E3D8"/>
      </top>
      <bottom/>
      <diagonal/>
    </border>
    <border>
      <left/>
      <right style="thin">
        <color rgb="FFD9E3D8"/>
      </right>
      <top style="thin">
        <color rgb="FFD9E3D8"/>
      </top>
      <bottom/>
      <diagonal/>
    </border>
    <border>
      <left style="thin">
        <color rgb="FFD9E3D8"/>
      </left>
      <right/>
      <top/>
      <bottom/>
      <diagonal/>
    </border>
    <border>
      <left/>
      <right style="thin">
        <color rgb="FFD9E3D8"/>
      </right>
      <top/>
      <bottom/>
      <diagonal/>
    </border>
    <border>
      <left style="thin">
        <color rgb="FFD9E3D8"/>
      </left>
      <right/>
      <top/>
      <bottom style="thin">
        <color rgb="FFD9E3D8"/>
      </bottom>
      <diagonal/>
    </border>
    <border>
      <left/>
      <right style="thin">
        <color rgb="FFD9E3D8"/>
      </right>
      <top/>
      <bottom style="thin">
        <color rgb="FFD9E3D8"/>
      </bottom>
      <diagonal/>
    </border>
    <border>
      <left/>
      <right/>
      <top style="thin">
        <color rgb="FFD9E3D8"/>
      </top>
      <bottom/>
      <diagonal/>
    </border>
    <border>
      <left/>
      <right/>
      <top/>
      <bottom style="thin">
        <color rgb="FFD9E3D8"/>
      </bottom>
      <diagonal/>
    </border>
    <border>
      <left style="thin">
        <color rgb="FFE3E6DE"/>
      </left>
      <right/>
      <top style="thin">
        <color rgb="FFE3E6DE"/>
      </top>
      <bottom/>
      <diagonal/>
    </border>
    <border>
      <left/>
      <right/>
      <top style="thin">
        <color rgb="FFE3E6DE"/>
      </top>
      <bottom/>
      <diagonal/>
    </border>
    <border>
      <left/>
      <right style="thin">
        <color rgb="FFE3E6DE"/>
      </right>
      <top style="thin">
        <color rgb="FFE3E6DE"/>
      </top>
      <bottom/>
      <diagonal/>
    </border>
    <border>
      <left style="thin">
        <color rgb="FFE3E6DE"/>
      </left>
      <right/>
      <top/>
      <bottom/>
      <diagonal/>
    </border>
    <border>
      <left/>
      <right style="thin">
        <color rgb="FFE3E6DE"/>
      </right>
      <top/>
      <bottom/>
      <diagonal/>
    </border>
    <border>
      <left style="thin">
        <color rgb="FFE3E6DE"/>
      </left>
      <right/>
      <top/>
      <bottom style="thin">
        <color rgb="FFE3E6DE"/>
      </bottom>
      <diagonal/>
    </border>
    <border>
      <left/>
      <right/>
      <top/>
      <bottom style="thin">
        <color rgb="FFE3E6DE"/>
      </bottom>
      <diagonal/>
    </border>
    <border>
      <left/>
      <right style="thin">
        <color rgb="FFE3E6DE"/>
      </right>
      <top/>
      <bottom style="thin">
        <color rgb="FFE3E6DE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4" borderId="0" xfId="0" applyFon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5" xfId="0" applyFont="1" applyBorder="1" applyAlignment="1">
      <alignment wrapText="1"/>
    </xf>
    <xf numFmtId="164" fontId="0" fillId="5" borderId="4" xfId="0" applyNumberFormat="1" applyFill="1" applyBorder="1" applyAlignment="1">
      <alignment wrapText="1"/>
    </xf>
    <xf numFmtId="164" fontId="0" fillId="5" borderId="6" xfId="0" applyNumberFormat="1" applyFill="1" applyBorder="1" applyAlignment="1">
      <alignment wrapText="1"/>
    </xf>
    <xf numFmtId="0" fontId="4" fillId="0" borderId="1" xfId="0" applyFont="1" applyBorder="1"/>
    <xf numFmtId="0" fontId="0" fillId="0" borderId="7" xfId="0" applyBorder="1"/>
    <xf numFmtId="0" fontId="0" fillId="0" borderId="2" xfId="0" applyBorder="1"/>
    <xf numFmtId="0" fontId="4" fillId="0" borderId="3" xfId="0" applyFont="1" applyBorder="1"/>
    <xf numFmtId="0" fontId="4" fillId="0" borderId="5" xfId="0" applyFon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165" fontId="0" fillId="0" borderId="9" xfId="0" applyNumberFormat="1" applyBorder="1"/>
    <xf numFmtId="165" fontId="0" fillId="0" borderId="12" xfId="0" applyNumberFormat="1" applyBorder="1"/>
    <xf numFmtId="165" fontId="0" fillId="0" borderId="14" xfId="0" applyNumberFormat="1" applyBorder="1"/>
    <xf numFmtId="164" fontId="0" fillId="0" borderId="10" xfId="0" applyNumberFormat="1" applyBorder="1"/>
    <xf numFmtId="164" fontId="0" fillId="0" borderId="0" xfId="0" applyNumberFormat="1"/>
    <xf numFmtId="164" fontId="0" fillId="0" borderId="15" xfId="0" applyNumberFormat="1" applyBorder="1"/>
    <xf numFmtId="166" fontId="0" fillId="0" borderId="0" xfId="0" applyNumberFormat="1"/>
    <xf numFmtId="165" fontId="0" fillId="0" borderId="0" xfId="0" applyNumberFormat="1"/>
    <xf numFmtId="0" fontId="3" fillId="4" borderId="0" xfId="0" applyFont="1" applyFill="1" applyAlignment="1">
      <alignment wrapText="1"/>
    </xf>
    <xf numFmtId="0" fontId="1" fillId="2" borderId="1" xfId="0" applyFont="1" applyFill="1" applyBorder="1"/>
    <xf numFmtId="0" fontId="1" fillId="2" borderId="7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2" fillId="3" borderId="4" xfId="0" applyFont="1" applyFill="1" applyBorder="1"/>
    <xf numFmtId="0" fontId="4" fillId="6" borderId="0" xfId="0" applyFont="1" applyFill="1"/>
    <xf numFmtId="0" fontId="4" fillId="6" borderId="4" xfId="0" applyFont="1" applyFill="1" applyBorder="1"/>
    <xf numFmtId="0" fontId="2" fillId="5" borderId="3" xfId="0" applyFont="1" applyFill="1" applyBorder="1" applyAlignment="1">
      <alignment wrapText="1"/>
    </xf>
    <xf numFmtId="0" fontId="2" fillId="5" borderId="0" xfId="0" applyFont="1" applyFill="1" applyAlignment="1">
      <alignment wrapText="1"/>
    </xf>
    <xf numFmtId="0" fontId="2" fillId="5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0" fontId="5" fillId="3" borderId="4" xfId="0" applyFont="1" applyFill="1" applyBorder="1" applyAlignment="1">
      <alignment wrapText="1"/>
    </xf>
    <xf numFmtId="0" fontId="5" fillId="7" borderId="3" xfId="0" applyFont="1" applyFill="1" applyBorder="1" applyAlignment="1">
      <alignment wrapText="1"/>
    </xf>
    <xf numFmtId="0" fontId="5" fillId="7" borderId="0" xfId="0" applyFont="1" applyFill="1" applyAlignment="1">
      <alignment wrapText="1"/>
    </xf>
    <xf numFmtId="0" fontId="5" fillId="7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workbookViewId="0">
      <selection sqref="A1:G1"/>
    </sheetView>
  </sheetViews>
  <sheetFormatPr baseColWidth="10" defaultColWidth="8.83203125" defaultRowHeight="14"/>
  <cols>
    <col min="1" max="1" width="117.6640625" customWidth="1"/>
    <col min="2" max="2" width="18.6640625" customWidth="1"/>
    <col min="4" max="4" width="27.5" customWidth="1"/>
  </cols>
  <sheetData>
    <row r="1" spans="1:7" ht="19.25" customHeight="1">
      <c r="A1" s="32" t="s">
        <v>0</v>
      </c>
      <c r="B1" s="33"/>
      <c r="C1" s="33"/>
      <c r="D1" s="33"/>
      <c r="E1" s="33"/>
      <c r="F1" s="33"/>
      <c r="G1" s="34"/>
    </row>
    <row r="2" spans="1:7" ht="15" customHeight="1">
      <c r="A2" s="35" t="s">
        <v>1</v>
      </c>
      <c r="B2" s="36"/>
      <c r="C2" s="36"/>
      <c r="D2" s="36"/>
      <c r="E2" s="36"/>
      <c r="F2" s="36"/>
      <c r="G2" s="37"/>
    </row>
    <row r="3" spans="1:7">
      <c r="A3" s="2"/>
      <c r="G3" s="3"/>
    </row>
    <row r="4" spans="1:7" ht="15" customHeight="1">
      <c r="A4" s="6" t="s">
        <v>2</v>
      </c>
      <c r="B4" s="7" t="s">
        <v>3</v>
      </c>
      <c r="D4" s="38" t="s">
        <v>4</v>
      </c>
      <c r="E4" s="38"/>
      <c r="F4" s="38"/>
      <c r="G4" s="39"/>
    </row>
    <row r="5" spans="1:7" ht="15" customHeight="1">
      <c r="A5" s="8" t="s">
        <v>5</v>
      </c>
      <c r="B5" s="10">
        <f>SUM(Expenses!H2:H300)</f>
        <v>4174</v>
      </c>
      <c r="D5" s="12" t="s">
        <v>6</v>
      </c>
      <c r="E5" s="13"/>
      <c r="F5" s="13"/>
      <c r="G5" s="14"/>
    </row>
    <row r="6" spans="1:7" ht="15" customHeight="1">
      <c r="A6" s="8" t="s">
        <v>7</v>
      </c>
      <c r="B6" s="10">
        <f>SUM(Budget_Planner!D2:D300)</f>
        <v>0</v>
      </c>
      <c r="D6" s="15" t="s">
        <v>8</v>
      </c>
      <c r="G6" s="3"/>
    </row>
    <row r="7" spans="1:7" ht="15" customHeight="1">
      <c r="A7" s="8" t="s">
        <v>9</v>
      </c>
      <c r="B7" s="10">
        <f>SUM(Daily_Sales!C2:C300)</f>
        <v>3300.3</v>
      </c>
      <c r="D7" s="15" t="s">
        <v>10</v>
      </c>
      <c r="G7" s="3"/>
    </row>
    <row r="8" spans="1:7" ht="15" customHeight="1">
      <c r="A8" s="8" t="s">
        <v>11</v>
      </c>
      <c r="B8" s="10">
        <f>B7-B5</f>
        <v>-873.69999999999982</v>
      </c>
      <c r="D8" s="15" t="s">
        <v>12</v>
      </c>
      <c r="G8" s="3"/>
    </row>
    <row r="9" spans="1:7" ht="15" customHeight="1">
      <c r="A9" s="8" t="s">
        <v>13</v>
      </c>
      <c r="B9" s="10">
        <f>SUM(Apartments!M2:M300)</f>
        <v>0</v>
      </c>
      <c r="D9" s="15" t="s">
        <v>14</v>
      </c>
      <c r="G9" s="3"/>
    </row>
    <row r="10" spans="1:7" ht="15" customHeight="1">
      <c r="A10" s="8" t="s">
        <v>15</v>
      </c>
      <c r="B10" s="10">
        <f>SUM(Apartments!N2:N300)</f>
        <v>0</v>
      </c>
      <c r="D10" s="15" t="s">
        <v>16</v>
      </c>
      <c r="G10" s="3"/>
    </row>
    <row r="11" spans="1:7" ht="15" customHeight="1">
      <c r="A11" s="8" t="s">
        <v>17</v>
      </c>
      <c r="B11" s="10">
        <f>SUM(Apartments!AA2:AA300)</f>
        <v>0</v>
      </c>
      <c r="D11" s="15" t="s">
        <v>18</v>
      </c>
      <c r="G11" s="3"/>
    </row>
    <row r="12" spans="1:7" ht="15" customHeight="1">
      <c r="A12" s="8" t="s">
        <v>19</v>
      </c>
      <c r="B12" s="10">
        <f>SUM(Petty_Cash_Budget!C2:C300)</f>
        <v>0</v>
      </c>
      <c r="D12" s="16" t="s">
        <v>20</v>
      </c>
      <c r="E12" s="17"/>
      <c r="F12" s="17"/>
      <c r="G12" s="5"/>
    </row>
    <row r="13" spans="1:7" ht="15" customHeight="1">
      <c r="A13" s="8" t="s">
        <v>21</v>
      </c>
      <c r="B13" s="10">
        <f>SUMIF(Petty_Cash!B2:B300,"Expense Paid",Petty_Cash!G2:G300)</f>
        <v>421</v>
      </c>
      <c r="G13" s="3"/>
    </row>
    <row r="14" spans="1:7" ht="15" customHeight="1">
      <c r="A14" s="8" t="s">
        <v>22</v>
      </c>
      <c r="B14" s="10">
        <f>SUM(Petty_Cash!H2:H300)</f>
        <v>890.7</v>
      </c>
      <c r="G14" s="3"/>
    </row>
    <row r="15" spans="1:7" ht="15" customHeight="1">
      <c r="A15" s="9" t="s">
        <v>23</v>
      </c>
      <c r="B15" s="11">
        <f>B12-B13</f>
        <v>-421</v>
      </c>
      <c r="G15" s="3"/>
    </row>
    <row r="16" spans="1:7" ht="15" customHeight="1">
      <c r="A16" s="40" t="s">
        <v>24</v>
      </c>
      <c r="B16" s="41"/>
      <c r="C16" s="41"/>
      <c r="D16" s="41"/>
      <c r="E16" s="41"/>
      <c r="F16" s="41"/>
      <c r="G16" s="42"/>
    </row>
    <row r="17" spans="1:7" ht="15" customHeight="1">
      <c r="A17" s="43" t="s">
        <v>25</v>
      </c>
      <c r="B17" s="44"/>
      <c r="C17" s="44"/>
      <c r="D17" s="44"/>
      <c r="E17" s="44"/>
      <c r="F17" s="44"/>
      <c r="G17" s="45"/>
    </row>
    <row r="18" spans="1:7">
      <c r="A18" s="2"/>
      <c r="G18" s="3"/>
    </row>
    <row r="19" spans="1:7" ht="15" customHeight="1">
      <c r="A19" s="46" t="s">
        <v>26</v>
      </c>
      <c r="B19" s="47"/>
      <c r="C19" s="47"/>
      <c r="D19" s="47"/>
      <c r="E19" s="47"/>
      <c r="F19" s="47"/>
      <c r="G19" s="48"/>
    </row>
    <row r="20" spans="1:7">
      <c r="A20" s="4"/>
      <c r="B20" s="17"/>
      <c r="C20" s="17"/>
      <c r="D20" s="17"/>
      <c r="E20" s="17"/>
      <c r="F20" s="17"/>
      <c r="G20" s="5"/>
    </row>
  </sheetData>
  <mergeCells count="6">
    <mergeCell ref="A19:G19"/>
    <mergeCell ref="A1:G1"/>
    <mergeCell ref="A2:G2"/>
    <mergeCell ref="D4:G4"/>
    <mergeCell ref="A16:G16"/>
    <mergeCell ref="A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0"/>
  <sheetViews>
    <sheetView tabSelected="1" workbookViewId="0">
      <selection activeCell="J22" sqref="J22"/>
    </sheetView>
  </sheetViews>
  <sheetFormatPr baseColWidth="10" defaultColWidth="8.83203125" defaultRowHeight="14"/>
  <cols>
    <col min="1" max="1" width="10.5" bestFit="1" customWidth="1"/>
    <col min="2" max="2" width="10.83203125" customWidth="1"/>
    <col min="3" max="3" width="11.5" customWidth="1"/>
    <col min="4" max="4" width="10.6640625" customWidth="1"/>
    <col min="5" max="5" width="8.83203125" customWidth="1"/>
    <col min="6" max="6" width="13" customWidth="1"/>
    <col min="7" max="7" width="11.1640625" customWidth="1"/>
    <col min="8" max="8" width="14.1640625" bestFit="1" customWidth="1"/>
    <col min="9" max="9" width="4.83203125" customWidth="1"/>
  </cols>
  <sheetData>
    <row r="1" spans="1:9" ht="1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>
      <c r="A2" s="23">
        <v>46174</v>
      </c>
      <c r="B2" s="18" t="s">
        <v>8</v>
      </c>
      <c r="C2" s="18" t="s">
        <v>167</v>
      </c>
      <c r="D2" s="18" t="s">
        <v>128</v>
      </c>
      <c r="E2" s="18"/>
      <c r="F2" s="18" t="s">
        <v>110</v>
      </c>
      <c r="G2" s="18" t="s">
        <v>104</v>
      </c>
      <c r="H2" s="26">
        <v>800</v>
      </c>
      <c r="I2" s="19"/>
    </row>
    <row r="3" spans="1:9">
      <c r="A3" s="24">
        <v>46200</v>
      </c>
      <c r="B3" t="s">
        <v>8</v>
      </c>
      <c r="D3" s="18" t="s">
        <v>128</v>
      </c>
      <c r="F3" t="s">
        <v>96</v>
      </c>
      <c r="G3" s="18" t="s">
        <v>104</v>
      </c>
      <c r="H3" s="27">
        <v>611</v>
      </c>
      <c r="I3" s="20"/>
    </row>
    <row r="4" spans="1:9">
      <c r="A4" s="24">
        <v>46200</v>
      </c>
      <c r="B4" t="s">
        <v>18</v>
      </c>
      <c r="D4" s="18" t="s">
        <v>128</v>
      </c>
      <c r="F4" t="s">
        <v>96</v>
      </c>
      <c r="G4" s="18" t="s">
        <v>104</v>
      </c>
      <c r="H4" s="27">
        <v>2578</v>
      </c>
      <c r="I4" s="20"/>
    </row>
    <row r="5" spans="1:9">
      <c r="A5" s="24">
        <v>46200</v>
      </c>
      <c r="B5" t="s">
        <v>18</v>
      </c>
      <c r="D5" t="s">
        <v>102</v>
      </c>
      <c r="F5" t="s">
        <v>96</v>
      </c>
      <c r="G5" t="s">
        <v>104</v>
      </c>
      <c r="H5" s="27">
        <v>100</v>
      </c>
      <c r="I5" s="20"/>
    </row>
    <row r="6" spans="1:9">
      <c r="A6" s="24">
        <v>46201</v>
      </c>
      <c r="B6" t="s">
        <v>18</v>
      </c>
      <c r="D6" t="s">
        <v>102</v>
      </c>
      <c r="F6" t="s">
        <v>96</v>
      </c>
      <c r="G6" t="s">
        <v>104</v>
      </c>
      <c r="H6" s="27">
        <v>50</v>
      </c>
      <c r="I6" s="20"/>
    </row>
    <row r="7" spans="1:9">
      <c r="A7" s="24">
        <v>46201</v>
      </c>
      <c r="B7" t="s">
        <v>18</v>
      </c>
      <c r="D7" t="s">
        <v>131</v>
      </c>
      <c r="F7" t="s">
        <v>96</v>
      </c>
      <c r="G7" t="s">
        <v>104</v>
      </c>
      <c r="H7" s="27">
        <v>30</v>
      </c>
      <c r="I7" s="20"/>
    </row>
    <row r="8" spans="1:9">
      <c r="A8" s="24">
        <v>46201</v>
      </c>
      <c r="B8" t="s">
        <v>18</v>
      </c>
      <c r="D8" t="s">
        <v>102</v>
      </c>
      <c r="F8" t="s">
        <v>96</v>
      </c>
      <c r="G8" t="s">
        <v>104</v>
      </c>
      <c r="H8" s="27">
        <v>5</v>
      </c>
      <c r="I8" s="20"/>
    </row>
    <row r="9" spans="1:9">
      <c r="A9" s="24"/>
      <c r="H9" s="27"/>
      <c r="I9" s="20"/>
    </row>
    <row r="10" spans="1:9">
      <c r="A10" s="24"/>
      <c r="H10" s="27"/>
      <c r="I10" s="20"/>
    </row>
    <row r="11" spans="1:9">
      <c r="A11" s="24"/>
      <c r="H11" s="27"/>
      <c r="I11" s="20"/>
    </row>
    <row r="12" spans="1:9">
      <c r="A12" s="24"/>
      <c r="H12" s="27"/>
      <c r="I12" s="20"/>
    </row>
    <row r="13" spans="1:9">
      <c r="A13" s="24"/>
      <c r="H13" s="27"/>
      <c r="I13" s="20"/>
    </row>
    <row r="14" spans="1:9">
      <c r="A14" s="24"/>
      <c r="H14" s="27"/>
      <c r="I14" s="20"/>
    </row>
    <row r="15" spans="1:9">
      <c r="A15" s="24"/>
      <c r="H15" s="27"/>
      <c r="I15" s="20"/>
    </row>
    <row r="16" spans="1:9">
      <c r="A16" s="24"/>
      <c r="H16" s="27"/>
      <c r="I16" s="20"/>
    </row>
    <row r="17" spans="1:9">
      <c r="A17" s="24"/>
      <c r="H17" s="27"/>
      <c r="I17" s="20"/>
    </row>
    <row r="18" spans="1:9">
      <c r="A18" s="24"/>
      <c r="H18" s="27"/>
      <c r="I18" s="20"/>
    </row>
    <row r="19" spans="1:9">
      <c r="A19" s="24"/>
      <c r="H19" s="27"/>
      <c r="I19" s="20"/>
    </row>
    <row r="20" spans="1:9">
      <c r="A20" s="24"/>
      <c r="H20" s="27"/>
      <c r="I20" s="20"/>
    </row>
    <row r="21" spans="1:9">
      <c r="A21" s="24"/>
      <c r="H21" s="27"/>
      <c r="I21" s="20"/>
    </row>
    <row r="22" spans="1:9">
      <c r="A22" s="24"/>
      <c r="H22" s="27"/>
      <c r="I22" s="20"/>
    </row>
    <row r="23" spans="1:9">
      <c r="A23" s="24"/>
      <c r="H23" s="27"/>
      <c r="I23" s="20"/>
    </row>
    <row r="24" spans="1:9">
      <c r="A24" s="24"/>
      <c r="H24" s="27"/>
      <c r="I24" s="20"/>
    </row>
    <row r="25" spans="1:9">
      <c r="A25" s="24"/>
      <c r="H25" s="27"/>
      <c r="I25" s="20"/>
    </row>
    <row r="26" spans="1:9">
      <c r="A26" s="24"/>
      <c r="H26" s="27"/>
      <c r="I26" s="20"/>
    </row>
    <row r="27" spans="1:9">
      <c r="A27" s="24"/>
      <c r="H27" s="27"/>
      <c r="I27" s="20"/>
    </row>
    <row r="28" spans="1:9">
      <c r="A28" s="24"/>
      <c r="H28" s="27"/>
      <c r="I28" s="20"/>
    </row>
    <row r="29" spans="1:9">
      <c r="A29" s="24"/>
      <c r="H29" s="27"/>
      <c r="I29" s="20"/>
    </row>
    <row r="30" spans="1:9">
      <c r="A30" s="24"/>
      <c r="H30" s="27"/>
      <c r="I30" s="20"/>
    </row>
    <row r="31" spans="1:9">
      <c r="A31" s="24"/>
      <c r="H31" s="27"/>
      <c r="I31" s="20"/>
    </row>
    <row r="32" spans="1:9">
      <c r="A32" s="24"/>
      <c r="H32" s="27"/>
      <c r="I32" s="20"/>
    </row>
    <row r="33" spans="1:9">
      <c r="A33" s="24"/>
      <c r="H33" s="27"/>
      <c r="I33" s="20"/>
    </row>
    <row r="34" spans="1:9">
      <c r="A34" s="24"/>
      <c r="H34" s="27"/>
      <c r="I34" s="20"/>
    </row>
    <row r="35" spans="1:9">
      <c r="A35" s="24"/>
      <c r="H35" s="27"/>
      <c r="I35" s="20"/>
    </row>
    <row r="36" spans="1:9">
      <c r="A36" s="24"/>
      <c r="H36" s="27"/>
      <c r="I36" s="20"/>
    </row>
    <row r="37" spans="1:9">
      <c r="A37" s="24"/>
      <c r="H37" s="27"/>
      <c r="I37" s="20"/>
    </row>
    <row r="38" spans="1:9">
      <c r="A38" s="24"/>
      <c r="H38" s="27"/>
      <c r="I38" s="20"/>
    </row>
    <row r="39" spans="1:9">
      <c r="A39" s="24"/>
      <c r="H39" s="27"/>
      <c r="I39" s="20"/>
    </row>
    <row r="40" spans="1:9">
      <c r="A40" s="24"/>
      <c r="H40" s="27"/>
      <c r="I40" s="20"/>
    </row>
    <row r="41" spans="1:9">
      <c r="A41" s="24"/>
      <c r="H41" s="27"/>
      <c r="I41" s="20"/>
    </row>
    <row r="42" spans="1:9">
      <c r="A42" s="24"/>
      <c r="H42" s="27"/>
      <c r="I42" s="20"/>
    </row>
    <row r="43" spans="1:9">
      <c r="A43" s="24"/>
      <c r="H43" s="27"/>
      <c r="I43" s="20"/>
    </row>
    <row r="44" spans="1:9">
      <c r="A44" s="24"/>
      <c r="H44" s="27"/>
      <c r="I44" s="20"/>
    </row>
    <row r="45" spans="1:9">
      <c r="A45" s="24"/>
      <c r="H45" s="27"/>
      <c r="I45" s="20"/>
    </row>
    <row r="46" spans="1:9">
      <c r="A46" s="24"/>
      <c r="H46" s="27"/>
      <c r="I46" s="20"/>
    </row>
    <row r="47" spans="1:9">
      <c r="A47" s="24"/>
      <c r="H47" s="27"/>
      <c r="I47" s="20"/>
    </row>
    <row r="48" spans="1:9">
      <c r="A48" s="24"/>
      <c r="H48" s="27"/>
      <c r="I48" s="20"/>
    </row>
    <row r="49" spans="1:9">
      <c r="A49" s="24"/>
      <c r="H49" s="27"/>
      <c r="I49" s="20"/>
    </row>
    <row r="50" spans="1:9">
      <c r="A50" s="24"/>
      <c r="H50" s="27"/>
      <c r="I50" s="20"/>
    </row>
    <row r="51" spans="1:9">
      <c r="A51" s="24"/>
      <c r="H51" s="27"/>
      <c r="I51" s="20"/>
    </row>
    <row r="52" spans="1:9">
      <c r="A52" s="24"/>
      <c r="H52" s="27"/>
      <c r="I52" s="20"/>
    </row>
    <row r="53" spans="1:9">
      <c r="A53" s="24"/>
      <c r="H53" s="27"/>
      <c r="I53" s="20"/>
    </row>
    <row r="54" spans="1:9">
      <c r="A54" s="24"/>
      <c r="H54" s="27"/>
      <c r="I54" s="20"/>
    </row>
    <row r="55" spans="1:9">
      <c r="A55" s="24"/>
      <c r="H55" s="27"/>
      <c r="I55" s="20"/>
    </row>
    <row r="56" spans="1:9">
      <c r="A56" s="24"/>
      <c r="H56" s="27"/>
      <c r="I56" s="20"/>
    </row>
    <row r="57" spans="1:9">
      <c r="A57" s="24"/>
      <c r="H57" s="27"/>
      <c r="I57" s="20"/>
    </row>
    <row r="58" spans="1:9">
      <c r="A58" s="24"/>
      <c r="H58" s="27"/>
      <c r="I58" s="20"/>
    </row>
    <row r="59" spans="1:9">
      <c r="A59" s="24"/>
      <c r="H59" s="27"/>
      <c r="I59" s="20"/>
    </row>
    <row r="60" spans="1:9">
      <c r="A60" s="24"/>
      <c r="H60" s="27"/>
      <c r="I60" s="20"/>
    </row>
    <row r="61" spans="1:9">
      <c r="A61" s="24"/>
      <c r="H61" s="27"/>
      <c r="I61" s="20"/>
    </row>
    <row r="62" spans="1:9">
      <c r="A62" s="24"/>
      <c r="H62" s="27"/>
      <c r="I62" s="20"/>
    </row>
    <row r="63" spans="1:9">
      <c r="A63" s="24"/>
      <c r="H63" s="27"/>
      <c r="I63" s="20"/>
    </row>
    <row r="64" spans="1:9">
      <c r="A64" s="24"/>
      <c r="H64" s="27"/>
      <c r="I64" s="20"/>
    </row>
    <row r="65" spans="1:9">
      <c r="A65" s="24"/>
      <c r="H65" s="27"/>
      <c r="I65" s="20"/>
    </row>
    <row r="66" spans="1:9">
      <c r="A66" s="24"/>
      <c r="H66" s="27"/>
      <c r="I66" s="20"/>
    </row>
    <row r="67" spans="1:9">
      <c r="A67" s="24"/>
      <c r="H67" s="27"/>
      <c r="I67" s="20"/>
    </row>
    <row r="68" spans="1:9">
      <c r="A68" s="24"/>
      <c r="H68" s="27"/>
      <c r="I68" s="20"/>
    </row>
    <row r="69" spans="1:9">
      <c r="A69" s="24"/>
      <c r="H69" s="27"/>
      <c r="I69" s="20"/>
    </row>
    <row r="70" spans="1:9">
      <c r="A70" s="24"/>
      <c r="H70" s="27"/>
      <c r="I70" s="20"/>
    </row>
    <row r="71" spans="1:9">
      <c r="A71" s="24"/>
      <c r="H71" s="27"/>
      <c r="I71" s="20"/>
    </row>
    <row r="72" spans="1:9">
      <c r="A72" s="24"/>
      <c r="H72" s="27"/>
      <c r="I72" s="20"/>
    </row>
    <row r="73" spans="1:9">
      <c r="A73" s="24"/>
      <c r="H73" s="27"/>
      <c r="I73" s="20"/>
    </row>
    <row r="74" spans="1:9">
      <c r="A74" s="24"/>
      <c r="H74" s="27"/>
      <c r="I74" s="20"/>
    </row>
    <row r="75" spans="1:9">
      <c r="A75" s="24"/>
      <c r="H75" s="27"/>
      <c r="I75" s="20"/>
    </row>
    <row r="76" spans="1:9">
      <c r="A76" s="24"/>
      <c r="H76" s="27"/>
      <c r="I76" s="20"/>
    </row>
    <row r="77" spans="1:9">
      <c r="A77" s="24"/>
      <c r="H77" s="27"/>
      <c r="I77" s="20"/>
    </row>
    <row r="78" spans="1:9">
      <c r="A78" s="24"/>
      <c r="H78" s="27"/>
      <c r="I78" s="20"/>
    </row>
    <row r="79" spans="1:9">
      <c r="A79" s="24"/>
      <c r="H79" s="27"/>
      <c r="I79" s="20"/>
    </row>
    <row r="80" spans="1:9">
      <c r="A80" s="24"/>
      <c r="H80" s="27"/>
      <c r="I80" s="20"/>
    </row>
    <row r="81" spans="1:9">
      <c r="A81" s="24"/>
      <c r="H81" s="27"/>
      <c r="I81" s="20"/>
    </row>
    <row r="82" spans="1:9">
      <c r="A82" s="24"/>
      <c r="H82" s="27"/>
      <c r="I82" s="20"/>
    </row>
    <row r="83" spans="1:9">
      <c r="A83" s="24"/>
      <c r="H83" s="27"/>
      <c r="I83" s="20"/>
    </row>
    <row r="84" spans="1:9">
      <c r="A84" s="24"/>
      <c r="H84" s="27"/>
      <c r="I84" s="20"/>
    </row>
    <row r="85" spans="1:9">
      <c r="A85" s="24"/>
      <c r="H85" s="27"/>
      <c r="I85" s="20"/>
    </row>
    <row r="86" spans="1:9">
      <c r="A86" s="24"/>
      <c r="H86" s="27"/>
      <c r="I86" s="20"/>
    </row>
    <row r="87" spans="1:9">
      <c r="A87" s="24"/>
      <c r="H87" s="27"/>
      <c r="I87" s="20"/>
    </row>
    <row r="88" spans="1:9">
      <c r="A88" s="24"/>
      <c r="H88" s="27"/>
      <c r="I88" s="20"/>
    </row>
    <row r="89" spans="1:9">
      <c r="A89" s="24"/>
      <c r="H89" s="27"/>
      <c r="I89" s="20"/>
    </row>
    <row r="90" spans="1:9">
      <c r="A90" s="24"/>
      <c r="H90" s="27"/>
      <c r="I90" s="20"/>
    </row>
    <row r="91" spans="1:9">
      <c r="A91" s="24"/>
      <c r="H91" s="27"/>
      <c r="I91" s="20"/>
    </row>
    <row r="92" spans="1:9">
      <c r="A92" s="24"/>
      <c r="H92" s="27"/>
      <c r="I92" s="20"/>
    </row>
    <row r="93" spans="1:9">
      <c r="A93" s="24"/>
      <c r="H93" s="27"/>
      <c r="I93" s="20"/>
    </row>
    <row r="94" spans="1:9">
      <c r="A94" s="24"/>
      <c r="H94" s="27"/>
      <c r="I94" s="20"/>
    </row>
    <row r="95" spans="1:9">
      <c r="A95" s="24"/>
      <c r="H95" s="27"/>
      <c r="I95" s="20"/>
    </row>
    <row r="96" spans="1:9">
      <c r="A96" s="24"/>
      <c r="H96" s="27"/>
      <c r="I96" s="20"/>
    </row>
    <row r="97" spans="1:9">
      <c r="A97" s="24"/>
      <c r="H97" s="27"/>
      <c r="I97" s="20"/>
    </row>
    <row r="98" spans="1:9">
      <c r="A98" s="24"/>
      <c r="H98" s="27"/>
      <c r="I98" s="20"/>
    </row>
    <row r="99" spans="1:9">
      <c r="A99" s="24"/>
      <c r="H99" s="27"/>
      <c r="I99" s="20"/>
    </row>
    <row r="100" spans="1:9">
      <c r="A100" s="24"/>
      <c r="H100" s="27"/>
      <c r="I100" s="20"/>
    </row>
    <row r="101" spans="1:9">
      <c r="A101" s="24"/>
      <c r="H101" s="27"/>
      <c r="I101" s="20"/>
    </row>
    <row r="102" spans="1:9">
      <c r="A102" s="24"/>
      <c r="H102" s="27"/>
      <c r="I102" s="20"/>
    </row>
    <row r="103" spans="1:9">
      <c r="A103" s="24"/>
      <c r="H103" s="27"/>
      <c r="I103" s="20"/>
    </row>
    <row r="104" spans="1:9">
      <c r="A104" s="24"/>
      <c r="H104" s="27"/>
      <c r="I104" s="20"/>
    </row>
    <row r="105" spans="1:9">
      <c r="A105" s="24"/>
      <c r="H105" s="27"/>
      <c r="I105" s="20"/>
    </row>
    <row r="106" spans="1:9">
      <c r="A106" s="24"/>
      <c r="H106" s="27"/>
      <c r="I106" s="20"/>
    </row>
    <row r="107" spans="1:9">
      <c r="A107" s="24"/>
      <c r="H107" s="27"/>
      <c r="I107" s="20"/>
    </row>
    <row r="108" spans="1:9">
      <c r="A108" s="24"/>
      <c r="H108" s="27"/>
      <c r="I108" s="20"/>
    </row>
    <row r="109" spans="1:9">
      <c r="A109" s="24"/>
      <c r="H109" s="27"/>
      <c r="I109" s="20"/>
    </row>
    <row r="110" spans="1:9">
      <c r="A110" s="24"/>
      <c r="H110" s="27"/>
      <c r="I110" s="20"/>
    </row>
    <row r="111" spans="1:9">
      <c r="A111" s="24"/>
      <c r="H111" s="27"/>
      <c r="I111" s="20"/>
    </row>
    <row r="112" spans="1:9">
      <c r="A112" s="24"/>
      <c r="H112" s="27"/>
      <c r="I112" s="20"/>
    </row>
    <row r="113" spans="1:9">
      <c r="A113" s="24"/>
      <c r="H113" s="27"/>
      <c r="I113" s="20"/>
    </row>
    <row r="114" spans="1:9">
      <c r="A114" s="24"/>
      <c r="H114" s="27"/>
      <c r="I114" s="20"/>
    </row>
    <row r="115" spans="1:9">
      <c r="A115" s="24"/>
      <c r="H115" s="27"/>
      <c r="I115" s="20"/>
    </row>
    <row r="116" spans="1:9">
      <c r="A116" s="24"/>
      <c r="H116" s="27"/>
      <c r="I116" s="20"/>
    </row>
    <row r="117" spans="1:9">
      <c r="A117" s="24"/>
      <c r="H117" s="27"/>
      <c r="I117" s="20"/>
    </row>
    <row r="118" spans="1:9">
      <c r="A118" s="24"/>
      <c r="H118" s="27"/>
      <c r="I118" s="20"/>
    </row>
    <row r="119" spans="1:9">
      <c r="A119" s="24"/>
      <c r="H119" s="27"/>
      <c r="I119" s="20"/>
    </row>
    <row r="120" spans="1:9">
      <c r="A120" s="24"/>
      <c r="H120" s="27"/>
      <c r="I120" s="20"/>
    </row>
    <row r="121" spans="1:9">
      <c r="A121" s="24"/>
      <c r="H121" s="27"/>
      <c r="I121" s="20"/>
    </row>
    <row r="122" spans="1:9">
      <c r="A122" s="24"/>
      <c r="H122" s="27"/>
      <c r="I122" s="20"/>
    </row>
    <row r="123" spans="1:9">
      <c r="A123" s="24"/>
      <c r="H123" s="27"/>
      <c r="I123" s="20"/>
    </row>
    <row r="124" spans="1:9">
      <c r="A124" s="24"/>
      <c r="H124" s="27"/>
      <c r="I124" s="20"/>
    </row>
    <row r="125" spans="1:9">
      <c r="A125" s="24"/>
      <c r="H125" s="27"/>
      <c r="I125" s="20"/>
    </row>
    <row r="126" spans="1:9">
      <c r="A126" s="24"/>
      <c r="H126" s="27"/>
      <c r="I126" s="20"/>
    </row>
    <row r="127" spans="1:9">
      <c r="A127" s="24"/>
      <c r="H127" s="27"/>
      <c r="I127" s="20"/>
    </row>
    <row r="128" spans="1:9">
      <c r="A128" s="24"/>
      <c r="H128" s="27"/>
      <c r="I128" s="20"/>
    </row>
    <row r="129" spans="1:9">
      <c r="A129" s="24"/>
      <c r="H129" s="27"/>
      <c r="I129" s="20"/>
    </row>
    <row r="130" spans="1:9">
      <c r="A130" s="24"/>
      <c r="H130" s="27"/>
      <c r="I130" s="20"/>
    </row>
    <row r="131" spans="1:9">
      <c r="A131" s="24"/>
      <c r="H131" s="27"/>
      <c r="I131" s="20"/>
    </row>
    <row r="132" spans="1:9">
      <c r="A132" s="24"/>
      <c r="H132" s="27"/>
      <c r="I132" s="20"/>
    </row>
    <row r="133" spans="1:9">
      <c r="A133" s="24"/>
      <c r="H133" s="27"/>
      <c r="I133" s="20"/>
    </row>
    <row r="134" spans="1:9">
      <c r="A134" s="24"/>
      <c r="H134" s="27"/>
      <c r="I134" s="20"/>
    </row>
    <row r="135" spans="1:9">
      <c r="A135" s="24"/>
      <c r="H135" s="27"/>
      <c r="I135" s="20"/>
    </row>
    <row r="136" spans="1:9">
      <c r="A136" s="24"/>
      <c r="H136" s="27"/>
      <c r="I136" s="20"/>
    </row>
    <row r="137" spans="1:9">
      <c r="A137" s="24"/>
      <c r="H137" s="27"/>
      <c r="I137" s="20"/>
    </row>
    <row r="138" spans="1:9">
      <c r="A138" s="24"/>
      <c r="H138" s="27"/>
      <c r="I138" s="20"/>
    </row>
    <row r="139" spans="1:9">
      <c r="A139" s="24"/>
      <c r="H139" s="27"/>
      <c r="I139" s="20"/>
    </row>
    <row r="140" spans="1:9">
      <c r="A140" s="24"/>
      <c r="H140" s="27"/>
      <c r="I140" s="20"/>
    </row>
    <row r="141" spans="1:9">
      <c r="A141" s="24"/>
      <c r="H141" s="27"/>
      <c r="I141" s="20"/>
    </row>
    <row r="142" spans="1:9">
      <c r="A142" s="24"/>
      <c r="H142" s="27"/>
      <c r="I142" s="20"/>
    </row>
    <row r="143" spans="1:9">
      <c r="A143" s="24"/>
      <c r="H143" s="27"/>
      <c r="I143" s="20"/>
    </row>
    <row r="144" spans="1:9">
      <c r="A144" s="24"/>
      <c r="H144" s="27"/>
      <c r="I144" s="20"/>
    </row>
    <row r="145" spans="1:9">
      <c r="A145" s="24"/>
      <c r="H145" s="27"/>
      <c r="I145" s="20"/>
    </row>
    <row r="146" spans="1:9">
      <c r="A146" s="24"/>
      <c r="H146" s="27"/>
      <c r="I146" s="20"/>
    </row>
    <row r="147" spans="1:9">
      <c r="A147" s="24"/>
      <c r="H147" s="27"/>
      <c r="I147" s="20"/>
    </row>
    <row r="148" spans="1:9">
      <c r="A148" s="24"/>
      <c r="H148" s="27"/>
      <c r="I148" s="20"/>
    </row>
    <row r="149" spans="1:9">
      <c r="A149" s="24"/>
      <c r="H149" s="27"/>
      <c r="I149" s="20"/>
    </row>
    <row r="150" spans="1:9">
      <c r="A150" s="24"/>
      <c r="H150" s="27"/>
      <c r="I150" s="20"/>
    </row>
    <row r="151" spans="1:9">
      <c r="A151" s="24"/>
      <c r="H151" s="27"/>
      <c r="I151" s="20"/>
    </row>
    <row r="152" spans="1:9">
      <c r="A152" s="24"/>
      <c r="H152" s="27"/>
      <c r="I152" s="20"/>
    </row>
    <row r="153" spans="1:9">
      <c r="A153" s="24"/>
      <c r="H153" s="27"/>
      <c r="I153" s="20"/>
    </row>
    <row r="154" spans="1:9">
      <c r="A154" s="24"/>
      <c r="H154" s="27"/>
      <c r="I154" s="20"/>
    </row>
    <row r="155" spans="1:9">
      <c r="A155" s="24"/>
      <c r="H155" s="27"/>
      <c r="I155" s="20"/>
    </row>
    <row r="156" spans="1:9">
      <c r="A156" s="24"/>
      <c r="H156" s="27"/>
      <c r="I156" s="20"/>
    </row>
    <row r="157" spans="1:9">
      <c r="A157" s="24"/>
      <c r="H157" s="27"/>
      <c r="I157" s="20"/>
    </row>
    <row r="158" spans="1:9">
      <c r="A158" s="24"/>
      <c r="H158" s="27"/>
      <c r="I158" s="20"/>
    </row>
    <row r="159" spans="1:9">
      <c r="A159" s="24"/>
      <c r="H159" s="27"/>
      <c r="I159" s="20"/>
    </row>
    <row r="160" spans="1:9">
      <c r="A160" s="24"/>
      <c r="H160" s="27"/>
      <c r="I160" s="20"/>
    </row>
    <row r="161" spans="1:9">
      <c r="A161" s="24"/>
      <c r="H161" s="27"/>
      <c r="I161" s="20"/>
    </row>
    <row r="162" spans="1:9">
      <c r="A162" s="24"/>
      <c r="H162" s="27"/>
      <c r="I162" s="20"/>
    </row>
    <row r="163" spans="1:9">
      <c r="A163" s="24"/>
      <c r="H163" s="27"/>
      <c r="I163" s="20"/>
    </row>
    <row r="164" spans="1:9">
      <c r="A164" s="24"/>
      <c r="H164" s="27"/>
      <c r="I164" s="20"/>
    </row>
    <row r="165" spans="1:9">
      <c r="A165" s="24"/>
      <c r="H165" s="27"/>
      <c r="I165" s="20"/>
    </row>
    <row r="166" spans="1:9">
      <c r="A166" s="24"/>
      <c r="H166" s="27"/>
      <c r="I166" s="20"/>
    </row>
    <row r="167" spans="1:9">
      <c r="A167" s="24"/>
      <c r="H167" s="27"/>
      <c r="I167" s="20"/>
    </row>
    <row r="168" spans="1:9">
      <c r="A168" s="24"/>
      <c r="H168" s="27"/>
      <c r="I168" s="20"/>
    </row>
    <row r="169" spans="1:9">
      <c r="A169" s="24"/>
      <c r="H169" s="27"/>
      <c r="I169" s="20"/>
    </row>
    <row r="170" spans="1:9">
      <c r="A170" s="24"/>
      <c r="H170" s="27"/>
      <c r="I170" s="20"/>
    </row>
    <row r="171" spans="1:9">
      <c r="A171" s="24"/>
      <c r="H171" s="27"/>
      <c r="I171" s="20"/>
    </row>
    <row r="172" spans="1:9">
      <c r="A172" s="24"/>
      <c r="H172" s="27"/>
      <c r="I172" s="20"/>
    </row>
    <row r="173" spans="1:9">
      <c r="A173" s="24"/>
      <c r="H173" s="27"/>
      <c r="I173" s="20"/>
    </row>
    <row r="174" spans="1:9">
      <c r="A174" s="24"/>
      <c r="H174" s="27"/>
      <c r="I174" s="20"/>
    </row>
    <row r="175" spans="1:9">
      <c r="A175" s="24"/>
      <c r="H175" s="27"/>
      <c r="I175" s="20"/>
    </row>
    <row r="176" spans="1:9">
      <c r="A176" s="24"/>
      <c r="H176" s="27"/>
      <c r="I176" s="20"/>
    </row>
    <row r="177" spans="1:9">
      <c r="A177" s="24"/>
      <c r="H177" s="27"/>
      <c r="I177" s="20"/>
    </row>
    <row r="178" spans="1:9">
      <c r="A178" s="24"/>
      <c r="H178" s="27"/>
      <c r="I178" s="20"/>
    </row>
    <row r="179" spans="1:9">
      <c r="A179" s="24"/>
      <c r="H179" s="27"/>
      <c r="I179" s="20"/>
    </row>
    <row r="180" spans="1:9">
      <c r="A180" s="24"/>
      <c r="H180" s="27"/>
      <c r="I180" s="20"/>
    </row>
    <row r="181" spans="1:9">
      <c r="A181" s="24"/>
      <c r="H181" s="27"/>
      <c r="I181" s="20"/>
    </row>
    <row r="182" spans="1:9">
      <c r="A182" s="24"/>
      <c r="H182" s="27"/>
      <c r="I182" s="20"/>
    </row>
    <row r="183" spans="1:9">
      <c r="A183" s="24"/>
      <c r="H183" s="27"/>
      <c r="I183" s="20"/>
    </row>
    <row r="184" spans="1:9">
      <c r="A184" s="24"/>
      <c r="H184" s="27"/>
      <c r="I184" s="20"/>
    </row>
    <row r="185" spans="1:9">
      <c r="A185" s="24"/>
      <c r="H185" s="27"/>
      <c r="I185" s="20"/>
    </row>
    <row r="186" spans="1:9">
      <c r="A186" s="24"/>
      <c r="H186" s="27"/>
      <c r="I186" s="20"/>
    </row>
    <row r="187" spans="1:9">
      <c r="A187" s="24"/>
      <c r="H187" s="27"/>
      <c r="I187" s="20"/>
    </row>
    <row r="188" spans="1:9">
      <c r="A188" s="24"/>
      <c r="H188" s="27"/>
      <c r="I188" s="20"/>
    </row>
    <row r="189" spans="1:9">
      <c r="A189" s="24"/>
      <c r="H189" s="27"/>
      <c r="I189" s="20"/>
    </row>
    <row r="190" spans="1:9">
      <c r="A190" s="24"/>
      <c r="H190" s="27"/>
      <c r="I190" s="20"/>
    </row>
    <row r="191" spans="1:9">
      <c r="A191" s="24"/>
      <c r="H191" s="27"/>
      <c r="I191" s="20"/>
    </row>
    <row r="192" spans="1:9">
      <c r="A192" s="24"/>
      <c r="H192" s="27"/>
      <c r="I192" s="20"/>
    </row>
    <row r="193" spans="1:9">
      <c r="A193" s="24"/>
      <c r="H193" s="27"/>
      <c r="I193" s="20"/>
    </row>
    <row r="194" spans="1:9">
      <c r="A194" s="24"/>
      <c r="H194" s="27"/>
      <c r="I194" s="20"/>
    </row>
    <row r="195" spans="1:9">
      <c r="A195" s="24"/>
      <c r="H195" s="27"/>
      <c r="I195" s="20"/>
    </row>
    <row r="196" spans="1:9">
      <c r="A196" s="24"/>
      <c r="H196" s="27"/>
      <c r="I196" s="20"/>
    </row>
    <row r="197" spans="1:9">
      <c r="A197" s="24"/>
      <c r="H197" s="27"/>
      <c r="I197" s="20"/>
    </row>
    <row r="198" spans="1:9">
      <c r="A198" s="24"/>
      <c r="H198" s="27"/>
      <c r="I198" s="20"/>
    </row>
    <row r="199" spans="1:9">
      <c r="A199" s="24"/>
      <c r="H199" s="27"/>
      <c r="I199" s="20"/>
    </row>
    <row r="200" spans="1:9">
      <c r="A200" s="24"/>
      <c r="H200" s="27"/>
      <c r="I200" s="20"/>
    </row>
    <row r="201" spans="1:9">
      <c r="A201" s="24"/>
      <c r="H201" s="27"/>
      <c r="I201" s="20"/>
    </row>
    <row r="202" spans="1:9">
      <c r="A202" s="24"/>
      <c r="H202" s="27"/>
      <c r="I202" s="20"/>
    </row>
    <row r="203" spans="1:9">
      <c r="A203" s="24"/>
      <c r="H203" s="27"/>
      <c r="I203" s="20"/>
    </row>
    <row r="204" spans="1:9">
      <c r="A204" s="24"/>
      <c r="H204" s="27"/>
      <c r="I204" s="20"/>
    </row>
    <row r="205" spans="1:9">
      <c r="A205" s="24"/>
      <c r="H205" s="27"/>
      <c r="I205" s="20"/>
    </row>
    <row r="206" spans="1:9">
      <c r="A206" s="24"/>
      <c r="H206" s="27"/>
      <c r="I206" s="20"/>
    </row>
    <row r="207" spans="1:9">
      <c r="A207" s="24"/>
      <c r="H207" s="27"/>
      <c r="I207" s="20"/>
    </row>
    <row r="208" spans="1:9">
      <c r="A208" s="24"/>
      <c r="H208" s="27"/>
      <c r="I208" s="20"/>
    </row>
    <row r="209" spans="1:9">
      <c r="A209" s="24"/>
      <c r="H209" s="27"/>
      <c r="I209" s="20"/>
    </row>
    <row r="210" spans="1:9">
      <c r="A210" s="24"/>
      <c r="H210" s="27"/>
      <c r="I210" s="20"/>
    </row>
    <row r="211" spans="1:9">
      <c r="A211" s="24"/>
      <c r="H211" s="27"/>
      <c r="I211" s="20"/>
    </row>
    <row r="212" spans="1:9">
      <c r="A212" s="24"/>
      <c r="H212" s="27"/>
      <c r="I212" s="20"/>
    </row>
    <row r="213" spans="1:9">
      <c r="A213" s="24"/>
      <c r="H213" s="27"/>
      <c r="I213" s="20"/>
    </row>
    <row r="214" spans="1:9">
      <c r="A214" s="24"/>
      <c r="H214" s="27"/>
      <c r="I214" s="20"/>
    </row>
    <row r="215" spans="1:9">
      <c r="A215" s="24"/>
      <c r="H215" s="27"/>
      <c r="I215" s="20"/>
    </row>
    <row r="216" spans="1:9">
      <c r="A216" s="24"/>
      <c r="H216" s="27"/>
      <c r="I216" s="20"/>
    </row>
    <row r="217" spans="1:9">
      <c r="A217" s="24"/>
      <c r="H217" s="27"/>
      <c r="I217" s="20"/>
    </row>
    <row r="218" spans="1:9">
      <c r="A218" s="24"/>
      <c r="H218" s="27"/>
      <c r="I218" s="20"/>
    </row>
    <row r="219" spans="1:9">
      <c r="A219" s="24"/>
      <c r="H219" s="27"/>
      <c r="I219" s="20"/>
    </row>
    <row r="220" spans="1:9">
      <c r="A220" s="24"/>
      <c r="H220" s="27"/>
      <c r="I220" s="20"/>
    </row>
    <row r="221" spans="1:9">
      <c r="A221" s="24"/>
      <c r="H221" s="27"/>
      <c r="I221" s="20"/>
    </row>
    <row r="222" spans="1:9">
      <c r="A222" s="24"/>
      <c r="H222" s="27"/>
      <c r="I222" s="20"/>
    </row>
    <row r="223" spans="1:9">
      <c r="A223" s="24"/>
      <c r="H223" s="27"/>
      <c r="I223" s="20"/>
    </row>
    <row r="224" spans="1:9">
      <c r="A224" s="24"/>
      <c r="H224" s="27"/>
      <c r="I224" s="20"/>
    </row>
    <row r="225" spans="1:9">
      <c r="A225" s="24"/>
      <c r="H225" s="27"/>
      <c r="I225" s="20"/>
    </row>
    <row r="226" spans="1:9">
      <c r="A226" s="24"/>
      <c r="H226" s="27"/>
      <c r="I226" s="20"/>
    </row>
    <row r="227" spans="1:9">
      <c r="A227" s="24"/>
      <c r="H227" s="27"/>
      <c r="I227" s="20"/>
    </row>
    <row r="228" spans="1:9">
      <c r="A228" s="24"/>
      <c r="H228" s="27"/>
      <c r="I228" s="20"/>
    </row>
    <row r="229" spans="1:9">
      <c r="A229" s="24"/>
      <c r="H229" s="27"/>
      <c r="I229" s="20"/>
    </row>
    <row r="230" spans="1:9">
      <c r="A230" s="24"/>
      <c r="H230" s="27"/>
      <c r="I230" s="20"/>
    </row>
    <row r="231" spans="1:9">
      <c r="A231" s="24"/>
      <c r="H231" s="27"/>
      <c r="I231" s="20"/>
    </row>
    <row r="232" spans="1:9">
      <c r="A232" s="24"/>
      <c r="H232" s="27"/>
      <c r="I232" s="20"/>
    </row>
    <row r="233" spans="1:9">
      <c r="A233" s="24"/>
      <c r="H233" s="27"/>
      <c r="I233" s="20"/>
    </row>
    <row r="234" spans="1:9">
      <c r="A234" s="24"/>
      <c r="H234" s="27"/>
      <c r="I234" s="20"/>
    </row>
    <row r="235" spans="1:9">
      <c r="A235" s="24"/>
      <c r="H235" s="27"/>
      <c r="I235" s="20"/>
    </row>
    <row r="236" spans="1:9">
      <c r="A236" s="24"/>
      <c r="H236" s="27"/>
      <c r="I236" s="20"/>
    </row>
    <row r="237" spans="1:9">
      <c r="A237" s="24"/>
      <c r="H237" s="27"/>
      <c r="I237" s="20"/>
    </row>
    <row r="238" spans="1:9">
      <c r="A238" s="24"/>
      <c r="H238" s="27"/>
      <c r="I238" s="20"/>
    </row>
    <row r="239" spans="1:9">
      <c r="A239" s="24"/>
      <c r="H239" s="27"/>
      <c r="I239" s="20"/>
    </row>
    <row r="240" spans="1:9">
      <c r="A240" s="24"/>
      <c r="H240" s="27"/>
      <c r="I240" s="20"/>
    </row>
    <row r="241" spans="1:9">
      <c r="A241" s="24"/>
      <c r="H241" s="27"/>
      <c r="I241" s="20"/>
    </row>
    <row r="242" spans="1:9">
      <c r="A242" s="24"/>
      <c r="H242" s="27"/>
      <c r="I242" s="20"/>
    </row>
    <row r="243" spans="1:9">
      <c r="A243" s="24"/>
      <c r="H243" s="27"/>
      <c r="I243" s="20"/>
    </row>
    <row r="244" spans="1:9">
      <c r="A244" s="24"/>
      <c r="H244" s="27"/>
      <c r="I244" s="20"/>
    </row>
    <row r="245" spans="1:9">
      <c r="A245" s="24"/>
      <c r="H245" s="27"/>
      <c r="I245" s="20"/>
    </row>
    <row r="246" spans="1:9">
      <c r="A246" s="24"/>
      <c r="H246" s="27"/>
      <c r="I246" s="20"/>
    </row>
    <row r="247" spans="1:9">
      <c r="A247" s="24"/>
      <c r="H247" s="27"/>
      <c r="I247" s="20"/>
    </row>
    <row r="248" spans="1:9">
      <c r="A248" s="24"/>
      <c r="H248" s="27"/>
      <c r="I248" s="20"/>
    </row>
    <row r="249" spans="1:9">
      <c r="A249" s="24"/>
      <c r="H249" s="27"/>
      <c r="I249" s="20"/>
    </row>
    <row r="250" spans="1:9">
      <c r="A250" s="24"/>
      <c r="H250" s="27"/>
      <c r="I250" s="20"/>
    </row>
    <row r="251" spans="1:9">
      <c r="A251" s="24"/>
      <c r="H251" s="27"/>
      <c r="I251" s="20"/>
    </row>
    <row r="252" spans="1:9">
      <c r="A252" s="24"/>
      <c r="H252" s="27"/>
      <c r="I252" s="20"/>
    </row>
    <row r="253" spans="1:9">
      <c r="A253" s="24"/>
      <c r="H253" s="27"/>
      <c r="I253" s="20"/>
    </row>
    <row r="254" spans="1:9">
      <c r="A254" s="24"/>
      <c r="H254" s="27"/>
      <c r="I254" s="20"/>
    </row>
    <row r="255" spans="1:9">
      <c r="A255" s="24"/>
      <c r="H255" s="27"/>
      <c r="I255" s="20"/>
    </row>
    <row r="256" spans="1:9">
      <c r="A256" s="24"/>
      <c r="H256" s="27"/>
      <c r="I256" s="20"/>
    </row>
    <row r="257" spans="1:9">
      <c r="A257" s="24"/>
      <c r="H257" s="27"/>
      <c r="I257" s="20"/>
    </row>
    <row r="258" spans="1:9">
      <c r="A258" s="24"/>
      <c r="H258" s="27"/>
      <c r="I258" s="20"/>
    </row>
    <row r="259" spans="1:9">
      <c r="A259" s="24"/>
      <c r="H259" s="27"/>
      <c r="I259" s="20"/>
    </row>
    <row r="260" spans="1:9">
      <c r="A260" s="24"/>
      <c r="H260" s="27"/>
      <c r="I260" s="20"/>
    </row>
    <row r="261" spans="1:9">
      <c r="A261" s="24"/>
      <c r="H261" s="27"/>
      <c r="I261" s="20"/>
    </row>
    <row r="262" spans="1:9">
      <c r="A262" s="24"/>
      <c r="H262" s="27"/>
      <c r="I262" s="20"/>
    </row>
    <row r="263" spans="1:9">
      <c r="A263" s="24"/>
      <c r="H263" s="27"/>
      <c r="I263" s="20"/>
    </row>
    <row r="264" spans="1:9">
      <c r="A264" s="24"/>
      <c r="H264" s="27"/>
      <c r="I264" s="20"/>
    </row>
    <row r="265" spans="1:9">
      <c r="A265" s="24"/>
      <c r="H265" s="27"/>
      <c r="I265" s="20"/>
    </row>
    <row r="266" spans="1:9">
      <c r="A266" s="24"/>
      <c r="H266" s="27"/>
      <c r="I266" s="20"/>
    </row>
    <row r="267" spans="1:9">
      <c r="A267" s="24"/>
      <c r="H267" s="27"/>
      <c r="I267" s="20"/>
    </row>
    <row r="268" spans="1:9">
      <c r="A268" s="24"/>
      <c r="H268" s="27"/>
      <c r="I268" s="20"/>
    </row>
    <row r="269" spans="1:9">
      <c r="A269" s="24"/>
      <c r="H269" s="27"/>
      <c r="I269" s="20"/>
    </row>
    <row r="270" spans="1:9">
      <c r="A270" s="24"/>
      <c r="H270" s="27"/>
      <c r="I270" s="20"/>
    </row>
    <row r="271" spans="1:9">
      <c r="A271" s="24"/>
      <c r="H271" s="27"/>
      <c r="I271" s="20"/>
    </row>
    <row r="272" spans="1:9">
      <c r="A272" s="24"/>
      <c r="H272" s="27"/>
      <c r="I272" s="20"/>
    </row>
    <row r="273" spans="1:9">
      <c r="A273" s="24"/>
      <c r="H273" s="27"/>
      <c r="I273" s="20"/>
    </row>
    <row r="274" spans="1:9">
      <c r="A274" s="24"/>
      <c r="H274" s="27"/>
      <c r="I274" s="20"/>
    </row>
    <row r="275" spans="1:9">
      <c r="A275" s="24"/>
      <c r="H275" s="27"/>
      <c r="I275" s="20"/>
    </row>
    <row r="276" spans="1:9">
      <c r="A276" s="24"/>
      <c r="H276" s="27"/>
      <c r="I276" s="20"/>
    </row>
    <row r="277" spans="1:9">
      <c r="A277" s="24"/>
      <c r="H277" s="27"/>
      <c r="I277" s="20"/>
    </row>
    <row r="278" spans="1:9">
      <c r="A278" s="24"/>
      <c r="H278" s="27"/>
      <c r="I278" s="20"/>
    </row>
    <row r="279" spans="1:9">
      <c r="A279" s="24"/>
      <c r="H279" s="27"/>
      <c r="I279" s="20"/>
    </row>
    <row r="280" spans="1:9">
      <c r="A280" s="24"/>
      <c r="H280" s="27"/>
      <c r="I280" s="20"/>
    </row>
    <row r="281" spans="1:9">
      <c r="A281" s="24"/>
      <c r="H281" s="27"/>
      <c r="I281" s="20"/>
    </row>
    <row r="282" spans="1:9">
      <c r="A282" s="24"/>
      <c r="H282" s="27"/>
      <c r="I282" s="20"/>
    </row>
    <row r="283" spans="1:9">
      <c r="A283" s="24"/>
      <c r="H283" s="27"/>
      <c r="I283" s="20"/>
    </row>
    <row r="284" spans="1:9">
      <c r="A284" s="24"/>
      <c r="H284" s="27"/>
      <c r="I284" s="20"/>
    </row>
    <row r="285" spans="1:9">
      <c r="A285" s="24"/>
      <c r="H285" s="27"/>
      <c r="I285" s="20"/>
    </row>
    <row r="286" spans="1:9">
      <c r="A286" s="24"/>
      <c r="H286" s="27"/>
      <c r="I286" s="20"/>
    </row>
    <row r="287" spans="1:9">
      <c r="A287" s="24"/>
      <c r="H287" s="27"/>
      <c r="I287" s="20"/>
    </row>
    <row r="288" spans="1:9">
      <c r="A288" s="24"/>
      <c r="H288" s="27"/>
      <c r="I288" s="20"/>
    </row>
    <row r="289" spans="1:9">
      <c r="A289" s="24"/>
      <c r="H289" s="27"/>
      <c r="I289" s="20"/>
    </row>
    <row r="290" spans="1:9">
      <c r="A290" s="24"/>
      <c r="H290" s="27"/>
      <c r="I290" s="20"/>
    </row>
    <row r="291" spans="1:9">
      <c r="A291" s="24"/>
      <c r="H291" s="27"/>
      <c r="I291" s="20"/>
    </row>
    <row r="292" spans="1:9">
      <c r="A292" s="24"/>
      <c r="H292" s="27"/>
      <c r="I292" s="20"/>
    </row>
    <row r="293" spans="1:9">
      <c r="A293" s="24"/>
      <c r="H293" s="27"/>
      <c r="I293" s="20"/>
    </row>
    <row r="294" spans="1:9">
      <c r="A294" s="24"/>
      <c r="H294" s="27"/>
      <c r="I294" s="20"/>
    </row>
    <row r="295" spans="1:9">
      <c r="A295" s="24"/>
      <c r="H295" s="27"/>
      <c r="I295" s="20"/>
    </row>
    <row r="296" spans="1:9">
      <c r="A296" s="24"/>
      <c r="H296" s="27"/>
      <c r="I296" s="20"/>
    </row>
    <row r="297" spans="1:9">
      <c r="A297" s="24"/>
      <c r="H297" s="27"/>
      <c r="I297" s="20"/>
    </row>
    <row r="298" spans="1:9">
      <c r="A298" s="24"/>
      <c r="H298" s="27"/>
      <c r="I298" s="20"/>
    </row>
    <row r="299" spans="1:9">
      <c r="A299" s="24"/>
      <c r="H299" s="27"/>
      <c r="I299" s="20"/>
    </row>
    <row r="300" spans="1:9">
      <c r="A300" s="25"/>
      <c r="B300" s="21"/>
      <c r="C300" s="21"/>
      <c r="D300" s="21"/>
      <c r="E300" s="21"/>
      <c r="F300" s="21"/>
      <c r="G300" s="21"/>
      <c r="H300" s="28"/>
      <c r="I300" s="2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Lists!$A$2:$A$9</xm:f>
          </x14:formula1>
          <xm:sqref>B9:B300</xm:sqref>
        </x14:dataValidation>
        <x14:dataValidation type="list" xr:uid="{00000000-0002-0000-0100-000001000000}">
          <x14:formula1>
            <xm:f>Lists!$B$2:$B$46</xm:f>
          </x14:formula1>
          <xm:sqref>D9:D300</xm:sqref>
        </x14:dataValidation>
        <x14:dataValidation type="list" xr:uid="{00000000-0002-0000-0100-000002000000}">
          <x14:formula1>
            <xm:f>Lists!$C$2:$C$7</xm:f>
          </x14:formula1>
          <xm:sqref>F9:F300</xm:sqref>
        </x14:dataValidation>
        <x14:dataValidation type="list" xr:uid="{00000000-0002-0000-0100-000003000000}">
          <x14:formula1>
            <xm:f>Lists!$D$2:$D$4</xm:f>
          </x14:formula1>
          <xm:sqref>G9:G300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0"/>
  <sheetViews>
    <sheetView workbookViewId="0"/>
  </sheetViews>
  <sheetFormatPr baseColWidth="10" defaultColWidth="8.83203125" defaultRowHeight="14"/>
  <cols>
    <col min="1" max="1" width="11" customWidth="1"/>
    <col min="2" max="2" width="10.83203125" customWidth="1"/>
    <col min="3" max="3" width="10.6640625" customWidth="1"/>
    <col min="4" max="4" width="16.83203125" customWidth="1"/>
    <col min="5" max="5" width="15.1640625" customWidth="1"/>
    <col min="6" max="6" width="11.5" customWidth="1"/>
    <col min="7" max="7" width="4.83203125" customWidth="1"/>
  </cols>
  <sheetData>
    <row r="1" spans="1:7" ht="15">
      <c r="A1" s="1" t="s">
        <v>36</v>
      </c>
      <c r="B1" s="1" t="s">
        <v>28</v>
      </c>
      <c r="C1" s="1" t="s">
        <v>30</v>
      </c>
      <c r="D1" s="1" t="s">
        <v>37</v>
      </c>
      <c r="E1" s="1" t="s">
        <v>38</v>
      </c>
      <c r="F1" s="1" t="s">
        <v>39</v>
      </c>
      <c r="G1" s="1" t="s">
        <v>35</v>
      </c>
    </row>
    <row r="2" spans="1:7">
      <c r="A2" s="29"/>
      <c r="D2" s="27"/>
      <c r="E2" s="27">
        <f>SUMIFS(Expenses!$H$2:$H$300,Expenses!$B$2:$B$300,B2,Expenses!$D$2:$D$300,C2,Expenses!$A$2:$A$300,"&gt;="&amp;EOMONTH(A2,-1)+1,Expenses!$A$2:$A$300,"&lt;="&amp;EOMONTH(A2,0))</f>
        <v>0</v>
      </c>
      <c r="F2" s="27">
        <f t="shared" ref="F2:F65" si="0">D2-E2</f>
        <v>0</v>
      </c>
    </row>
    <row r="3" spans="1:7">
      <c r="A3" s="29"/>
      <c r="D3" s="27"/>
      <c r="E3" s="27">
        <f>SUMIFS(Expenses!$H$2:$H$300,Expenses!$B$2:$B$300,B3,Expenses!$D$2:$D$300,C3,Expenses!$A$2:$A$300,"&gt;="&amp;EOMONTH(A3,-1)+1,Expenses!$A$2:$A$300,"&lt;="&amp;EOMONTH(A3,0))</f>
        <v>0</v>
      </c>
      <c r="F3" s="27">
        <f t="shared" si="0"/>
        <v>0</v>
      </c>
    </row>
    <row r="4" spans="1:7">
      <c r="A4" s="29"/>
      <c r="D4" s="27"/>
      <c r="E4" s="27">
        <f>SUMIFS(Expenses!$H$2:$H$300,Expenses!$B$2:$B$300,B4,Expenses!$D$2:$D$300,C4,Expenses!$A$2:$A$300,"&gt;="&amp;EOMONTH(A4,-1)+1,Expenses!$A$2:$A$300,"&lt;="&amp;EOMONTH(A4,0))</f>
        <v>0</v>
      </c>
      <c r="F4" s="27">
        <f t="shared" si="0"/>
        <v>0</v>
      </c>
    </row>
    <row r="5" spans="1:7">
      <c r="A5" s="29"/>
      <c r="D5" s="27"/>
      <c r="E5" s="27">
        <f>SUMIFS(Expenses!$H$2:$H$300,Expenses!$B$2:$B$300,B5,Expenses!$D$2:$D$300,C5,Expenses!$A$2:$A$300,"&gt;="&amp;EOMONTH(A5,-1)+1,Expenses!$A$2:$A$300,"&lt;="&amp;EOMONTH(A5,0))</f>
        <v>0</v>
      </c>
      <c r="F5" s="27">
        <f t="shared" si="0"/>
        <v>0</v>
      </c>
    </row>
    <row r="6" spans="1:7">
      <c r="A6" s="29"/>
      <c r="D6" s="27"/>
      <c r="E6" s="27">
        <f>SUMIFS(Expenses!$H$2:$H$300,Expenses!$B$2:$B$300,B6,Expenses!$D$2:$D$300,C6,Expenses!$A$2:$A$300,"&gt;="&amp;EOMONTH(A6,-1)+1,Expenses!$A$2:$A$300,"&lt;="&amp;EOMONTH(A6,0))</f>
        <v>0</v>
      </c>
      <c r="F6" s="27">
        <f t="shared" si="0"/>
        <v>0</v>
      </c>
    </row>
    <row r="7" spans="1:7">
      <c r="A7" s="29"/>
      <c r="D7" s="27"/>
      <c r="E7" s="27">
        <f>SUMIFS(Expenses!$H$2:$H$300,Expenses!$B$2:$B$300,B7,Expenses!$D$2:$D$300,C7,Expenses!$A$2:$A$300,"&gt;="&amp;EOMONTH(A7,-1)+1,Expenses!$A$2:$A$300,"&lt;="&amp;EOMONTH(A7,0))</f>
        <v>0</v>
      </c>
      <c r="F7" s="27">
        <f t="shared" si="0"/>
        <v>0</v>
      </c>
    </row>
    <row r="8" spans="1:7">
      <c r="A8" s="29"/>
      <c r="D8" s="27"/>
      <c r="E8" s="27">
        <f>SUMIFS(Expenses!$H$2:$H$300,Expenses!$B$2:$B$300,B8,Expenses!$D$2:$D$300,C8,Expenses!$A$2:$A$300,"&gt;="&amp;EOMONTH(A8,-1)+1,Expenses!$A$2:$A$300,"&lt;="&amp;EOMONTH(A8,0))</f>
        <v>0</v>
      </c>
      <c r="F8" s="27">
        <f t="shared" si="0"/>
        <v>0</v>
      </c>
    </row>
    <row r="9" spans="1:7">
      <c r="A9" s="29"/>
      <c r="D9" s="27"/>
      <c r="E9" s="27">
        <f>SUMIFS(Expenses!$H$2:$H$300,Expenses!$B$2:$B$300,B9,Expenses!$D$2:$D$300,C9,Expenses!$A$2:$A$300,"&gt;="&amp;EOMONTH(A9,-1)+1,Expenses!$A$2:$A$300,"&lt;="&amp;EOMONTH(A9,0))</f>
        <v>0</v>
      </c>
      <c r="F9" s="27">
        <f t="shared" si="0"/>
        <v>0</v>
      </c>
    </row>
    <row r="10" spans="1:7">
      <c r="A10" s="29"/>
      <c r="D10" s="27"/>
      <c r="E10" s="27">
        <f>SUMIFS(Expenses!$H$2:$H$300,Expenses!$B$2:$B$300,B10,Expenses!$D$2:$D$300,C10,Expenses!$A$2:$A$300,"&gt;="&amp;EOMONTH(A10,-1)+1,Expenses!$A$2:$A$300,"&lt;="&amp;EOMONTH(A10,0))</f>
        <v>0</v>
      </c>
      <c r="F10" s="27">
        <f t="shared" si="0"/>
        <v>0</v>
      </c>
    </row>
    <row r="11" spans="1:7">
      <c r="A11" s="29"/>
      <c r="D11" s="27"/>
      <c r="E11" s="27">
        <f>SUMIFS(Expenses!$H$2:$H$300,Expenses!$B$2:$B$300,B11,Expenses!$D$2:$D$300,C11,Expenses!$A$2:$A$300,"&gt;="&amp;EOMONTH(A11,-1)+1,Expenses!$A$2:$A$300,"&lt;="&amp;EOMONTH(A11,0))</f>
        <v>0</v>
      </c>
      <c r="F11" s="27">
        <f t="shared" si="0"/>
        <v>0</v>
      </c>
    </row>
    <row r="12" spans="1:7">
      <c r="A12" s="29"/>
      <c r="D12" s="27"/>
      <c r="E12" s="27">
        <f>SUMIFS(Expenses!$H$2:$H$300,Expenses!$B$2:$B$300,B12,Expenses!$D$2:$D$300,C12,Expenses!$A$2:$A$300,"&gt;="&amp;EOMONTH(A12,-1)+1,Expenses!$A$2:$A$300,"&lt;="&amp;EOMONTH(A12,0))</f>
        <v>0</v>
      </c>
      <c r="F12" s="27">
        <f t="shared" si="0"/>
        <v>0</v>
      </c>
    </row>
    <row r="13" spans="1:7">
      <c r="A13" s="29"/>
      <c r="D13" s="27"/>
      <c r="E13" s="27">
        <f>SUMIFS(Expenses!$H$2:$H$300,Expenses!$B$2:$B$300,B13,Expenses!$D$2:$D$300,C13,Expenses!$A$2:$A$300,"&gt;="&amp;EOMONTH(A13,-1)+1,Expenses!$A$2:$A$300,"&lt;="&amp;EOMONTH(A13,0))</f>
        <v>0</v>
      </c>
      <c r="F13" s="27">
        <f t="shared" si="0"/>
        <v>0</v>
      </c>
    </row>
    <row r="14" spans="1:7">
      <c r="A14" s="29"/>
      <c r="D14" s="27"/>
      <c r="E14" s="27">
        <f>SUMIFS(Expenses!$H$2:$H$300,Expenses!$B$2:$B$300,B14,Expenses!$D$2:$D$300,C14,Expenses!$A$2:$A$300,"&gt;="&amp;EOMONTH(A14,-1)+1,Expenses!$A$2:$A$300,"&lt;="&amp;EOMONTH(A14,0))</f>
        <v>0</v>
      </c>
      <c r="F14" s="27">
        <f t="shared" si="0"/>
        <v>0</v>
      </c>
    </row>
    <row r="15" spans="1:7">
      <c r="A15" s="29"/>
      <c r="D15" s="27"/>
      <c r="E15" s="27">
        <f>SUMIFS(Expenses!$H$2:$H$300,Expenses!$B$2:$B$300,B15,Expenses!$D$2:$D$300,C15,Expenses!$A$2:$A$300,"&gt;="&amp;EOMONTH(A15,-1)+1,Expenses!$A$2:$A$300,"&lt;="&amp;EOMONTH(A15,0))</f>
        <v>0</v>
      </c>
      <c r="F15" s="27">
        <f t="shared" si="0"/>
        <v>0</v>
      </c>
    </row>
    <row r="16" spans="1:7">
      <c r="A16" s="29"/>
      <c r="D16" s="27"/>
      <c r="E16" s="27">
        <f>SUMIFS(Expenses!$H$2:$H$300,Expenses!$B$2:$B$300,B16,Expenses!$D$2:$D$300,C16,Expenses!$A$2:$A$300,"&gt;="&amp;EOMONTH(A16,-1)+1,Expenses!$A$2:$A$300,"&lt;="&amp;EOMONTH(A16,0))</f>
        <v>0</v>
      </c>
      <c r="F16" s="27">
        <f t="shared" si="0"/>
        <v>0</v>
      </c>
    </row>
    <row r="17" spans="1:6">
      <c r="A17" s="29"/>
      <c r="D17" s="27"/>
      <c r="E17" s="27">
        <f>SUMIFS(Expenses!$H$2:$H$300,Expenses!$B$2:$B$300,B17,Expenses!$D$2:$D$300,C17,Expenses!$A$2:$A$300,"&gt;="&amp;EOMONTH(A17,-1)+1,Expenses!$A$2:$A$300,"&lt;="&amp;EOMONTH(A17,0))</f>
        <v>0</v>
      </c>
      <c r="F17" s="27">
        <f t="shared" si="0"/>
        <v>0</v>
      </c>
    </row>
    <row r="18" spans="1:6">
      <c r="A18" s="29"/>
      <c r="D18" s="27"/>
      <c r="E18" s="27">
        <f>SUMIFS(Expenses!$H$2:$H$300,Expenses!$B$2:$B$300,B18,Expenses!$D$2:$D$300,C18,Expenses!$A$2:$A$300,"&gt;="&amp;EOMONTH(A18,-1)+1,Expenses!$A$2:$A$300,"&lt;="&amp;EOMONTH(A18,0))</f>
        <v>0</v>
      </c>
      <c r="F18" s="27">
        <f t="shared" si="0"/>
        <v>0</v>
      </c>
    </row>
    <row r="19" spans="1:6">
      <c r="A19" s="29"/>
      <c r="D19" s="27"/>
      <c r="E19" s="27">
        <f>SUMIFS(Expenses!$H$2:$H$300,Expenses!$B$2:$B$300,B19,Expenses!$D$2:$D$300,C19,Expenses!$A$2:$A$300,"&gt;="&amp;EOMONTH(A19,-1)+1,Expenses!$A$2:$A$300,"&lt;="&amp;EOMONTH(A19,0))</f>
        <v>0</v>
      </c>
      <c r="F19" s="27">
        <f t="shared" si="0"/>
        <v>0</v>
      </c>
    </row>
    <row r="20" spans="1:6">
      <c r="A20" s="29"/>
      <c r="D20" s="27"/>
      <c r="E20" s="27">
        <f>SUMIFS(Expenses!$H$2:$H$300,Expenses!$B$2:$B$300,B20,Expenses!$D$2:$D$300,C20,Expenses!$A$2:$A$300,"&gt;="&amp;EOMONTH(A20,-1)+1,Expenses!$A$2:$A$300,"&lt;="&amp;EOMONTH(A20,0))</f>
        <v>0</v>
      </c>
      <c r="F20" s="27">
        <f t="shared" si="0"/>
        <v>0</v>
      </c>
    </row>
    <row r="21" spans="1:6">
      <c r="A21" s="29"/>
      <c r="D21" s="27"/>
      <c r="E21" s="27">
        <f>SUMIFS(Expenses!$H$2:$H$300,Expenses!$B$2:$B$300,B21,Expenses!$D$2:$D$300,C21,Expenses!$A$2:$A$300,"&gt;="&amp;EOMONTH(A21,-1)+1,Expenses!$A$2:$A$300,"&lt;="&amp;EOMONTH(A21,0))</f>
        <v>0</v>
      </c>
      <c r="F21" s="27">
        <f t="shared" si="0"/>
        <v>0</v>
      </c>
    </row>
    <row r="22" spans="1:6">
      <c r="A22" s="29"/>
      <c r="D22" s="27"/>
      <c r="E22" s="27">
        <f>SUMIFS(Expenses!$H$2:$H$300,Expenses!$B$2:$B$300,B22,Expenses!$D$2:$D$300,C22,Expenses!$A$2:$A$300,"&gt;="&amp;EOMONTH(A22,-1)+1,Expenses!$A$2:$A$300,"&lt;="&amp;EOMONTH(A22,0))</f>
        <v>0</v>
      </c>
      <c r="F22" s="27">
        <f t="shared" si="0"/>
        <v>0</v>
      </c>
    </row>
    <row r="23" spans="1:6">
      <c r="A23" s="29"/>
      <c r="D23" s="27"/>
      <c r="E23" s="27">
        <f>SUMIFS(Expenses!$H$2:$H$300,Expenses!$B$2:$B$300,B23,Expenses!$D$2:$D$300,C23,Expenses!$A$2:$A$300,"&gt;="&amp;EOMONTH(A23,-1)+1,Expenses!$A$2:$A$300,"&lt;="&amp;EOMONTH(A23,0))</f>
        <v>0</v>
      </c>
      <c r="F23" s="27">
        <f t="shared" si="0"/>
        <v>0</v>
      </c>
    </row>
    <row r="24" spans="1:6">
      <c r="A24" s="29"/>
      <c r="D24" s="27"/>
      <c r="E24" s="27">
        <f>SUMIFS(Expenses!$H$2:$H$300,Expenses!$B$2:$B$300,B24,Expenses!$D$2:$D$300,C24,Expenses!$A$2:$A$300,"&gt;="&amp;EOMONTH(A24,-1)+1,Expenses!$A$2:$A$300,"&lt;="&amp;EOMONTH(A24,0))</f>
        <v>0</v>
      </c>
      <c r="F24" s="27">
        <f t="shared" si="0"/>
        <v>0</v>
      </c>
    </row>
    <row r="25" spans="1:6">
      <c r="A25" s="29"/>
      <c r="D25" s="27"/>
      <c r="E25" s="27">
        <f>SUMIFS(Expenses!$H$2:$H$300,Expenses!$B$2:$B$300,B25,Expenses!$D$2:$D$300,C25,Expenses!$A$2:$A$300,"&gt;="&amp;EOMONTH(A25,-1)+1,Expenses!$A$2:$A$300,"&lt;="&amp;EOMONTH(A25,0))</f>
        <v>0</v>
      </c>
      <c r="F25" s="27">
        <f t="shared" si="0"/>
        <v>0</v>
      </c>
    </row>
    <row r="26" spans="1:6">
      <c r="A26" s="29"/>
      <c r="D26" s="27"/>
      <c r="E26" s="27">
        <f>SUMIFS(Expenses!$H$2:$H$300,Expenses!$B$2:$B$300,B26,Expenses!$D$2:$D$300,C26,Expenses!$A$2:$A$300,"&gt;="&amp;EOMONTH(A26,-1)+1,Expenses!$A$2:$A$300,"&lt;="&amp;EOMONTH(A26,0))</f>
        <v>0</v>
      </c>
      <c r="F26" s="27">
        <f t="shared" si="0"/>
        <v>0</v>
      </c>
    </row>
    <row r="27" spans="1:6">
      <c r="A27" s="29"/>
      <c r="D27" s="27"/>
      <c r="E27" s="27">
        <f>SUMIFS(Expenses!$H$2:$H$300,Expenses!$B$2:$B$300,B27,Expenses!$D$2:$D$300,C27,Expenses!$A$2:$A$300,"&gt;="&amp;EOMONTH(A27,-1)+1,Expenses!$A$2:$A$300,"&lt;="&amp;EOMONTH(A27,0))</f>
        <v>0</v>
      </c>
      <c r="F27" s="27">
        <f t="shared" si="0"/>
        <v>0</v>
      </c>
    </row>
    <row r="28" spans="1:6">
      <c r="A28" s="29"/>
      <c r="D28" s="27"/>
      <c r="E28" s="27">
        <f>SUMIFS(Expenses!$H$2:$H$300,Expenses!$B$2:$B$300,B28,Expenses!$D$2:$D$300,C28,Expenses!$A$2:$A$300,"&gt;="&amp;EOMONTH(A28,-1)+1,Expenses!$A$2:$A$300,"&lt;="&amp;EOMONTH(A28,0))</f>
        <v>0</v>
      </c>
      <c r="F28" s="27">
        <f t="shared" si="0"/>
        <v>0</v>
      </c>
    </row>
    <row r="29" spans="1:6">
      <c r="A29" s="29"/>
      <c r="D29" s="27"/>
      <c r="E29" s="27">
        <f>SUMIFS(Expenses!$H$2:$H$300,Expenses!$B$2:$B$300,B29,Expenses!$D$2:$D$300,C29,Expenses!$A$2:$A$300,"&gt;="&amp;EOMONTH(A29,-1)+1,Expenses!$A$2:$A$300,"&lt;="&amp;EOMONTH(A29,0))</f>
        <v>0</v>
      </c>
      <c r="F29" s="27">
        <f t="shared" si="0"/>
        <v>0</v>
      </c>
    </row>
    <row r="30" spans="1:6">
      <c r="A30" s="29"/>
      <c r="D30" s="27"/>
      <c r="E30" s="27">
        <f>SUMIFS(Expenses!$H$2:$H$300,Expenses!$B$2:$B$300,B30,Expenses!$D$2:$D$300,C30,Expenses!$A$2:$A$300,"&gt;="&amp;EOMONTH(A30,-1)+1,Expenses!$A$2:$A$300,"&lt;="&amp;EOMONTH(A30,0))</f>
        <v>0</v>
      </c>
      <c r="F30" s="27">
        <f t="shared" si="0"/>
        <v>0</v>
      </c>
    </row>
    <row r="31" spans="1:6">
      <c r="A31" s="29"/>
      <c r="D31" s="27"/>
      <c r="E31" s="27">
        <f>SUMIFS(Expenses!$H$2:$H$300,Expenses!$B$2:$B$300,B31,Expenses!$D$2:$D$300,C31,Expenses!$A$2:$A$300,"&gt;="&amp;EOMONTH(A31,-1)+1,Expenses!$A$2:$A$300,"&lt;="&amp;EOMONTH(A31,0))</f>
        <v>0</v>
      </c>
      <c r="F31" s="27">
        <f t="shared" si="0"/>
        <v>0</v>
      </c>
    </row>
    <row r="32" spans="1:6">
      <c r="A32" s="29"/>
      <c r="D32" s="27"/>
      <c r="E32" s="27">
        <f>SUMIFS(Expenses!$H$2:$H$300,Expenses!$B$2:$B$300,B32,Expenses!$D$2:$D$300,C32,Expenses!$A$2:$A$300,"&gt;="&amp;EOMONTH(A32,-1)+1,Expenses!$A$2:$A$300,"&lt;="&amp;EOMONTH(A32,0))</f>
        <v>0</v>
      </c>
      <c r="F32" s="27">
        <f t="shared" si="0"/>
        <v>0</v>
      </c>
    </row>
    <row r="33" spans="1:6">
      <c r="A33" s="29"/>
      <c r="D33" s="27"/>
      <c r="E33" s="27">
        <f>SUMIFS(Expenses!$H$2:$H$300,Expenses!$B$2:$B$300,B33,Expenses!$D$2:$D$300,C33,Expenses!$A$2:$A$300,"&gt;="&amp;EOMONTH(A33,-1)+1,Expenses!$A$2:$A$300,"&lt;="&amp;EOMONTH(A33,0))</f>
        <v>0</v>
      </c>
      <c r="F33" s="27">
        <f t="shared" si="0"/>
        <v>0</v>
      </c>
    </row>
    <row r="34" spans="1:6">
      <c r="A34" s="29"/>
      <c r="D34" s="27"/>
      <c r="E34" s="27">
        <f>SUMIFS(Expenses!$H$2:$H$300,Expenses!$B$2:$B$300,B34,Expenses!$D$2:$D$300,C34,Expenses!$A$2:$A$300,"&gt;="&amp;EOMONTH(A34,-1)+1,Expenses!$A$2:$A$300,"&lt;="&amp;EOMONTH(A34,0))</f>
        <v>0</v>
      </c>
      <c r="F34" s="27">
        <f t="shared" si="0"/>
        <v>0</v>
      </c>
    </row>
    <row r="35" spans="1:6">
      <c r="A35" s="29"/>
      <c r="D35" s="27"/>
      <c r="E35" s="27">
        <f>SUMIFS(Expenses!$H$2:$H$300,Expenses!$B$2:$B$300,B35,Expenses!$D$2:$D$300,C35,Expenses!$A$2:$A$300,"&gt;="&amp;EOMONTH(A35,-1)+1,Expenses!$A$2:$A$300,"&lt;="&amp;EOMONTH(A35,0))</f>
        <v>0</v>
      </c>
      <c r="F35" s="27">
        <f t="shared" si="0"/>
        <v>0</v>
      </c>
    </row>
    <row r="36" spans="1:6">
      <c r="A36" s="29"/>
      <c r="D36" s="27"/>
      <c r="E36" s="27">
        <f>SUMIFS(Expenses!$H$2:$H$300,Expenses!$B$2:$B$300,B36,Expenses!$D$2:$D$300,C36,Expenses!$A$2:$A$300,"&gt;="&amp;EOMONTH(A36,-1)+1,Expenses!$A$2:$A$300,"&lt;="&amp;EOMONTH(A36,0))</f>
        <v>0</v>
      </c>
      <c r="F36" s="27">
        <f t="shared" si="0"/>
        <v>0</v>
      </c>
    </row>
    <row r="37" spans="1:6">
      <c r="A37" s="29"/>
      <c r="D37" s="27"/>
      <c r="E37" s="27">
        <f>SUMIFS(Expenses!$H$2:$H$300,Expenses!$B$2:$B$300,B37,Expenses!$D$2:$D$300,C37,Expenses!$A$2:$A$300,"&gt;="&amp;EOMONTH(A37,-1)+1,Expenses!$A$2:$A$300,"&lt;="&amp;EOMONTH(A37,0))</f>
        <v>0</v>
      </c>
      <c r="F37" s="27">
        <f t="shared" si="0"/>
        <v>0</v>
      </c>
    </row>
    <row r="38" spans="1:6">
      <c r="A38" s="29"/>
      <c r="D38" s="27"/>
      <c r="E38" s="27">
        <f>SUMIFS(Expenses!$H$2:$H$300,Expenses!$B$2:$B$300,B38,Expenses!$D$2:$D$300,C38,Expenses!$A$2:$A$300,"&gt;="&amp;EOMONTH(A38,-1)+1,Expenses!$A$2:$A$300,"&lt;="&amp;EOMONTH(A38,0))</f>
        <v>0</v>
      </c>
      <c r="F38" s="27">
        <f t="shared" si="0"/>
        <v>0</v>
      </c>
    </row>
    <row r="39" spans="1:6">
      <c r="A39" s="29"/>
      <c r="D39" s="27"/>
      <c r="E39" s="27">
        <f>SUMIFS(Expenses!$H$2:$H$300,Expenses!$B$2:$B$300,B39,Expenses!$D$2:$D$300,C39,Expenses!$A$2:$A$300,"&gt;="&amp;EOMONTH(A39,-1)+1,Expenses!$A$2:$A$300,"&lt;="&amp;EOMONTH(A39,0))</f>
        <v>0</v>
      </c>
      <c r="F39" s="27">
        <f t="shared" si="0"/>
        <v>0</v>
      </c>
    </row>
    <row r="40" spans="1:6">
      <c r="A40" s="29"/>
      <c r="D40" s="27"/>
      <c r="E40" s="27">
        <f>SUMIFS(Expenses!$H$2:$H$300,Expenses!$B$2:$B$300,B40,Expenses!$D$2:$D$300,C40,Expenses!$A$2:$A$300,"&gt;="&amp;EOMONTH(A40,-1)+1,Expenses!$A$2:$A$300,"&lt;="&amp;EOMONTH(A40,0))</f>
        <v>0</v>
      </c>
      <c r="F40" s="27">
        <f t="shared" si="0"/>
        <v>0</v>
      </c>
    </row>
    <row r="41" spans="1:6">
      <c r="A41" s="29"/>
      <c r="D41" s="27"/>
      <c r="E41" s="27">
        <f>SUMIFS(Expenses!$H$2:$H$300,Expenses!$B$2:$B$300,B41,Expenses!$D$2:$D$300,C41,Expenses!$A$2:$A$300,"&gt;="&amp;EOMONTH(A41,-1)+1,Expenses!$A$2:$A$300,"&lt;="&amp;EOMONTH(A41,0))</f>
        <v>0</v>
      </c>
      <c r="F41" s="27">
        <f t="shared" si="0"/>
        <v>0</v>
      </c>
    </row>
    <row r="42" spans="1:6">
      <c r="A42" s="29"/>
      <c r="D42" s="27"/>
      <c r="E42" s="27">
        <f>SUMIFS(Expenses!$H$2:$H$300,Expenses!$B$2:$B$300,B42,Expenses!$D$2:$D$300,C42,Expenses!$A$2:$A$300,"&gt;="&amp;EOMONTH(A42,-1)+1,Expenses!$A$2:$A$300,"&lt;="&amp;EOMONTH(A42,0))</f>
        <v>0</v>
      </c>
      <c r="F42" s="27">
        <f t="shared" si="0"/>
        <v>0</v>
      </c>
    </row>
    <row r="43" spans="1:6">
      <c r="A43" s="29"/>
      <c r="D43" s="27"/>
      <c r="E43" s="27">
        <f>SUMIFS(Expenses!$H$2:$H$300,Expenses!$B$2:$B$300,B43,Expenses!$D$2:$D$300,C43,Expenses!$A$2:$A$300,"&gt;="&amp;EOMONTH(A43,-1)+1,Expenses!$A$2:$A$300,"&lt;="&amp;EOMONTH(A43,0))</f>
        <v>0</v>
      </c>
      <c r="F43" s="27">
        <f t="shared" si="0"/>
        <v>0</v>
      </c>
    </row>
    <row r="44" spans="1:6">
      <c r="A44" s="29"/>
      <c r="D44" s="27"/>
      <c r="E44" s="27">
        <f>SUMIFS(Expenses!$H$2:$H$300,Expenses!$B$2:$B$300,B44,Expenses!$D$2:$D$300,C44,Expenses!$A$2:$A$300,"&gt;="&amp;EOMONTH(A44,-1)+1,Expenses!$A$2:$A$300,"&lt;="&amp;EOMONTH(A44,0))</f>
        <v>0</v>
      </c>
      <c r="F44" s="27">
        <f t="shared" si="0"/>
        <v>0</v>
      </c>
    </row>
    <row r="45" spans="1:6">
      <c r="A45" s="29"/>
      <c r="D45" s="27"/>
      <c r="E45" s="27">
        <f>SUMIFS(Expenses!$H$2:$H$300,Expenses!$B$2:$B$300,B45,Expenses!$D$2:$D$300,C45,Expenses!$A$2:$A$300,"&gt;="&amp;EOMONTH(A45,-1)+1,Expenses!$A$2:$A$300,"&lt;="&amp;EOMONTH(A45,0))</f>
        <v>0</v>
      </c>
      <c r="F45" s="27">
        <f t="shared" si="0"/>
        <v>0</v>
      </c>
    </row>
    <row r="46" spans="1:6">
      <c r="A46" s="29"/>
      <c r="D46" s="27"/>
      <c r="E46" s="27">
        <f>SUMIFS(Expenses!$H$2:$H$300,Expenses!$B$2:$B$300,B46,Expenses!$D$2:$D$300,C46,Expenses!$A$2:$A$300,"&gt;="&amp;EOMONTH(A46,-1)+1,Expenses!$A$2:$A$300,"&lt;="&amp;EOMONTH(A46,0))</f>
        <v>0</v>
      </c>
      <c r="F46" s="27">
        <f t="shared" si="0"/>
        <v>0</v>
      </c>
    </row>
    <row r="47" spans="1:6">
      <c r="A47" s="29"/>
      <c r="D47" s="27"/>
      <c r="E47" s="27">
        <f>SUMIFS(Expenses!$H$2:$H$300,Expenses!$B$2:$B$300,B47,Expenses!$D$2:$D$300,C47,Expenses!$A$2:$A$300,"&gt;="&amp;EOMONTH(A47,-1)+1,Expenses!$A$2:$A$300,"&lt;="&amp;EOMONTH(A47,0))</f>
        <v>0</v>
      </c>
      <c r="F47" s="27">
        <f t="shared" si="0"/>
        <v>0</v>
      </c>
    </row>
    <row r="48" spans="1:6">
      <c r="A48" s="29"/>
      <c r="D48" s="27"/>
      <c r="E48" s="27">
        <f>SUMIFS(Expenses!$H$2:$H$300,Expenses!$B$2:$B$300,B48,Expenses!$D$2:$D$300,C48,Expenses!$A$2:$A$300,"&gt;="&amp;EOMONTH(A48,-1)+1,Expenses!$A$2:$A$300,"&lt;="&amp;EOMONTH(A48,0))</f>
        <v>0</v>
      </c>
      <c r="F48" s="27">
        <f t="shared" si="0"/>
        <v>0</v>
      </c>
    </row>
    <row r="49" spans="1:6">
      <c r="A49" s="29"/>
      <c r="D49" s="27"/>
      <c r="E49" s="27">
        <f>SUMIFS(Expenses!$H$2:$H$300,Expenses!$B$2:$B$300,B49,Expenses!$D$2:$D$300,C49,Expenses!$A$2:$A$300,"&gt;="&amp;EOMONTH(A49,-1)+1,Expenses!$A$2:$A$300,"&lt;="&amp;EOMONTH(A49,0))</f>
        <v>0</v>
      </c>
      <c r="F49" s="27">
        <f t="shared" si="0"/>
        <v>0</v>
      </c>
    </row>
    <row r="50" spans="1:6">
      <c r="A50" s="29"/>
      <c r="D50" s="27"/>
      <c r="E50" s="27">
        <f>SUMIFS(Expenses!$H$2:$H$300,Expenses!$B$2:$B$300,B50,Expenses!$D$2:$D$300,C50,Expenses!$A$2:$A$300,"&gt;="&amp;EOMONTH(A50,-1)+1,Expenses!$A$2:$A$300,"&lt;="&amp;EOMONTH(A50,0))</f>
        <v>0</v>
      </c>
      <c r="F50" s="27">
        <f t="shared" si="0"/>
        <v>0</v>
      </c>
    </row>
    <row r="51" spans="1:6">
      <c r="A51" s="29"/>
      <c r="D51" s="27"/>
      <c r="E51" s="27">
        <f>SUMIFS(Expenses!$H$2:$H$300,Expenses!$B$2:$B$300,B51,Expenses!$D$2:$D$300,C51,Expenses!$A$2:$A$300,"&gt;="&amp;EOMONTH(A51,-1)+1,Expenses!$A$2:$A$300,"&lt;="&amp;EOMONTH(A51,0))</f>
        <v>0</v>
      </c>
      <c r="F51" s="27">
        <f t="shared" si="0"/>
        <v>0</v>
      </c>
    </row>
    <row r="52" spans="1:6">
      <c r="A52" s="29"/>
      <c r="D52" s="27"/>
      <c r="E52" s="27">
        <f>SUMIFS(Expenses!$H$2:$H$300,Expenses!$B$2:$B$300,B52,Expenses!$D$2:$D$300,C52,Expenses!$A$2:$A$300,"&gt;="&amp;EOMONTH(A52,-1)+1,Expenses!$A$2:$A$300,"&lt;="&amp;EOMONTH(A52,0))</f>
        <v>0</v>
      </c>
      <c r="F52" s="27">
        <f t="shared" si="0"/>
        <v>0</v>
      </c>
    </row>
    <row r="53" spans="1:6">
      <c r="A53" s="29"/>
      <c r="D53" s="27"/>
      <c r="E53" s="27">
        <f>SUMIFS(Expenses!$H$2:$H$300,Expenses!$B$2:$B$300,B53,Expenses!$D$2:$D$300,C53,Expenses!$A$2:$A$300,"&gt;="&amp;EOMONTH(A53,-1)+1,Expenses!$A$2:$A$300,"&lt;="&amp;EOMONTH(A53,0))</f>
        <v>0</v>
      </c>
      <c r="F53" s="27">
        <f t="shared" si="0"/>
        <v>0</v>
      </c>
    </row>
    <row r="54" spans="1:6">
      <c r="A54" s="29"/>
      <c r="D54" s="27"/>
      <c r="E54" s="27">
        <f>SUMIFS(Expenses!$H$2:$H$300,Expenses!$B$2:$B$300,B54,Expenses!$D$2:$D$300,C54,Expenses!$A$2:$A$300,"&gt;="&amp;EOMONTH(A54,-1)+1,Expenses!$A$2:$A$300,"&lt;="&amp;EOMONTH(A54,0))</f>
        <v>0</v>
      </c>
      <c r="F54" s="27">
        <f t="shared" si="0"/>
        <v>0</v>
      </c>
    </row>
    <row r="55" spans="1:6">
      <c r="A55" s="29"/>
      <c r="D55" s="27"/>
      <c r="E55" s="27">
        <f>SUMIFS(Expenses!$H$2:$H$300,Expenses!$B$2:$B$300,B55,Expenses!$D$2:$D$300,C55,Expenses!$A$2:$A$300,"&gt;="&amp;EOMONTH(A55,-1)+1,Expenses!$A$2:$A$300,"&lt;="&amp;EOMONTH(A55,0))</f>
        <v>0</v>
      </c>
      <c r="F55" s="27">
        <f t="shared" si="0"/>
        <v>0</v>
      </c>
    </row>
    <row r="56" spans="1:6">
      <c r="A56" s="29"/>
      <c r="D56" s="27"/>
      <c r="E56" s="27">
        <f>SUMIFS(Expenses!$H$2:$H$300,Expenses!$B$2:$B$300,B56,Expenses!$D$2:$D$300,C56,Expenses!$A$2:$A$300,"&gt;="&amp;EOMONTH(A56,-1)+1,Expenses!$A$2:$A$300,"&lt;="&amp;EOMONTH(A56,0))</f>
        <v>0</v>
      </c>
      <c r="F56" s="27">
        <f t="shared" si="0"/>
        <v>0</v>
      </c>
    </row>
    <row r="57" spans="1:6">
      <c r="A57" s="29"/>
      <c r="D57" s="27"/>
      <c r="E57" s="27">
        <f>SUMIFS(Expenses!$H$2:$H$300,Expenses!$B$2:$B$300,B57,Expenses!$D$2:$D$300,C57,Expenses!$A$2:$A$300,"&gt;="&amp;EOMONTH(A57,-1)+1,Expenses!$A$2:$A$300,"&lt;="&amp;EOMONTH(A57,0))</f>
        <v>0</v>
      </c>
      <c r="F57" s="27">
        <f t="shared" si="0"/>
        <v>0</v>
      </c>
    </row>
    <row r="58" spans="1:6">
      <c r="A58" s="29"/>
      <c r="D58" s="27"/>
      <c r="E58" s="27">
        <f>SUMIFS(Expenses!$H$2:$H$300,Expenses!$B$2:$B$300,B58,Expenses!$D$2:$D$300,C58,Expenses!$A$2:$A$300,"&gt;="&amp;EOMONTH(A58,-1)+1,Expenses!$A$2:$A$300,"&lt;="&amp;EOMONTH(A58,0))</f>
        <v>0</v>
      </c>
      <c r="F58" s="27">
        <f t="shared" si="0"/>
        <v>0</v>
      </c>
    </row>
    <row r="59" spans="1:6">
      <c r="A59" s="29"/>
      <c r="D59" s="27"/>
      <c r="E59" s="27">
        <f>SUMIFS(Expenses!$H$2:$H$300,Expenses!$B$2:$B$300,B59,Expenses!$D$2:$D$300,C59,Expenses!$A$2:$A$300,"&gt;="&amp;EOMONTH(A59,-1)+1,Expenses!$A$2:$A$300,"&lt;="&amp;EOMONTH(A59,0))</f>
        <v>0</v>
      </c>
      <c r="F59" s="27">
        <f t="shared" si="0"/>
        <v>0</v>
      </c>
    </row>
    <row r="60" spans="1:6">
      <c r="A60" s="29"/>
      <c r="D60" s="27"/>
      <c r="E60" s="27">
        <f>SUMIFS(Expenses!$H$2:$H$300,Expenses!$B$2:$B$300,B60,Expenses!$D$2:$D$300,C60,Expenses!$A$2:$A$300,"&gt;="&amp;EOMONTH(A60,-1)+1,Expenses!$A$2:$A$300,"&lt;="&amp;EOMONTH(A60,0))</f>
        <v>0</v>
      </c>
      <c r="F60" s="27">
        <f t="shared" si="0"/>
        <v>0</v>
      </c>
    </row>
    <row r="61" spans="1:6">
      <c r="A61" s="29"/>
      <c r="D61" s="27"/>
      <c r="E61" s="27">
        <f>SUMIFS(Expenses!$H$2:$H$300,Expenses!$B$2:$B$300,B61,Expenses!$D$2:$D$300,C61,Expenses!$A$2:$A$300,"&gt;="&amp;EOMONTH(A61,-1)+1,Expenses!$A$2:$A$300,"&lt;="&amp;EOMONTH(A61,0))</f>
        <v>0</v>
      </c>
      <c r="F61" s="27">
        <f t="shared" si="0"/>
        <v>0</v>
      </c>
    </row>
    <row r="62" spans="1:6">
      <c r="A62" s="29"/>
      <c r="D62" s="27"/>
      <c r="E62" s="27">
        <f>SUMIFS(Expenses!$H$2:$H$300,Expenses!$B$2:$B$300,B62,Expenses!$D$2:$D$300,C62,Expenses!$A$2:$A$300,"&gt;="&amp;EOMONTH(A62,-1)+1,Expenses!$A$2:$A$300,"&lt;="&amp;EOMONTH(A62,0))</f>
        <v>0</v>
      </c>
      <c r="F62" s="27">
        <f t="shared" si="0"/>
        <v>0</v>
      </c>
    </row>
    <row r="63" spans="1:6">
      <c r="A63" s="29"/>
      <c r="D63" s="27"/>
      <c r="E63" s="27">
        <f>SUMIFS(Expenses!$H$2:$H$300,Expenses!$B$2:$B$300,B63,Expenses!$D$2:$D$300,C63,Expenses!$A$2:$A$300,"&gt;="&amp;EOMONTH(A63,-1)+1,Expenses!$A$2:$A$300,"&lt;="&amp;EOMONTH(A63,0))</f>
        <v>0</v>
      </c>
      <c r="F63" s="27">
        <f t="shared" si="0"/>
        <v>0</v>
      </c>
    </row>
    <row r="64" spans="1:6">
      <c r="A64" s="29"/>
      <c r="D64" s="27"/>
      <c r="E64" s="27">
        <f>SUMIFS(Expenses!$H$2:$H$300,Expenses!$B$2:$B$300,B64,Expenses!$D$2:$D$300,C64,Expenses!$A$2:$A$300,"&gt;="&amp;EOMONTH(A64,-1)+1,Expenses!$A$2:$A$300,"&lt;="&amp;EOMONTH(A64,0))</f>
        <v>0</v>
      </c>
      <c r="F64" s="27">
        <f t="shared" si="0"/>
        <v>0</v>
      </c>
    </row>
    <row r="65" spans="1:6">
      <c r="A65" s="29"/>
      <c r="D65" s="27"/>
      <c r="E65" s="27">
        <f>SUMIFS(Expenses!$H$2:$H$300,Expenses!$B$2:$B$300,B65,Expenses!$D$2:$D$300,C65,Expenses!$A$2:$A$300,"&gt;="&amp;EOMONTH(A65,-1)+1,Expenses!$A$2:$A$300,"&lt;="&amp;EOMONTH(A65,0))</f>
        <v>0</v>
      </c>
      <c r="F65" s="27">
        <f t="shared" si="0"/>
        <v>0</v>
      </c>
    </row>
    <row r="66" spans="1:6">
      <c r="A66" s="29"/>
      <c r="D66" s="27"/>
      <c r="E66" s="27">
        <f>SUMIFS(Expenses!$H$2:$H$300,Expenses!$B$2:$B$300,B66,Expenses!$D$2:$D$300,C66,Expenses!$A$2:$A$300,"&gt;="&amp;EOMONTH(A66,-1)+1,Expenses!$A$2:$A$300,"&lt;="&amp;EOMONTH(A66,0))</f>
        <v>0</v>
      </c>
      <c r="F66" s="27">
        <f t="shared" ref="F66:F129" si="1">D66-E66</f>
        <v>0</v>
      </c>
    </row>
    <row r="67" spans="1:6">
      <c r="A67" s="29"/>
      <c r="D67" s="27"/>
      <c r="E67" s="27">
        <f>SUMIFS(Expenses!$H$2:$H$300,Expenses!$B$2:$B$300,B67,Expenses!$D$2:$D$300,C67,Expenses!$A$2:$A$300,"&gt;="&amp;EOMONTH(A67,-1)+1,Expenses!$A$2:$A$300,"&lt;="&amp;EOMONTH(A67,0))</f>
        <v>0</v>
      </c>
      <c r="F67" s="27">
        <f t="shared" si="1"/>
        <v>0</v>
      </c>
    </row>
    <row r="68" spans="1:6">
      <c r="A68" s="29"/>
      <c r="D68" s="27"/>
      <c r="E68" s="27">
        <f>SUMIFS(Expenses!$H$2:$H$300,Expenses!$B$2:$B$300,B68,Expenses!$D$2:$D$300,C68,Expenses!$A$2:$A$300,"&gt;="&amp;EOMONTH(A68,-1)+1,Expenses!$A$2:$A$300,"&lt;="&amp;EOMONTH(A68,0))</f>
        <v>0</v>
      </c>
      <c r="F68" s="27">
        <f t="shared" si="1"/>
        <v>0</v>
      </c>
    </row>
    <row r="69" spans="1:6">
      <c r="A69" s="29"/>
      <c r="D69" s="27"/>
      <c r="E69" s="27">
        <f>SUMIFS(Expenses!$H$2:$H$300,Expenses!$B$2:$B$300,B69,Expenses!$D$2:$D$300,C69,Expenses!$A$2:$A$300,"&gt;="&amp;EOMONTH(A69,-1)+1,Expenses!$A$2:$A$300,"&lt;="&amp;EOMONTH(A69,0))</f>
        <v>0</v>
      </c>
      <c r="F69" s="27">
        <f t="shared" si="1"/>
        <v>0</v>
      </c>
    </row>
    <row r="70" spans="1:6">
      <c r="A70" s="29"/>
      <c r="D70" s="27"/>
      <c r="E70" s="27">
        <f>SUMIFS(Expenses!$H$2:$H$300,Expenses!$B$2:$B$300,B70,Expenses!$D$2:$D$300,C70,Expenses!$A$2:$A$300,"&gt;="&amp;EOMONTH(A70,-1)+1,Expenses!$A$2:$A$300,"&lt;="&amp;EOMONTH(A70,0))</f>
        <v>0</v>
      </c>
      <c r="F70" s="27">
        <f t="shared" si="1"/>
        <v>0</v>
      </c>
    </row>
    <row r="71" spans="1:6">
      <c r="A71" s="29"/>
      <c r="D71" s="27"/>
      <c r="E71" s="27">
        <f>SUMIFS(Expenses!$H$2:$H$300,Expenses!$B$2:$B$300,B71,Expenses!$D$2:$D$300,C71,Expenses!$A$2:$A$300,"&gt;="&amp;EOMONTH(A71,-1)+1,Expenses!$A$2:$A$300,"&lt;="&amp;EOMONTH(A71,0))</f>
        <v>0</v>
      </c>
      <c r="F71" s="27">
        <f t="shared" si="1"/>
        <v>0</v>
      </c>
    </row>
    <row r="72" spans="1:6">
      <c r="A72" s="29"/>
      <c r="D72" s="27"/>
      <c r="E72" s="27">
        <f>SUMIFS(Expenses!$H$2:$H$300,Expenses!$B$2:$B$300,B72,Expenses!$D$2:$D$300,C72,Expenses!$A$2:$A$300,"&gt;="&amp;EOMONTH(A72,-1)+1,Expenses!$A$2:$A$300,"&lt;="&amp;EOMONTH(A72,0))</f>
        <v>0</v>
      </c>
      <c r="F72" s="27">
        <f t="shared" si="1"/>
        <v>0</v>
      </c>
    </row>
    <row r="73" spans="1:6">
      <c r="A73" s="29"/>
      <c r="D73" s="27"/>
      <c r="E73" s="27">
        <f>SUMIFS(Expenses!$H$2:$H$300,Expenses!$B$2:$B$300,B73,Expenses!$D$2:$D$300,C73,Expenses!$A$2:$A$300,"&gt;="&amp;EOMONTH(A73,-1)+1,Expenses!$A$2:$A$300,"&lt;="&amp;EOMONTH(A73,0))</f>
        <v>0</v>
      </c>
      <c r="F73" s="27">
        <f t="shared" si="1"/>
        <v>0</v>
      </c>
    </row>
    <row r="74" spans="1:6">
      <c r="A74" s="29"/>
      <c r="D74" s="27"/>
      <c r="E74" s="27">
        <f>SUMIFS(Expenses!$H$2:$H$300,Expenses!$B$2:$B$300,B74,Expenses!$D$2:$D$300,C74,Expenses!$A$2:$A$300,"&gt;="&amp;EOMONTH(A74,-1)+1,Expenses!$A$2:$A$300,"&lt;="&amp;EOMONTH(A74,0))</f>
        <v>0</v>
      </c>
      <c r="F74" s="27">
        <f t="shared" si="1"/>
        <v>0</v>
      </c>
    </row>
    <row r="75" spans="1:6">
      <c r="A75" s="29"/>
      <c r="D75" s="27"/>
      <c r="E75" s="27">
        <f>SUMIFS(Expenses!$H$2:$H$300,Expenses!$B$2:$B$300,B75,Expenses!$D$2:$D$300,C75,Expenses!$A$2:$A$300,"&gt;="&amp;EOMONTH(A75,-1)+1,Expenses!$A$2:$A$300,"&lt;="&amp;EOMONTH(A75,0))</f>
        <v>0</v>
      </c>
      <c r="F75" s="27">
        <f t="shared" si="1"/>
        <v>0</v>
      </c>
    </row>
    <row r="76" spans="1:6">
      <c r="A76" s="29"/>
      <c r="D76" s="27"/>
      <c r="E76" s="27">
        <f>SUMIFS(Expenses!$H$2:$H$300,Expenses!$B$2:$B$300,B76,Expenses!$D$2:$D$300,C76,Expenses!$A$2:$A$300,"&gt;="&amp;EOMONTH(A76,-1)+1,Expenses!$A$2:$A$300,"&lt;="&amp;EOMONTH(A76,0))</f>
        <v>0</v>
      </c>
      <c r="F76" s="27">
        <f t="shared" si="1"/>
        <v>0</v>
      </c>
    </row>
    <row r="77" spans="1:6">
      <c r="A77" s="29"/>
      <c r="D77" s="27"/>
      <c r="E77" s="27">
        <f>SUMIFS(Expenses!$H$2:$H$300,Expenses!$B$2:$B$300,B77,Expenses!$D$2:$D$300,C77,Expenses!$A$2:$A$300,"&gt;="&amp;EOMONTH(A77,-1)+1,Expenses!$A$2:$A$300,"&lt;="&amp;EOMONTH(A77,0))</f>
        <v>0</v>
      </c>
      <c r="F77" s="27">
        <f t="shared" si="1"/>
        <v>0</v>
      </c>
    </row>
    <row r="78" spans="1:6">
      <c r="A78" s="29"/>
      <c r="D78" s="27"/>
      <c r="E78" s="27">
        <f>SUMIFS(Expenses!$H$2:$H$300,Expenses!$B$2:$B$300,B78,Expenses!$D$2:$D$300,C78,Expenses!$A$2:$A$300,"&gt;="&amp;EOMONTH(A78,-1)+1,Expenses!$A$2:$A$300,"&lt;="&amp;EOMONTH(A78,0))</f>
        <v>0</v>
      </c>
      <c r="F78" s="27">
        <f t="shared" si="1"/>
        <v>0</v>
      </c>
    </row>
    <row r="79" spans="1:6">
      <c r="A79" s="29"/>
      <c r="D79" s="27"/>
      <c r="E79" s="27">
        <f>SUMIFS(Expenses!$H$2:$H$300,Expenses!$B$2:$B$300,B79,Expenses!$D$2:$D$300,C79,Expenses!$A$2:$A$300,"&gt;="&amp;EOMONTH(A79,-1)+1,Expenses!$A$2:$A$300,"&lt;="&amp;EOMONTH(A79,0))</f>
        <v>0</v>
      </c>
      <c r="F79" s="27">
        <f t="shared" si="1"/>
        <v>0</v>
      </c>
    </row>
    <row r="80" spans="1:6">
      <c r="A80" s="29"/>
      <c r="D80" s="27"/>
      <c r="E80" s="27">
        <f>SUMIFS(Expenses!$H$2:$H$300,Expenses!$B$2:$B$300,B80,Expenses!$D$2:$D$300,C80,Expenses!$A$2:$A$300,"&gt;="&amp;EOMONTH(A80,-1)+1,Expenses!$A$2:$A$300,"&lt;="&amp;EOMONTH(A80,0))</f>
        <v>0</v>
      </c>
      <c r="F80" s="27">
        <f t="shared" si="1"/>
        <v>0</v>
      </c>
    </row>
    <row r="81" spans="1:6">
      <c r="A81" s="29"/>
      <c r="D81" s="27"/>
      <c r="E81" s="27">
        <f>SUMIFS(Expenses!$H$2:$H$300,Expenses!$B$2:$B$300,B81,Expenses!$D$2:$D$300,C81,Expenses!$A$2:$A$300,"&gt;="&amp;EOMONTH(A81,-1)+1,Expenses!$A$2:$A$300,"&lt;="&amp;EOMONTH(A81,0))</f>
        <v>0</v>
      </c>
      <c r="F81" s="27">
        <f t="shared" si="1"/>
        <v>0</v>
      </c>
    </row>
    <row r="82" spans="1:6">
      <c r="A82" s="29"/>
      <c r="D82" s="27"/>
      <c r="E82" s="27">
        <f>SUMIFS(Expenses!$H$2:$H$300,Expenses!$B$2:$B$300,B82,Expenses!$D$2:$D$300,C82,Expenses!$A$2:$A$300,"&gt;="&amp;EOMONTH(A82,-1)+1,Expenses!$A$2:$A$300,"&lt;="&amp;EOMONTH(A82,0))</f>
        <v>0</v>
      </c>
      <c r="F82" s="27">
        <f t="shared" si="1"/>
        <v>0</v>
      </c>
    </row>
    <row r="83" spans="1:6">
      <c r="A83" s="29"/>
      <c r="D83" s="27"/>
      <c r="E83" s="27">
        <f>SUMIFS(Expenses!$H$2:$H$300,Expenses!$B$2:$B$300,B83,Expenses!$D$2:$D$300,C83,Expenses!$A$2:$A$300,"&gt;="&amp;EOMONTH(A83,-1)+1,Expenses!$A$2:$A$300,"&lt;="&amp;EOMONTH(A83,0))</f>
        <v>0</v>
      </c>
      <c r="F83" s="27">
        <f t="shared" si="1"/>
        <v>0</v>
      </c>
    </row>
    <row r="84" spans="1:6">
      <c r="A84" s="29"/>
      <c r="D84" s="27"/>
      <c r="E84" s="27">
        <f>SUMIFS(Expenses!$H$2:$H$300,Expenses!$B$2:$B$300,B84,Expenses!$D$2:$D$300,C84,Expenses!$A$2:$A$300,"&gt;="&amp;EOMONTH(A84,-1)+1,Expenses!$A$2:$A$300,"&lt;="&amp;EOMONTH(A84,0))</f>
        <v>0</v>
      </c>
      <c r="F84" s="27">
        <f t="shared" si="1"/>
        <v>0</v>
      </c>
    </row>
    <row r="85" spans="1:6">
      <c r="A85" s="29"/>
      <c r="D85" s="27"/>
      <c r="E85" s="27">
        <f>SUMIFS(Expenses!$H$2:$H$300,Expenses!$B$2:$B$300,B85,Expenses!$D$2:$D$300,C85,Expenses!$A$2:$A$300,"&gt;="&amp;EOMONTH(A85,-1)+1,Expenses!$A$2:$A$300,"&lt;="&amp;EOMONTH(A85,0))</f>
        <v>0</v>
      </c>
      <c r="F85" s="27">
        <f t="shared" si="1"/>
        <v>0</v>
      </c>
    </row>
    <row r="86" spans="1:6">
      <c r="A86" s="29"/>
      <c r="D86" s="27"/>
      <c r="E86" s="27">
        <f>SUMIFS(Expenses!$H$2:$H$300,Expenses!$B$2:$B$300,B86,Expenses!$D$2:$D$300,C86,Expenses!$A$2:$A$300,"&gt;="&amp;EOMONTH(A86,-1)+1,Expenses!$A$2:$A$300,"&lt;="&amp;EOMONTH(A86,0))</f>
        <v>0</v>
      </c>
      <c r="F86" s="27">
        <f t="shared" si="1"/>
        <v>0</v>
      </c>
    </row>
    <row r="87" spans="1:6">
      <c r="A87" s="29"/>
      <c r="D87" s="27"/>
      <c r="E87" s="27">
        <f>SUMIFS(Expenses!$H$2:$H$300,Expenses!$B$2:$B$300,B87,Expenses!$D$2:$D$300,C87,Expenses!$A$2:$A$300,"&gt;="&amp;EOMONTH(A87,-1)+1,Expenses!$A$2:$A$300,"&lt;="&amp;EOMONTH(A87,0))</f>
        <v>0</v>
      </c>
      <c r="F87" s="27">
        <f t="shared" si="1"/>
        <v>0</v>
      </c>
    </row>
    <row r="88" spans="1:6">
      <c r="A88" s="29"/>
      <c r="D88" s="27"/>
      <c r="E88" s="27">
        <f>SUMIFS(Expenses!$H$2:$H$300,Expenses!$B$2:$B$300,B88,Expenses!$D$2:$D$300,C88,Expenses!$A$2:$A$300,"&gt;="&amp;EOMONTH(A88,-1)+1,Expenses!$A$2:$A$300,"&lt;="&amp;EOMONTH(A88,0))</f>
        <v>0</v>
      </c>
      <c r="F88" s="27">
        <f t="shared" si="1"/>
        <v>0</v>
      </c>
    </row>
    <row r="89" spans="1:6">
      <c r="A89" s="29"/>
      <c r="D89" s="27"/>
      <c r="E89" s="27">
        <f>SUMIFS(Expenses!$H$2:$H$300,Expenses!$B$2:$B$300,B89,Expenses!$D$2:$D$300,C89,Expenses!$A$2:$A$300,"&gt;="&amp;EOMONTH(A89,-1)+1,Expenses!$A$2:$A$300,"&lt;="&amp;EOMONTH(A89,0))</f>
        <v>0</v>
      </c>
      <c r="F89" s="27">
        <f t="shared" si="1"/>
        <v>0</v>
      </c>
    </row>
    <row r="90" spans="1:6">
      <c r="A90" s="29"/>
      <c r="D90" s="27"/>
      <c r="E90" s="27">
        <f>SUMIFS(Expenses!$H$2:$H$300,Expenses!$B$2:$B$300,B90,Expenses!$D$2:$D$300,C90,Expenses!$A$2:$A$300,"&gt;="&amp;EOMONTH(A90,-1)+1,Expenses!$A$2:$A$300,"&lt;="&amp;EOMONTH(A90,0))</f>
        <v>0</v>
      </c>
      <c r="F90" s="27">
        <f t="shared" si="1"/>
        <v>0</v>
      </c>
    </row>
    <row r="91" spans="1:6">
      <c r="A91" s="29"/>
      <c r="D91" s="27"/>
      <c r="E91" s="27">
        <f>SUMIFS(Expenses!$H$2:$H$300,Expenses!$B$2:$B$300,B91,Expenses!$D$2:$D$300,C91,Expenses!$A$2:$A$300,"&gt;="&amp;EOMONTH(A91,-1)+1,Expenses!$A$2:$A$300,"&lt;="&amp;EOMONTH(A91,0))</f>
        <v>0</v>
      </c>
      <c r="F91" s="27">
        <f t="shared" si="1"/>
        <v>0</v>
      </c>
    </row>
    <row r="92" spans="1:6">
      <c r="A92" s="29"/>
      <c r="D92" s="27"/>
      <c r="E92" s="27">
        <f>SUMIFS(Expenses!$H$2:$H$300,Expenses!$B$2:$B$300,B92,Expenses!$D$2:$D$300,C92,Expenses!$A$2:$A$300,"&gt;="&amp;EOMONTH(A92,-1)+1,Expenses!$A$2:$A$300,"&lt;="&amp;EOMONTH(A92,0))</f>
        <v>0</v>
      </c>
      <c r="F92" s="27">
        <f t="shared" si="1"/>
        <v>0</v>
      </c>
    </row>
    <row r="93" spans="1:6">
      <c r="A93" s="29"/>
      <c r="D93" s="27"/>
      <c r="E93" s="27">
        <f>SUMIFS(Expenses!$H$2:$H$300,Expenses!$B$2:$B$300,B93,Expenses!$D$2:$D$300,C93,Expenses!$A$2:$A$300,"&gt;="&amp;EOMONTH(A93,-1)+1,Expenses!$A$2:$A$300,"&lt;="&amp;EOMONTH(A93,0))</f>
        <v>0</v>
      </c>
      <c r="F93" s="27">
        <f t="shared" si="1"/>
        <v>0</v>
      </c>
    </row>
    <row r="94" spans="1:6">
      <c r="A94" s="29"/>
      <c r="D94" s="27"/>
      <c r="E94" s="27">
        <f>SUMIFS(Expenses!$H$2:$H$300,Expenses!$B$2:$B$300,B94,Expenses!$D$2:$D$300,C94,Expenses!$A$2:$A$300,"&gt;="&amp;EOMONTH(A94,-1)+1,Expenses!$A$2:$A$300,"&lt;="&amp;EOMONTH(A94,0))</f>
        <v>0</v>
      </c>
      <c r="F94" s="27">
        <f t="shared" si="1"/>
        <v>0</v>
      </c>
    </row>
    <row r="95" spans="1:6">
      <c r="A95" s="29"/>
      <c r="D95" s="27"/>
      <c r="E95" s="27">
        <f>SUMIFS(Expenses!$H$2:$H$300,Expenses!$B$2:$B$300,B95,Expenses!$D$2:$D$300,C95,Expenses!$A$2:$A$300,"&gt;="&amp;EOMONTH(A95,-1)+1,Expenses!$A$2:$A$300,"&lt;="&amp;EOMONTH(A95,0))</f>
        <v>0</v>
      </c>
      <c r="F95" s="27">
        <f t="shared" si="1"/>
        <v>0</v>
      </c>
    </row>
    <row r="96" spans="1:6">
      <c r="A96" s="29"/>
      <c r="D96" s="27"/>
      <c r="E96" s="27">
        <f>SUMIFS(Expenses!$H$2:$H$300,Expenses!$B$2:$B$300,B96,Expenses!$D$2:$D$300,C96,Expenses!$A$2:$A$300,"&gt;="&amp;EOMONTH(A96,-1)+1,Expenses!$A$2:$A$300,"&lt;="&amp;EOMONTH(A96,0))</f>
        <v>0</v>
      </c>
      <c r="F96" s="27">
        <f t="shared" si="1"/>
        <v>0</v>
      </c>
    </row>
    <row r="97" spans="1:6">
      <c r="A97" s="29"/>
      <c r="D97" s="27"/>
      <c r="E97" s="27">
        <f>SUMIFS(Expenses!$H$2:$H$300,Expenses!$B$2:$B$300,B97,Expenses!$D$2:$D$300,C97,Expenses!$A$2:$A$300,"&gt;="&amp;EOMONTH(A97,-1)+1,Expenses!$A$2:$A$300,"&lt;="&amp;EOMONTH(A97,0))</f>
        <v>0</v>
      </c>
      <c r="F97" s="27">
        <f t="shared" si="1"/>
        <v>0</v>
      </c>
    </row>
    <row r="98" spans="1:6">
      <c r="A98" s="29"/>
      <c r="D98" s="27"/>
      <c r="E98" s="27">
        <f>SUMIFS(Expenses!$H$2:$H$300,Expenses!$B$2:$B$300,B98,Expenses!$D$2:$D$300,C98,Expenses!$A$2:$A$300,"&gt;="&amp;EOMONTH(A98,-1)+1,Expenses!$A$2:$A$300,"&lt;="&amp;EOMONTH(A98,0))</f>
        <v>0</v>
      </c>
      <c r="F98" s="27">
        <f t="shared" si="1"/>
        <v>0</v>
      </c>
    </row>
    <row r="99" spans="1:6">
      <c r="A99" s="29"/>
      <c r="D99" s="27"/>
      <c r="E99" s="27">
        <f>SUMIFS(Expenses!$H$2:$H$300,Expenses!$B$2:$B$300,B99,Expenses!$D$2:$D$300,C99,Expenses!$A$2:$A$300,"&gt;="&amp;EOMONTH(A99,-1)+1,Expenses!$A$2:$A$300,"&lt;="&amp;EOMONTH(A99,0))</f>
        <v>0</v>
      </c>
      <c r="F99" s="27">
        <f t="shared" si="1"/>
        <v>0</v>
      </c>
    </row>
    <row r="100" spans="1:6">
      <c r="A100" s="29"/>
      <c r="D100" s="27"/>
      <c r="E100" s="27">
        <f>SUMIFS(Expenses!$H$2:$H$300,Expenses!$B$2:$B$300,B100,Expenses!$D$2:$D$300,C100,Expenses!$A$2:$A$300,"&gt;="&amp;EOMONTH(A100,-1)+1,Expenses!$A$2:$A$300,"&lt;="&amp;EOMONTH(A100,0))</f>
        <v>0</v>
      </c>
      <c r="F100" s="27">
        <f t="shared" si="1"/>
        <v>0</v>
      </c>
    </row>
    <row r="101" spans="1:6">
      <c r="A101" s="29"/>
      <c r="D101" s="27"/>
      <c r="E101" s="27">
        <f>SUMIFS(Expenses!$H$2:$H$300,Expenses!$B$2:$B$300,B101,Expenses!$D$2:$D$300,C101,Expenses!$A$2:$A$300,"&gt;="&amp;EOMONTH(A101,-1)+1,Expenses!$A$2:$A$300,"&lt;="&amp;EOMONTH(A101,0))</f>
        <v>0</v>
      </c>
      <c r="F101" s="27">
        <f t="shared" si="1"/>
        <v>0</v>
      </c>
    </row>
    <row r="102" spans="1:6">
      <c r="A102" s="29"/>
      <c r="D102" s="27"/>
      <c r="E102" s="27">
        <f>SUMIFS(Expenses!$H$2:$H$300,Expenses!$B$2:$B$300,B102,Expenses!$D$2:$D$300,C102,Expenses!$A$2:$A$300,"&gt;="&amp;EOMONTH(A102,-1)+1,Expenses!$A$2:$A$300,"&lt;="&amp;EOMONTH(A102,0))</f>
        <v>0</v>
      </c>
      <c r="F102" s="27">
        <f t="shared" si="1"/>
        <v>0</v>
      </c>
    </row>
    <row r="103" spans="1:6">
      <c r="A103" s="29"/>
      <c r="D103" s="27"/>
      <c r="E103" s="27">
        <f>SUMIFS(Expenses!$H$2:$H$300,Expenses!$B$2:$B$300,B103,Expenses!$D$2:$D$300,C103,Expenses!$A$2:$A$300,"&gt;="&amp;EOMONTH(A103,-1)+1,Expenses!$A$2:$A$300,"&lt;="&amp;EOMONTH(A103,0))</f>
        <v>0</v>
      </c>
      <c r="F103" s="27">
        <f t="shared" si="1"/>
        <v>0</v>
      </c>
    </row>
    <row r="104" spans="1:6">
      <c r="A104" s="29"/>
      <c r="D104" s="27"/>
      <c r="E104" s="27">
        <f>SUMIFS(Expenses!$H$2:$H$300,Expenses!$B$2:$B$300,B104,Expenses!$D$2:$D$300,C104,Expenses!$A$2:$A$300,"&gt;="&amp;EOMONTH(A104,-1)+1,Expenses!$A$2:$A$300,"&lt;="&amp;EOMONTH(A104,0))</f>
        <v>0</v>
      </c>
      <c r="F104" s="27">
        <f t="shared" si="1"/>
        <v>0</v>
      </c>
    </row>
    <row r="105" spans="1:6">
      <c r="A105" s="29"/>
      <c r="D105" s="27"/>
      <c r="E105" s="27">
        <f>SUMIFS(Expenses!$H$2:$H$300,Expenses!$B$2:$B$300,B105,Expenses!$D$2:$D$300,C105,Expenses!$A$2:$A$300,"&gt;="&amp;EOMONTH(A105,-1)+1,Expenses!$A$2:$A$300,"&lt;="&amp;EOMONTH(A105,0))</f>
        <v>0</v>
      </c>
      <c r="F105" s="27">
        <f t="shared" si="1"/>
        <v>0</v>
      </c>
    </row>
    <row r="106" spans="1:6">
      <c r="A106" s="29"/>
      <c r="D106" s="27"/>
      <c r="E106" s="27">
        <f>SUMIFS(Expenses!$H$2:$H$300,Expenses!$B$2:$B$300,B106,Expenses!$D$2:$D$300,C106,Expenses!$A$2:$A$300,"&gt;="&amp;EOMONTH(A106,-1)+1,Expenses!$A$2:$A$300,"&lt;="&amp;EOMONTH(A106,0))</f>
        <v>0</v>
      </c>
      <c r="F106" s="27">
        <f t="shared" si="1"/>
        <v>0</v>
      </c>
    </row>
    <row r="107" spans="1:6">
      <c r="A107" s="29"/>
      <c r="D107" s="27"/>
      <c r="E107" s="27">
        <f>SUMIFS(Expenses!$H$2:$H$300,Expenses!$B$2:$B$300,B107,Expenses!$D$2:$D$300,C107,Expenses!$A$2:$A$300,"&gt;="&amp;EOMONTH(A107,-1)+1,Expenses!$A$2:$A$300,"&lt;="&amp;EOMONTH(A107,0))</f>
        <v>0</v>
      </c>
      <c r="F107" s="27">
        <f t="shared" si="1"/>
        <v>0</v>
      </c>
    </row>
    <row r="108" spans="1:6">
      <c r="A108" s="29"/>
      <c r="D108" s="27"/>
      <c r="E108" s="27">
        <f>SUMIFS(Expenses!$H$2:$H$300,Expenses!$B$2:$B$300,B108,Expenses!$D$2:$D$300,C108,Expenses!$A$2:$A$300,"&gt;="&amp;EOMONTH(A108,-1)+1,Expenses!$A$2:$A$300,"&lt;="&amp;EOMONTH(A108,0))</f>
        <v>0</v>
      </c>
      <c r="F108" s="27">
        <f t="shared" si="1"/>
        <v>0</v>
      </c>
    </row>
    <row r="109" spans="1:6">
      <c r="A109" s="29"/>
      <c r="D109" s="27"/>
      <c r="E109" s="27">
        <f>SUMIFS(Expenses!$H$2:$H$300,Expenses!$B$2:$B$300,B109,Expenses!$D$2:$D$300,C109,Expenses!$A$2:$A$300,"&gt;="&amp;EOMONTH(A109,-1)+1,Expenses!$A$2:$A$300,"&lt;="&amp;EOMONTH(A109,0))</f>
        <v>0</v>
      </c>
      <c r="F109" s="27">
        <f t="shared" si="1"/>
        <v>0</v>
      </c>
    </row>
    <row r="110" spans="1:6">
      <c r="A110" s="29"/>
      <c r="D110" s="27"/>
      <c r="E110" s="27">
        <f>SUMIFS(Expenses!$H$2:$H$300,Expenses!$B$2:$B$300,B110,Expenses!$D$2:$D$300,C110,Expenses!$A$2:$A$300,"&gt;="&amp;EOMONTH(A110,-1)+1,Expenses!$A$2:$A$300,"&lt;="&amp;EOMONTH(A110,0))</f>
        <v>0</v>
      </c>
      <c r="F110" s="27">
        <f t="shared" si="1"/>
        <v>0</v>
      </c>
    </row>
    <row r="111" spans="1:6">
      <c r="A111" s="29"/>
      <c r="D111" s="27"/>
      <c r="E111" s="27">
        <f>SUMIFS(Expenses!$H$2:$H$300,Expenses!$B$2:$B$300,B111,Expenses!$D$2:$D$300,C111,Expenses!$A$2:$A$300,"&gt;="&amp;EOMONTH(A111,-1)+1,Expenses!$A$2:$A$300,"&lt;="&amp;EOMONTH(A111,0))</f>
        <v>0</v>
      </c>
      <c r="F111" s="27">
        <f t="shared" si="1"/>
        <v>0</v>
      </c>
    </row>
    <row r="112" spans="1:6">
      <c r="A112" s="29"/>
      <c r="D112" s="27"/>
      <c r="E112" s="27">
        <f>SUMIFS(Expenses!$H$2:$H$300,Expenses!$B$2:$B$300,B112,Expenses!$D$2:$D$300,C112,Expenses!$A$2:$A$300,"&gt;="&amp;EOMONTH(A112,-1)+1,Expenses!$A$2:$A$300,"&lt;="&amp;EOMONTH(A112,0))</f>
        <v>0</v>
      </c>
      <c r="F112" s="27">
        <f t="shared" si="1"/>
        <v>0</v>
      </c>
    </row>
    <row r="113" spans="1:6">
      <c r="A113" s="29"/>
      <c r="D113" s="27"/>
      <c r="E113" s="27">
        <f>SUMIFS(Expenses!$H$2:$H$300,Expenses!$B$2:$B$300,B113,Expenses!$D$2:$D$300,C113,Expenses!$A$2:$A$300,"&gt;="&amp;EOMONTH(A113,-1)+1,Expenses!$A$2:$A$300,"&lt;="&amp;EOMONTH(A113,0))</f>
        <v>0</v>
      </c>
      <c r="F113" s="27">
        <f t="shared" si="1"/>
        <v>0</v>
      </c>
    </row>
    <row r="114" spans="1:6">
      <c r="A114" s="29"/>
      <c r="D114" s="27"/>
      <c r="E114" s="27">
        <f>SUMIFS(Expenses!$H$2:$H$300,Expenses!$B$2:$B$300,B114,Expenses!$D$2:$D$300,C114,Expenses!$A$2:$A$300,"&gt;="&amp;EOMONTH(A114,-1)+1,Expenses!$A$2:$A$300,"&lt;="&amp;EOMONTH(A114,0))</f>
        <v>0</v>
      </c>
      <c r="F114" s="27">
        <f t="shared" si="1"/>
        <v>0</v>
      </c>
    </row>
    <row r="115" spans="1:6">
      <c r="A115" s="29"/>
      <c r="D115" s="27"/>
      <c r="E115" s="27">
        <f>SUMIFS(Expenses!$H$2:$H$300,Expenses!$B$2:$B$300,B115,Expenses!$D$2:$D$300,C115,Expenses!$A$2:$A$300,"&gt;="&amp;EOMONTH(A115,-1)+1,Expenses!$A$2:$A$300,"&lt;="&amp;EOMONTH(A115,0))</f>
        <v>0</v>
      </c>
      <c r="F115" s="27">
        <f t="shared" si="1"/>
        <v>0</v>
      </c>
    </row>
    <row r="116" spans="1:6">
      <c r="A116" s="29"/>
      <c r="D116" s="27"/>
      <c r="E116" s="27">
        <f>SUMIFS(Expenses!$H$2:$H$300,Expenses!$B$2:$B$300,B116,Expenses!$D$2:$D$300,C116,Expenses!$A$2:$A$300,"&gt;="&amp;EOMONTH(A116,-1)+1,Expenses!$A$2:$A$300,"&lt;="&amp;EOMONTH(A116,0))</f>
        <v>0</v>
      </c>
      <c r="F116" s="27">
        <f t="shared" si="1"/>
        <v>0</v>
      </c>
    </row>
    <row r="117" spans="1:6">
      <c r="A117" s="29"/>
      <c r="D117" s="27"/>
      <c r="E117" s="27">
        <f>SUMIFS(Expenses!$H$2:$H$300,Expenses!$B$2:$B$300,B117,Expenses!$D$2:$D$300,C117,Expenses!$A$2:$A$300,"&gt;="&amp;EOMONTH(A117,-1)+1,Expenses!$A$2:$A$300,"&lt;="&amp;EOMONTH(A117,0))</f>
        <v>0</v>
      </c>
      <c r="F117" s="27">
        <f t="shared" si="1"/>
        <v>0</v>
      </c>
    </row>
    <row r="118" spans="1:6">
      <c r="A118" s="29"/>
      <c r="D118" s="27"/>
      <c r="E118" s="27">
        <f>SUMIFS(Expenses!$H$2:$H$300,Expenses!$B$2:$B$300,B118,Expenses!$D$2:$D$300,C118,Expenses!$A$2:$A$300,"&gt;="&amp;EOMONTH(A118,-1)+1,Expenses!$A$2:$A$300,"&lt;="&amp;EOMONTH(A118,0))</f>
        <v>0</v>
      </c>
      <c r="F118" s="27">
        <f t="shared" si="1"/>
        <v>0</v>
      </c>
    </row>
    <row r="119" spans="1:6">
      <c r="A119" s="29"/>
      <c r="D119" s="27"/>
      <c r="E119" s="27">
        <f>SUMIFS(Expenses!$H$2:$H$300,Expenses!$B$2:$B$300,B119,Expenses!$D$2:$D$300,C119,Expenses!$A$2:$A$300,"&gt;="&amp;EOMONTH(A119,-1)+1,Expenses!$A$2:$A$300,"&lt;="&amp;EOMONTH(A119,0))</f>
        <v>0</v>
      </c>
      <c r="F119" s="27">
        <f t="shared" si="1"/>
        <v>0</v>
      </c>
    </row>
    <row r="120" spans="1:6">
      <c r="A120" s="29"/>
      <c r="D120" s="27"/>
      <c r="E120" s="27">
        <f>SUMIFS(Expenses!$H$2:$H$300,Expenses!$B$2:$B$300,B120,Expenses!$D$2:$D$300,C120,Expenses!$A$2:$A$300,"&gt;="&amp;EOMONTH(A120,-1)+1,Expenses!$A$2:$A$300,"&lt;="&amp;EOMONTH(A120,0))</f>
        <v>0</v>
      </c>
      <c r="F120" s="27">
        <f t="shared" si="1"/>
        <v>0</v>
      </c>
    </row>
    <row r="121" spans="1:6">
      <c r="A121" s="29"/>
      <c r="D121" s="27"/>
      <c r="E121" s="27">
        <f>SUMIFS(Expenses!$H$2:$H$300,Expenses!$B$2:$B$300,B121,Expenses!$D$2:$D$300,C121,Expenses!$A$2:$A$300,"&gt;="&amp;EOMONTH(A121,-1)+1,Expenses!$A$2:$A$300,"&lt;="&amp;EOMONTH(A121,0))</f>
        <v>0</v>
      </c>
      <c r="F121" s="27">
        <f t="shared" si="1"/>
        <v>0</v>
      </c>
    </row>
    <row r="122" spans="1:6">
      <c r="A122" s="29"/>
      <c r="D122" s="27"/>
      <c r="E122" s="27">
        <f>SUMIFS(Expenses!$H$2:$H$300,Expenses!$B$2:$B$300,B122,Expenses!$D$2:$D$300,C122,Expenses!$A$2:$A$300,"&gt;="&amp;EOMONTH(A122,-1)+1,Expenses!$A$2:$A$300,"&lt;="&amp;EOMONTH(A122,0))</f>
        <v>0</v>
      </c>
      <c r="F122" s="27">
        <f t="shared" si="1"/>
        <v>0</v>
      </c>
    </row>
    <row r="123" spans="1:6">
      <c r="A123" s="29"/>
      <c r="D123" s="27"/>
      <c r="E123" s="27">
        <f>SUMIFS(Expenses!$H$2:$H$300,Expenses!$B$2:$B$300,B123,Expenses!$D$2:$D$300,C123,Expenses!$A$2:$A$300,"&gt;="&amp;EOMONTH(A123,-1)+1,Expenses!$A$2:$A$300,"&lt;="&amp;EOMONTH(A123,0))</f>
        <v>0</v>
      </c>
      <c r="F123" s="27">
        <f t="shared" si="1"/>
        <v>0</v>
      </c>
    </row>
    <row r="124" spans="1:6">
      <c r="A124" s="29"/>
      <c r="D124" s="27"/>
      <c r="E124" s="27">
        <f>SUMIFS(Expenses!$H$2:$H$300,Expenses!$B$2:$B$300,B124,Expenses!$D$2:$D$300,C124,Expenses!$A$2:$A$300,"&gt;="&amp;EOMONTH(A124,-1)+1,Expenses!$A$2:$A$300,"&lt;="&amp;EOMONTH(A124,0))</f>
        <v>0</v>
      </c>
      <c r="F124" s="27">
        <f t="shared" si="1"/>
        <v>0</v>
      </c>
    </row>
    <row r="125" spans="1:6">
      <c r="A125" s="29"/>
      <c r="D125" s="27"/>
      <c r="E125" s="27">
        <f>SUMIFS(Expenses!$H$2:$H$300,Expenses!$B$2:$B$300,B125,Expenses!$D$2:$D$300,C125,Expenses!$A$2:$A$300,"&gt;="&amp;EOMONTH(A125,-1)+1,Expenses!$A$2:$A$300,"&lt;="&amp;EOMONTH(A125,0))</f>
        <v>0</v>
      </c>
      <c r="F125" s="27">
        <f t="shared" si="1"/>
        <v>0</v>
      </c>
    </row>
    <row r="126" spans="1:6">
      <c r="A126" s="29"/>
      <c r="D126" s="27"/>
      <c r="E126" s="27">
        <f>SUMIFS(Expenses!$H$2:$H$300,Expenses!$B$2:$B$300,B126,Expenses!$D$2:$D$300,C126,Expenses!$A$2:$A$300,"&gt;="&amp;EOMONTH(A126,-1)+1,Expenses!$A$2:$A$300,"&lt;="&amp;EOMONTH(A126,0))</f>
        <v>0</v>
      </c>
      <c r="F126" s="27">
        <f t="shared" si="1"/>
        <v>0</v>
      </c>
    </row>
    <row r="127" spans="1:6">
      <c r="A127" s="29"/>
      <c r="D127" s="27"/>
      <c r="E127" s="27">
        <f>SUMIFS(Expenses!$H$2:$H$300,Expenses!$B$2:$B$300,B127,Expenses!$D$2:$D$300,C127,Expenses!$A$2:$A$300,"&gt;="&amp;EOMONTH(A127,-1)+1,Expenses!$A$2:$A$300,"&lt;="&amp;EOMONTH(A127,0))</f>
        <v>0</v>
      </c>
      <c r="F127" s="27">
        <f t="shared" si="1"/>
        <v>0</v>
      </c>
    </row>
    <row r="128" spans="1:6">
      <c r="A128" s="29"/>
      <c r="D128" s="27"/>
      <c r="E128" s="27">
        <f>SUMIFS(Expenses!$H$2:$H$300,Expenses!$B$2:$B$300,B128,Expenses!$D$2:$D$300,C128,Expenses!$A$2:$A$300,"&gt;="&amp;EOMONTH(A128,-1)+1,Expenses!$A$2:$A$300,"&lt;="&amp;EOMONTH(A128,0))</f>
        <v>0</v>
      </c>
      <c r="F128" s="27">
        <f t="shared" si="1"/>
        <v>0</v>
      </c>
    </row>
    <row r="129" spans="1:6">
      <c r="A129" s="29"/>
      <c r="D129" s="27"/>
      <c r="E129" s="27">
        <f>SUMIFS(Expenses!$H$2:$H$300,Expenses!$B$2:$B$300,B129,Expenses!$D$2:$D$300,C129,Expenses!$A$2:$A$300,"&gt;="&amp;EOMONTH(A129,-1)+1,Expenses!$A$2:$A$300,"&lt;="&amp;EOMONTH(A129,0))</f>
        <v>0</v>
      </c>
      <c r="F129" s="27">
        <f t="shared" si="1"/>
        <v>0</v>
      </c>
    </row>
    <row r="130" spans="1:6">
      <c r="A130" s="29"/>
      <c r="D130" s="27"/>
      <c r="E130" s="27">
        <f>SUMIFS(Expenses!$H$2:$H$300,Expenses!$B$2:$B$300,B130,Expenses!$D$2:$D$300,C130,Expenses!$A$2:$A$300,"&gt;="&amp;EOMONTH(A130,-1)+1,Expenses!$A$2:$A$300,"&lt;="&amp;EOMONTH(A130,0))</f>
        <v>0</v>
      </c>
      <c r="F130" s="27">
        <f t="shared" ref="F130:F193" si="2">D130-E130</f>
        <v>0</v>
      </c>
    </row>
    <row r="131" spans="1:6">
      <c r="A131" s="29"/>
      <c r="D131" s="27"/>
      <c r="E131" s="27">
        <f>SUMIFS(Expenses!$H$2:$H$300,Expenses!$B$2:$B$300,B131,Expenses!$D$2:$D$300,C131,Expenses!$A$2:$A$300,"&gt;="&amp;EOMONTH(A131,-1)+1,Expenses!$A$2:$A$300,"&lt;="&amp;EOMONTH(A131,0))</f>
        <v>0</v>
      </c>
      <c r="F131" s="27">
        <f t="shared" si="2"/>
        <v>0</v>
      </c>
    </row>
    <row r="132" spans="1:6">
      <c r="A132" s="29"/>
      <c r="D132" s="27"/>
      <c r="E132" s="27">
        <f>SUMIFS(Expenses!$H$2:$H$300,Expenses!$B$2:$B$300,B132,Expenses!$D$2:$D$300,C132,Expenses!$A$2:$A$300,"&gt;="&amp;EOMONTH(A132,-1)+1,Expenses!$A$2:$A$300,"&lt;="&amp;EOMONTH(A132,0))</f>
        <v>0</v>
      </c>
      <c r="F132" s="27">
        <f t="shared" si="2"/>
        <v>0</v>
      </c>
    </row>
    <row r="133" spans="1:6">
      <c r="A133" s="29"/>
      <c r="D133" s="27"/>
      <c r="E133" s="27">
        <f>SUMIFS(Expenses!$H$2:$H$300,Expenses!$B$2:$B$300,B133,Expenses!$D$2:$D$300,C133,Expenses!$A$2:$A$300,"&gt;="&amp;EOMONTH(A133,-1)+1,Expenses!$A$2:$A$300,"&lt;="&amp;EOMONTH(A133,0))</f>
        <v>0</v>
      </c>
      <c r="F133" s="27">
        <f t="shared" si="2"/>
        <v>0</v>
      </c>
    </row>
    <row r="134" spans="1:6">
      <c r="A134" s="29"/>
      <c r="D134" s="27"/>
      <c r="E134" s="27">
        <f>SUMIFS(Expenses!$H$2:$H$300,Expenses!$B$2:$B$300,B134,Expenses!$D$2:$D$300,C134,Expenses!$A$2:$A$300,"&gt;="&amp;EOMONTH(A134,-1)+1,Expenses!$A$2:$A$300,"&lt;="&amp;EOMONTH(A134,0))</f>
        <v>0</v>
      </c>
      <c r="F134" s="27">
        <f t="shared" si="2"/>
        <v>0</v>
      </c>
    </row>
    <row r="135" spans="1:6">
      <c r="A135" s="29"/>
      <c r="D135" s="27"/>
      <c r="E135" s="27">
        <f>SUMIFS(Expenses!$H$2:$H$300,Expenses!$B$2:$B$300,B135,Expenses!$D$2:$D$300,C135,Expenses!$A$2:$A$300,"&gt;="&amp;EOMONTH(A135,-1)+1,Expenses!$A$2:$A$300,"&lt;="&amp;EOMONTH(A135,0))</f>
        <v>0</v>
      </c>
      <c r="F135" s="27">
        <f t="shared" si="2"/>
        <v>0</v>
      </c>
    </row>
    <row r="136" spans="1:6">
      <c r="A136" s="29"/>
      <c r="D136" s="27"/>
      <c r="E136" s="27">
        <f>SUMIFS(Expenses!$H$2:$H$300,Expenses!$B$2:$B$300,B136,Expenses!$D$2:$D$300,C136,Expenses!$A$2:$A$300,"&gt;="&amp;EOMONTH(A136,-1)+1,Expenses!$A$2:$A$300,"&lt;="&amp;EOMONTH(A136,0))</f>
        <v>0</v>
      </c>
      <c r="F136" s="27">
        <f t="shared" si="2"/>
        <v>0</v>
      </c>
    </row>
    <row r="137" spans="1:6">
      <c r="A137" s="29"/>
      <c r="D137" s="27"/>
      <c r="E137" s="27">
        <f>SUMIFS(Expenses!$H$2:$H$300,Expenses!$B$2:$B$300,B137,Expenses!$D$2:$D$300,C137,Expenses!$A$2:$A$300,"&gt;="&amp;EOMONTH(A137,-1)+1,Expenses!$A$2:$A$300,"&lt;="&amp;EOMONTH(A137,0))</f>
        <v>0</v>
      </c>
      <c r="F137" s="27">
        <f t="shared" si="2"/>
        <v>0</v>
      </c>
    </row>
    <row r="138" spans="1:6">
      <c r="A138" s="29"/>
      <c r="D138" s="27"/>
      <c r="E138" s="27">
        <f>SUMIFS(Expenses!$H$2:$H$300,Expenses!$B$2:$B$300,B138,Expenses!$D$2:$D$300,C138,Expenses!$A$2:$A$300,"&gt;="&amp;EOMONTH(A138,-1)+1,Expenses!$A$2:$A$300,"&lt;="&amp;EOMONTH(A138,0))</f>
        <v>0</v>
      </c>
      <c r="F138" s="27">
        <f t="shared" si="2"/>
        <v>0</v>
      </c>
    </row>
    <row r="139" spans="1:6">
      <c r="A139" s="29"/>
      <c r="D139" s="27"/>
      <c r="E139" s="27">
        <f>SUMIFS(Expenses!$H$2:$H$300,Expenses!$B$2:$B$300,B139,Expenses!$D$2:$D$300,C139,Expenses!$A$2:$A$300,"&gt;="&amp;EOMONTH(A139,-1)+1,Expenses!$A$2:$A$300,"&lt;="&amp;EOMONTH(A139,0))</f>
        <v>0</v>
      </c>
      <c r="F139" s="27">
        <f t="shared" si="2"/>
        <v>0</v>
      </c>
    </row>
    <row r="140" spans="1:6">
      <c r="A140" s="29"/>
      <c r="D140" s="27"/>
      <c r="E140" s="27">
        <f>SUMIFS(Expenses!$H$2:$H$300,Expenses!$B$2:$B$300,B140,Expenses!$D$2:$D$300,C140,Expenses!$A$2:$A$300,"&gt;="&amp;EOMONTH(A140,-1)+1,Expenses!$A$2:$A$300,"&lt;="&amp;EOMONTH(A140,0))</f>
        <v>0</v>
      </c>
      <c r="F140" s="27">
        <f t="shared" si="2"/>
        <v>0</v>
      </c>
    </row>
    <row r="141" spans="1:6">
      <c r="A141" s="29"/>
      <c r="D141" s="27"/>
      <c r="E141" s="27">
        <f>SUMIFS(Expenses!$H$2:$H$300,Expenses!$B$2:$B$300,B141,Expenses!$D$2:$D$300,C141,Expenses!$A$2:$A$300,"&gt;="&amp;EOMONTH(A141,-1)+1,Expenses!$A$2:$A$300,"&lt;="&amp;EOMONTH(A141,0))</f>
        <v>0</v>
      </c>
      <c r="F141" s="27">
        <f t="shared" si="2"/>
        <v>0</v>
      </c>
    </row>
    <row r="142" spans="1:6">
      <c r="A142" s="29"/>
      <c r="D142" s="27"/>
      <c r="E142" s="27">
        <f>SUMIFS(Expenses!$H$2:$H$300,Expenses!$B$2:$B$300,B142,Expenses!$D$2:$D$300,C142,Expenses!$A$2:$A$300,"&gt;="&amp;EOMONTH(A142,-1)+1,Expenses!$A$2:$A$300,"&lt;="&amp;EOMONTH(A142,0))</f>
        <v>0</v>
      </c>
      <c r="F142" s="27">
        <f t="shared" si="2"/>
        <v>0</v>
      </c>
    </row>
    <row r="143" spans="1:6">
      <c r="A143" s="29"/>
      <c r="D143" s="27"/>
      <c r="E143" s="27">
        <f>SUMIFS(Expenses!$H$2:$H$300,Expenses!$B$2:$B$300,B143,Expenses!$D$2:$D$300,C143,Expenses!$A$2:$A$300,"&gt;="&amp;EOMONTH(A143,-1)+1,Expenses!$A$2:$A$300,"&lt;="&amp;EOMONTH(A143,0))</f>
        <v>0</v>
      </c>
      <c r="F143" s="27">
        <f t="shared" si="2"/>
        <v>0</v>
      </c>
    </row>
    <row r="144" spans="1:6">
      <c r="A144" s="29"/>
      <c r="D144" s="27"/>
      <c r="E144" s="27">
        <f>SUMIFS(Expenses!$H$2:$H$300,Expenses!$B$2:$B$300,B144,Expenses!$D$2:$D$300,C144,Expenses!$A$2:$A$300,"&gt;="&amp;EOMONTH(A144,-1)+1,Expenses!$A$2:$A$300,"&lt;="&amp;EOMONTH(A144,0))</f>
        <v>0</v>
      </c>
      <c r="F144" s="27">
        <f t="shared" si="2"/>
        <v>0</v>
      </c>
    </row>
    <row r="145" spans="1:6">
      <c r="A145" s="29"/>
      <c r="D145" s="27"/>
      <c r="E145" s="27">
        <f>SUMIFS(Expenses!$H$2:$H$300,Expenses!$B$2:$B$300,B145,Expenses!$D$2:$D$300,C145,Expenses!$A$2:$A$300,"&gt;="&amp;EOMONTH(A145,-1)+1,Expenses!$A$2:$A$300,"&lt;="&amp;EOMONTH(A145,0))</f>
        <v>0</v>
      </c>
      <c r="F145" s="27">
        <f t="shared" si="2"/>
        <v>0</v>
      </c>
    </row>
    <row r="146" spans="1:6">
      <c r="A146" s="29"/>
      <c r="D146" s="27"/>
      <c r="E146" s="27">
        <f>SUMIFS(Expenses!$H$2:$H$300,Expenses!$B$2:$B$300,B146,Expenses!$D$2:$D$300,C146,Expenses!$A$2:$A$300,"&gt;="&amp;EOMONTH(A146,-1)+1,Expenses!$A$2:$A$300,"&lt;="&amp;EOMONTH(A146,0))</f>
        <v>0</v>
      </c>
      <c r="F146" s="27">
        <f t="shared" si="2"/>
        <v>0</v>
      </c>
    </row>
    <row r="147" spans="1:6">
      <c r="A147" s="29"/>
      <c r="D147" s="27"/>
      <c r="E147" s="27">
        <f>SUMIFS(Expenses!$H$2:$H$300,Expenses!$B$2:$B$300,B147,Expenses!$D$2:$D$300,C147,Expenses!$A$2:$A$300,"&gt;="&amp;EOMONTH(A147,-1)+1,Expenses!$A$2:$A$300,"&lt;="&amp;EOMONTH(A147,0))</f>
        <v>0</v>
      </c>
      <c r="F147" s="27">
        <f t="shared" si="2"/>
        <v>0</v>
      </c>
    </row>
    <row r="148" spans="1:6">
      <c r="A148" s="29"/>
      <c r="D148" s="27"/>
      <c r="E148" s="27">
        <f>SUMIFS(Expenses!$H$2:$H$300,Expenses!$B$2:$B$300,B148,Expenses!$D$2:$D$300,C148,Expenses!$A$2:$A$300,"&gt;="&amp;EOMONTH(A148,-1)+1,Expenses!$A$2:$A$300,"&lt;="&amp;EOMONTH(A148,0))</f>
        <v>0</v>
      </c>
      <c r="F148" s="27">
        <f t="shared" si="2"/>
        <v>0</v>
      </c>
    </row>
    <row r="149" spans="1:6">
      <c r="A149" s="29"/>
      <c r="D149" s="27"/>
      <c r="E149" s="27">
        <f>SUMIFS(Expenses!$H$2:$H$300,Expenses!$B$2:$B$300,B149,Expenses!$D$2:$D$300,C149,Expenses!$A$2:$A$300,"&gt;="&amp;EOMONTH(A149,-1)+1,Expenses!$A$2:$A$300,"&lt;="&amp;EOMONTH(A149,0))</f>
        <v>0</v>
      </c>
      <c r="F149" s="27">
        <f t="shared" si="2"/>
        <v>0</v>
      </c>
    </row>
    <row r="150" spans="1:6">
      <c r="A150" s="29"/>
      <c r="D150" s="27"/>
      <c r="E150" s="27">
        <f>SUMIFS(Expenses!$H$2:$H$300,Expenses!$B$2:$B$300,B150,Expenses!$D$2:$D$300,C150,Expenses!$A$2:$A$300,"&gt;="&amp;EOMONTH(A150,-1)+1,Expenses!$A$2:$A$300,"&lt;="&amp;EOMONTH(A150,0))</f>
        <v>0</v>
      </c>
      <c r="F150" s="27">
        <f t="shared" si="2"/>
        <v>0</v>
      </c>
    </row>
    <row r="151" spans="1:6">
      <c r="A151" s="29"/>
      <c r="D151" s="27"/>
      <c r="E151" s="27">
        <f>SUMIFS(Expenses!$H$2:$H$300,Expenses!$B$2:$B$300,B151,Expenses!$D$2:$D$300,C151,Expenses!$A$2:$A$300,"&gt;="&amp;EOMONTH(A151,-1)+1,Expenses!$A$2:$A$300,"&lt;="&amp;EOMONTH(A151,0))</f>
        <v>0</v>
      </c>
      <c r="F151" s="27">
        <f t="shared" si="2"/>
        <v>0</v>
      </c>
    </row>
    <row r="152" spans="1:6">
      <c r="A152" s="29"/>
      <c r="D152" s="27"/>
      <c r="E152" s="27">
        <f>SUMIFS(Expenses!$H$2:$H$300,Expenses!$B$2:$B$300,B152,Expenses!$D$2:$D$300,C152,Expenses!$A$2:$A$300,"&gt;="&amp;EOMONTH(A152,-1)+1,Expenses!$A$2:$A$300,"&lt;="&amp;EOMONTH(A152,0))</f>
        <v>0</v>
      </c>
      <c r="F152" s="27">
        <f t="shared" si="2"/>
        <v>0</v>
      </c>
    </row>
    <row r="153" spans="1:6">
      <c r="A153" s="29"/>
      <c r="D153" s="27"/>
      <c r="E153" s="27">
        <f>SUMIFS(Expenses!$H$2:$H$300,Expenses!$B$2:$B$300,B153,Expenses!$D$2:$D$300,C153,Expenses!$A$2:$A$300,"&gt;="&amp;EOMONTH(A153,-1)+1,Expenses!$A$2:$A$300,"&lt;="&amp;EOMONTH(A153,0))</f>
        <v>0</v>
      </c>
      <c r="F153" s="27">
        <f t="shared" si="2"/>
        <v>0</v>
      </c>
    </row>
    <row r="154" spans="1:6">
      <c r="A154" s="29"/>
      <c r="D154" s="27"/>
      <c r="E154" s="27">
        <f>SUMIFS(Expenses!$H$2:$H$300,Expenses!$B$2:$B$300,B154,Expenses!$D$2:$D$300,C154,Expenses!$A$2:$A$300,"&gt;="&amp;EOMONTH(A154,-1)+1,Expenses!$A$2:$A$300,"&lt;="&amp;EOMONTH(A154,0))</f>
        <v>0</v>
      </c>
      <c r="F154" s="27">
        <f t="shared" si="2"/>
        <v>0</v>
      </c>
    </row>
    <row r="155" spans="1:6">
      <c r="A155" s="29"/>
      <c r="D155" s="27"/>
      <c r="E155" s="27">
        <f>SUMIFS(Expenses!$H$2:$H$300,Expenses!$B$2:$B$300,B155,Expenses!$D$2:$D$300,C155,Expenses!$A$2:$A$300,"&gt;="&amp;EOMONTH(A155,-1)+1,Expenses!$A$2:$A$300,"&lt;="&amp;EOMONTH(A155,0))</f>
        <v>0</v>
      </c>
      <c r="F155" s="27">
        <f t="shared" si="2"/>
        <v>0</v>
      </c>
    </row>
    <row r="156" spans="1:6">
      <c r="A156" s="29"/>
      <c r="D156" s="27"/>
      <c r="E156" s="27">
        <f>SUMIFS(Expenses!$H$2:$H$300,Expenses!$B$2:$B$300,B156,Expenses!$D$2:$D$300,C156,Expenses!$A$2:$A$300,"&gt;="&amp;EOMONTH(A156,-1)+1,Expenses!$A$2:$A$300,"&lt;="&amp;EOMONTH(A156,0))</f>
        <v>0</v>
      </c>
      <c r="F156" s="27">
        <f t="shared" si="2"/>
        <v>0</v>
      </c>
    </row>
    <row r="157" spans="1:6">
      <c r="A157" s="29"/>
      <c r="D157" s="27"/>
      <c r="E157" s="27">
        <f>SUMIFS(Expenses!$H$2:$H$300,Expenses!$B$2:$B$300,B157,Expenses!$D$2:$D$300,C157,Expenses!$A$2:$A$300,"&gt;="&amp;EOMONTH(A157,-1)+1,Expenses!$A$2:$A$300,"&lt;="&amp;EOMONTH(A157,0))</f>
        <v>0</v>
      </c>
      <c r="F157" s="27">
        <f t="shared" si="2"/>
        <v>0</v>
      </c>
    </row>
    <row r="158" spans="1:6">
      <c r="A158" s="29"/>
      <c r="D158" s="27"/>
      <c r="E158" s="27">
        <f>SUMIFS(Expenses!$H$2:$H$300,Expenses!$B$2:$B$300,B158,Expenses!$D$2:$D$300,C158,Expenses!$A$2:$A$300,"&gt;="&amp;EOMONTH(A158,-1)+1,Expenses!$A$2:$A$300,"&lt;="&amp;EOMONTH(A158,0))</f>
        <v>0</v>
      </c>
      <c r="F158" s="27">
        <f t="shared" si="2"/>
        <v>0</v>
      </c>
    </row>
    <row r="159" spans="1:6">
      <c r="A159" s="29"/>
      <c r="D159" s="27"/>
      <c r="E159" s="27">
        <f>SUMIFS(Expenses!$H$2:$H$300,Expenses!$B$2:$B$300,B159,Expenses!$D$2:$D$300,C159,Expenses!$A$2:$A$300,"&gt;="&amp;EOMONTH(A159,-1)+1,Expenses!$A$2:$A$300,"&lt;="&amp;EOMONTH(A159,0))</f>
        <v>0</v>
      </c>
      <c r="F159" s="27">
        <f t="shared" si="2"/>
        <v>0</v>
      </c>
    </row>
    <row r="160" spans="1:6">
      <c r="A160" s="29"/>
      <c r="D160" s="27"/>
      <c r="E160" s="27">
        <f>SUMIFS(Expenses!$H$2:$H$300,Expenses!$B$2:$B$300,B160,Expenses!$D$2:$D$300,C160,Expenses!$A$2:$A$300,"&gt;="&amp;EOMONTH(A160,-1)+1,Expenses!$A$2:$A$300,"&lt;="&amp;EOMONTH(A160,0))</f>
        <v>0</v>
      </c>
      <c r="F160" s="27">
        <f t="shared" si="2"/>
        <v>0</v>
      </c>
    </row>
    <row r="161" spans="1:6">
      <c r="A161" s="29"/>
      <c r="D161" s="27"/>
      <c r="E161" s="27">
        <f>SUMIFS(Expenses!$H$2:$H$300,Expenses!$B$2:$B$300,B161,Expenses!$D$2:$D$300,C161,Expenses!$A$2:$A$300,"&gt;="&amp;EOMONTH(A161,-1)+1,Expenses!$A$2:$A$300,"&lt;="&amp;EOMONTH(A161,0))</f>
        <v>0</v>
      </c>
      <c r="F161" s="27">
        <f t="shared" si="2"/>
        <v>0</v>
      </c>
    </row>
    <row r="162" spans="1:6">
      <c r="A162" s="29"/>
      <c r="D162" s="27"/>
      <c r="E162" s="27">
        <f>SUMIFS(Expenses!$H$2:$H$300,Expenses!$B$2:$B$300,B162,Expenses!$D$2:$D$300,C162,Expenses!$A$2:$A$300,"&gt;="&amp;EOMONTH(A162,-1)+1,Expenses!$A$2:$A$300,"&lt;="&amp;EOMONTH(A162,0))</f>
        <v>0</v>
      </c>
      <c r="F162" s="27">
        <f t="shared" si="2"/>
        <v>0</v>
      </c>
    </row>
    <row r="163" spans="1:6">
      <c r="A163" s="29"/>
      <c r="D163" s="27"/>
      <c r="E163" s="27">
        <f>SUMIFS(Expenses!$H$2:$H$300,Expenses!$B$2:$B$300,B163,Expenses!$D$2:$D$300,C163,Expenses!$A$2:$A$300,"&gt;="&amp;EOMONTH(A163,-1)+1,Expenses!$A$2:$A$300,"&lt;="&amp;EOMONTH(A163,0))</f>
        <v>0</v>
      </c>
      <c r="F163" s="27">
        <f t="shared" si="2"/>
        <v>0</v>
      </c>
    </row>
    <row r="164" spans="1:6">
      <c r="A164" s="29"/>
      <c r="D164" s="27"/>
      <c r="E164" s="27">
        <f>SUMIFS(Expenses!$H$2:$H$300,Expenses!$B$2:$B$300,B164,Expenses!$D$2:$D$300,C164,Expenses!$A$2:$A$300,"&gt;="&amp;EOMONTH(A164,-1)+1,Expenses!$A$2:$A$300,"&lt;="&amp;EOMONTH(A164,0))</f>
        <v>0</v>
      </c>
      <c r="F164" s="27">
        <f t="shared" si="2"/>
        <v>0</v>
      </c>
    </row>
    <row r="165" spans="1:6">
      <c r="A165" s="29"/>
      <c r="D165" s="27"/>
      <c r="E165" s="27">
        <f>SUMIFS(Expenses!$H$2:$H$300,Expenses!$B$2:$B$300,B165,Expenses!$D$2:$D$300,C165,Expenses!$A$2:$A$300,"&gt;="&amp;EOMONTH(A165,-1)+1,Expenses!$A$2:$A$300,"&lt;="&amp;EOMONTH(A165,0))</f>
        <v>0</v>
      </c>
      <c r="F165" s="27">
        <f t="shared" si="2"/>
        <v>0</v>
      </c>
    </row>
    <row r="166" spans="1:6">
      <c r="A166" s="29"/>
      <c r="D166" s="27"/>
      <c r="E166" s="27">
        <f>SUMIFS(Expenses!$H$2:$H$300,Expenses!$B$2:$B$300,B166,Expenses!$D$2:$D$300,C166,Expenses!$A$2:$A$300,"&gt;="&amp;EOMONTH(A166,-1)+1,Expenses!$A$2:$A$300,"&lt;="&amp;EOMONTH(A166,0))</f>
        <v>0</v>
      </c>
      <c r="F166" s="27">
        <f t="shared" si="2"/>
        <v>0</v>
      </c>
    </row>
    <row r="167" spans="1:6">
      <c r="A167" s="29"/>
      <c r="D167" s="27"/>
      <c r="E167" s="27">
        <f>SUMIFS(Expenses!$H$2:$H$300,Expenses!$B$2:$B$300,B167,Expenses!$D$2:$D$300,C167,Expenses!$A$2:$A$300,"&gt;="&amp;EOMONTH(A167,-1)+1,Expenses!$A$2:$A$300,"&lt;="&amp;EOMONTH(A167,0))</f>
        <v>0</v>
      </c>
      <c r="F167" s="27">
        <f t="shared" si="2"/>
        <v>0</v>
      </c>
    </row>
    <row r="168" spans="1:6">
      <c r="A168" s="29"/>
      <c r="D168" s="27"/>
      <c r="E168" s="27">
        <f>SUMIFS(Expenses!$H$2:$H$300,Expenses!$B$2:$B$300,B168,Expenses!$D$2:$D$300,C168,Expenses!$A$2:$A$300,"&gt;="&amp;EOMONTH(A168,-1)+1,Expenses!$A$2:$A$300,"&lt;="&amp;EOMONTH(A168,0))</f>
        <v>0</v>
      </c>
      <c r="F168" s="27">
        <f t="shared" si="2"/>
        <v>0</v>
      </c>
    </row>
    <row r="169" spans="1:6">
      <c r="A169" s="29"/>
      <c r="D169" s="27"/>
      <c r="E169" s="27">
        <f>SUMIFS(Expenses!$H$2:$H$300,Expenses!$B$2:$B$300,B169,Expenses!$D$2:$D$300,C169,Expenses!$A$2:$A$300,"&gt;="&amp;EOMONTH(A169,-1)+1,Expenses!$A$2:$A$300,"&lt;="&amp;EOMONTH(A169,0))</f>
        <v>0</v>
      </c>
      <c r="F169" s="27">
        <f t="shared" si="2"/>
        <v>0</v>
      </c>
    </row>
    <row r="170" spans="1:6">
      <c r="A170" s="29"/>
      <c r="D170" s="27"/>
      <c r="E170" s="27">
        <f>SUMIFS(Expenses!$H$2:$H$300,Expenses!$B$2:$B$300,B170,Expenses!$D$2:$D$300,C170,Expenses!$A$2:$A$300,"&gt;="&amp;EOMONTH(A170,-1)+1,Expenses!$A$2:$A$300,"&lt;="&amp;EOMONTH(A170,0))</f>
        <v>0</v>
      </c>
      <c r="F170" s="27">
        <f t="shared" si="2"/>
        <v>0</v>
      </c>
    </row>
    <row r="171" spans="1:6">
      <c r="A171" s="29"/>
      <c r="D171" s="27"/>
      <c r="E171" s="27">
        <f>SUMIFS(Expenses!$H$2:$H$300,Expenses!$B$2:$B$300,B171,Expenses!$D$2:$D$300,C171,Expenses!$A$2:$A$300,"&gt;="&amp;EOMONTH(A171,-1)+1,Expenses!$A$2:$A$300,"&lt;="&amp;EOMONTH(A171,0))</f>
        <v>0</v>
      </c>
      <c r="F171" s="27">
        <f t="shared" si="2"/>
        <v>0</v>
      </c>
    </row>
    <row r="172" spans="1:6">
      <c r="A172" s="29"/>
      <c r="D172" s="27"/>
      <c r="E172" s="27">
        <f>SUMIFS(Expenses!$H$2:$H$300,Expenses!$B$2:$B$300,B172,Expenses!$D$2:$D$300,C172,Expenses!$A$2:$A$300,"&gt;="&amp;EOMONTH(A172,-1)+1,Expenses!$A$2:$A$300,"&lt;="&amp;EOMONTH(A172,0))</f>
        <v>0</v>
      </c>
      <c r="F172" s="27">
        <f t="shared" si="2"/>
        <v>0</v>
      </c>
    </row>
    <row r="173" spans="1:6">
      <c r="A173" s="29"/>
      <c r="D173" s="27"/>
      <c r="E173" s="27">
        <f>SUMIFS(Expenses!$H$2:$H$300,Expenses!$B$2:$B$300,B173,Expenses!$D$2:$D$300,C173,Expenses!$A$2:$A$300,"&gt;="&amp;EOMONTH(A173,-1)+1,Expenses!$A$2:$A$300,"&lt;="&amp;EOMONTH(A173,0))</f>
        <v>0</v>
      </c>
      <c r="F173" s="27">
        <f t="shared" si="2"/>
        <v>0</v>
      </c>
    </row>
    <row r="174" spans="1:6">
      <c r="A174" s="29"/>
      <c r="D174" s="27"/>
      <c r="E174" s="27">
        <f>SUMIFS(Expenses!$H$2:$H$300,Expenses!$B$2:$B$300,B174,Expenses!$D$2:$D$300,C174,Expenses!$A$2:$A$300,"&gt;="&amp;EOMONTH(A174,-1)+1,Expenses!$A$2:$A$300,"&lt;="&amp;EOMONTH(A174,0))</f>
        <v>0</v>
      </c>
      <c r="F174" s="27">
        <f t="shared" si="2"/>
        <v>0</v>
      </c>
    </row>
    <row r="175" spans="1:6">
      <c r="A175" s="29"/>
      <c r="D175" s="27"/>
      <c r="E175" s="27">
        <f>SUMIFS(Expenses!$H$2:$H$300,Expenses!$B$2:$B$300,B175,Expenses!$D$2:$D$300,C175,Expenses!$A$2:$A$300,"&gt;="&amp;EOMONTH(A175,-1)+1,Expenses!$A$2:$A$300,"&lt;="&amp;EOMONTH(A175,0))</f>
        <v>0</v>
      </c>
      <c r="F175" s="27">
        <f t="shared" si="2"/>
        <v>0</v>
      </c>
    </row>
    <row r="176" spans="1:6">
      <c r="A176" s="29"/>
      <c r="D176" s="27"/>
      <c r="E176" s="27">
        <f>SUMIFS(Expenses!$H$2:$H$300,Expenses!$B$2:$B$300,B176,Expenses!$D$2:$D$300,C176,Expenses!$A$2:$A$300,"&gt;="&amp;EOMONTH(A176,-1)+1,Expenses!$A$2:$A$300,"&lt;="&amp;EOMONTH(A176,0))</f>
        <v>0</v>
      </c>
      <c r="F176" s="27">
        <f t="shared" si="2"/>
        <v>0</v>
      </c>
    </row>
    <row r="177" spans="1:6">
      <c r="A177" s="29"/>
      <c r="D177" s="27"/>
      <c r="E177" s="27">
        <f>SUMIFS(Expenses!$H$2:$H$300,Expenses!$B$2:$B$300,B177,Expenses!$D$2:$D$300,C177,Expenses!$A$2:$A$300,"&gt;="&amp;EOMONTH(A177,-1)+1,Expenses!$A$2:$A$300,"&lt;="&amp;EOMONTH(A177,0))</f>
        <v>0</v>
      </c>
      <c r="F177" s="27">
        <f t="shared" si="2"/>
        <v>0</v>
      </c>
    </row>
    <row r="178" spans="1:6">
      <c r="A178" s="29"/>
      <c r="D178" s="27"/>
      <c r="E178" s="27">
        <f>SUMIFS(Expenses!$H$2:$H$300,Expenses!$B$2:$B$300,B178,Expenses!$D$2:$D$300,C178,Expenses!$A$2:$A$300,"&gt;="&amp;EOMONTH(A178,-1)+1,Expenses!$A$2:$A$300,"&lt;="&amp;EOMONTH(A178,0))</f>
        <v>0</v>
      </c>
      <c r="F178" s="27">
        <f t="shared" si="2"/>
        <v>0</v>
      </c>
    </row>
    <row r="179" spans="1:6">
      <c r="A179" s="29"/>
      <c r="D179" s="27"/>
      <c r="E179" s="27">
        <f>SUMIFS(Expenses!$H$2:$H$300,Expenses!$B$2:$B$300,B179,Expenses!$D$2:$D$300,C179,Expenses!$A$2:$A$300,"&gt;="&amp;EOMONTH(A179,-1)+1,Expenses!$A$2:$A$300,"&lt;="&amp;EOMONTH(A179,0))</f>
        <v>0</v>
      </c>
      <c r="F179" s="27">
        <f t="shared" si="2"/>
        <v>0</v>
      </c>
    </row>
    <row r="180" spans="1:6">
      <c r="A180" s="29"/>
      <c r="D180" s="27"/>
      <c r="E180" s="27">
        <f>SUMIFS(Expenses!$H$2:$H$300,Expenses!$B$2:$B$300,B180,Expenses!$D$2:$D$300,C180,Expenses!$A$2:$A$300,"&gt;="&amp;EOMONTH(A180,-1)+1,Expenses!$A$2:$A$300,"&lt;="&amp;EOMONTH(A180,0))</f>
        <v>0</v>
      </c>
      <c r="F180" s="27">
        <f t="shared" si="2"/>
        <v>0</v>
      </c>
    </row>
    <row r="181" spans="1:6">
      <c r="A181" s="29"/>
      <c r="D181" s="27"/>
      <c r="E181" s="27">
        <f>SUMIFS(Expenses!$H$2:$H$300,Expenses!$B$2:$B$300,B181,Expenses!$D$2:$D$300,C181,Expenses!$A$2:$A$300,"&gt;="&amp;EOMONTH(A181,-1)+1,Expenses!$A$2:$A$300,"&lt;="&amp;EOMONTH(A181,0))</f>
        <v>0</v>
      </c>
      <c r="F181" s="27">
        <f t="shared" si="2"/>
        <v>0</v>
      </c>
    </row>
    <row r="182" spans="1:6">
      <c r="A182" s="29"/>
      <c r="D182" s="27"/>
      <c r="E182" s="27">
        <f>SUMIFS(Expenses!$H$2:$H$300,Expenses!$B$2:$B$300,B182,Expenses!$D$2:$D$300,C182,Expenses!$A$2:$A$300,"&gt;="&amp;EOMONTH(A182,-1)+1,Expenses!$A$2:$A$300,"&lt;="&amp;EOMONTH(A182,0))</f>
        <v>0</v>
      </c>
      <c r="F182" s="27">
        <f t="shared" si="2"/>
        <v>0</v>
      </c>
    </row>
    <row r="183" spans="1:6">
      <c r="A183" s="29"/>
      <c r="D183" s="27"/>
      <c r="E183" s="27">
        <f>SUMIFS(Expenses!$H$2:$H$300,Expenses!$B$2:$B$300,B183,Expenses!$D$2:$D$300,C183,Expenses!$A$2:$A$300,"&gt;="&amp;EOMONTH(A183,-1)+1,Expenses!$A$2:$A$300,"&lt;="&amp;EOMONTH(A183,0))</f>
        <v>0</v>
      </c>
      <c r="F183" s="27">
        <f t="shared" si="2"/>
        <v>0</v>
      </c>
    </row>
    <row r="184" spans="1:6">
      <c r="A184" s="29"/>
      <c r="D184" s="27"/>
      <c r="E184" s="27">
        <f>SUMIFS(Expenses!$H$2:$H$300,Expenses!$B$2:$B$300,B184,Expenses!$D$2:$D$300,C184,Expenses!$A$2:$A$300,"&gt;="&amp;EOMONTH(A184,-1)+1,Expenses!$A$2:$A$300,"&lt;="&amp;EOMONTH(A184,0))</f>
        <v>0</v>
      </c>
      <c r="F184" s="27">
        <f t="shared" si="2"/>
        <v>0</v>
      </c>
    </row>
    <row r="185" spans="1:6">
      <c r="A185" s="29"/>
      <c r="D185" s="27"/>
      <c r="E185" s="27">
        <f>SUMIFS(Expenses!$H$2:$H$300,Expenses!$B$2:$B$300,B185,Expenses!$D$2:$D$300,C185,Expenses!$A$2:$A$300,"&gt;="&amp;EOMONTH(A185,-1)+1,Expenses!$A$2:$A$300,"&lt;="&amp;EOMONTH(A185,0))</f>
        <v>0</v>
      </c>
      <c r="F185" s="27">
        <f t="shared" si="2"/>
        <v>0</v>
      </c>
    </row>
    <row r="186" spans="1:6">
      <c r="A186" s="29"/>
      <c r="D186" s="27"/>
      <c r="E186" s="27">
        <f>SUMIFS(Expenses!$H$2:$H$300,Expenses!$B$2:$B$300,B186,Expenses!$D$2:$D$300,C186,Expenses!$A$2:$A$300,"&gt;="&amp;EOMONTH(A186,-1)+1,Expenses!$A$2:$A$300,"&lt;="&amp;EOMONTH(A186,0))</f>
        <v>0</v>
      </c>
      <c r="F186" s="27">
        <f t="shared" si="2"/>
        <v>0</v>
      </c>
    </row>
    <row r="187" spans="1:6">
      <c r="A187" s="29"/>
      <c r="D187" s="27"/>
      <c r="E187" s="27">
        <f>SUMIFS(Expenses!$H$2:$H$300,Expenses!$B$2:$B$300,B187,Expenses!$D$2:$D$300,C187,Expenses!$A$2:$A$300,"&gt;="&amp;EOMONTH(A187,-1)+1,Expenses!$A$2:$A$300,"&lt;="&amp;EOMONTH(A187,0))</f>
        <v>0</v>
      </c>
      <c r="F187" s="27">
        <f t="shared" si="2"/>
        <v>0</v>
      </c>
    </row>
    <row r="188" spans="1:6">
      <c r="A188" s="29"/>
      <c r="D188" s="27"/>
      <c r="E188" s="27">
        <f>SUMIFS(Expenses!$H$2:$H$300,Expenses!$B$2:$B$300,B188,Expenses!$D$2:$D$300,C188,Expenses!$A$2:$A$300,"&gt;="&amp;EOMONTH(A188,-1)+1,Expenses!$A$2:$A$300,"&lt;="&amp;EOMONTH(A188,0))</f>
        <v>0</v>
      </c>
      <c r="F188" s="27">
        <f t="shared" si="2"/>
        <v>0</v>
      </c>
    </row>
    <row r="189" spans="1:6">
      <c r="A189" s="29"/>
      <c r="D189" s="27"/>
      <c r="E189" s="27">
        <f>SUMIFS(Expenses!$H$2:$H$300,Expenses!$B$2:$B$300,B189,Expenses!$D$2:$D$300,C189,Expenses!$A$2:$A$300,"&gt;="&amp;EOMONTH(A189,-1)+1,Expenses!$A$2:$A$300,"&lt;="&amp;EOMONTH(A189,0))</f>
        <v>0</v>
      </c>
      <c r="F189" s="27">
        <f t="shared" si="2"/>
        <v>0</v>
      </c>
    </row>
    <row r="190" spans="1:6">
      <c r="A190" s="29"/>
      <c r="D190" s="27"/>
      <c r="E190" s="27">
        <f>SUMIFS(Expenses!$H$2:$H$300,Expenses!$B$2:$B$300,B190,Expenses!$D$2:$D$300,C190,Expenses!$A$2:$A$300,"&gt;="&amp;EOMONTH(A190,-1)+1,Expenses!$A$2:$A$300,"&lt;="&amp;EOMONTH(A190,0))</f>
        <v>0</v>
      </c>
      <c r="F190" s="27">
        <f t="shared" si="2"/>
        <v>0</v>
      </c>
    </row>
    <row r="191" spans="1:6">
      <c r="A191" s="29"/>
      <c r="D191" s="27"/>
      <c r="E191" s="27">
        <f>SUMIFS(Expenses!$H$2:$H$300,Expenses!$B$2:$B$300,B191,Expenses!$D$2:$D$300,C191,Expenses!$A$2:$A$300,"&gt;="&amp;EOMONTH(A191,-1)+1,Expenses!$A$2:$A$300,"&lt;="&amp;EOMONTH(A191,0))</f>
        <v>0</v>
      </c>
      <c r="F191" s="27">
        <f t="shared" si="2"/>
        <v>0</v>
      </c>
    </row>
    <row r="192" spans="1:6">
      <c r="A192" s="29"/>
      <c r="D192" s="27"/>
      <c r="E192" s="27">
        <f>SUMIFS(Expenses!$H$2:$H$300,Expenses!$B$2:$B$300,B192,Expenses!$D$2:$D$300,C192,Expenses!$A$2:$A$300,"&gt;="&amp;EOMONTH(A192,-1)+1,Expenses!$A$2:$A$300,"&lt;="&amp;EOMONTH(A192,0))</f>
        <v>0</v>
      </c>
      <c r="F192" s="27">
        <f t="shared" si="2"/>
        <v>0</v>
      </c>
    </row>
    <row r="193" spans="1:6">
      <c r="A193" s="29"/>
      <c r="D193" s="27"/>
      <c r="E193" s="27">
        <f>SUMIFS(Expenses!$H$2:$H$300,Expenses!$B$2:$B$300,B193,Expenses!$D$2:$D$300,C193,Expenses!$A$2:$A$300,"&gt;="&amp;EOMONTH(A193,-1)+1,Expenses!$A$2:$A$300,"&lt;="&amp;EOMONTH(A193,0))</f>
        <v>0</v>
      </c>
      <c r="F193" s="27">
        <f t="shared" si="2"/>
        <v>0</v>
      </c>
    </row>
    <row r="194" spans="1:6">
      <c r="A194" s="29"/>
      <c r="D194" s="27"/>
      <c r="E194" s="27">
        <f>SUMIFS(Expenses!$H$2:$H$300,Expenses!$B$2:$B$300,B194,Expenses!$D$2:$D$300,C194,Expenses!$A$2:$A$300,"&gt;="&amp;EOMONTH(A194,-1)+1,Expenses!$A$2:$A$300,"&lt;="&amp;EOMONTH(A194,0))</f>
        <v>0</v>
      </c>
      <c r="F194" s="27">
        <f t="shared" ref="F194:F257" si="3">D194-E194</f>
        <v>0</v>
      </c>
    </row>
    <row r="195" spans="1:6">
      <c r="A195" s="29"/>
      <c r="D195" s="27"/>
      <c r="E195" s="27">
        <f>SUMIFS(Expenses!$H$2:$H$300,Expenses!$B$2:$B$300,B195,Expenses!$D$2:$D$300,C195,Expenses!$A$2:$A$300,"&gt;="&amp;EOMONTH(A195,-1)+1,Expenses!$A$2:$A$300,"&lt;="&amp;EOMONTH(A195,0))</f>
        <v>0</v>
      </c>
      <c r="F195" s="27">
        <f t="shared" si="3"/>
        <v>0</v>
      </c>
    </row>
    <row r="196" spans="1:6">
      <c r="A196" s="29"/>
      <c r="D196" s="27"/>
      <c r="E196" s="27">
        <f>SUMIFS(Expenses!$H$2:$H$300,Expenses!$B$2:$B$300,B196,Expenses!$D$2:$D$300,C196,Expenses!$A$2:$A$300,"&gt;="&amp;EOMONTH(A196,-1)+1,Expenses!$A$2:$A$300,"&lt;="&amp;EOMONTH(A196,0))</f>
        <v>0</v>
      </c>
      <c r="F196" s="27">
        <f t="shared" si="3"/>
        <v>0</v>
      </c>
    </row>
    <row r="197" spans="1:6">
      <c r="A197" s="29"/>
      <c r="D197" s="27"/>
      <c r="E197" s="27">
        <f>SUMIFS(Expenses!$H$2:$H$300,Expenses!$B$2:$B$300,B197,Expenses!$D$2:$D$300,C197,Expenses!$A$2:$A$300,"&gt;="&amp;EOMONTH(A197,-1)+1,Expenses!$A$2:$A$300,"&lt;="&amp;EOMONTH(A197,0))</f>
        <v>0</v>
      </c>
      <c r="F197" s="27">
        <f t="shared" si="3"/>
        <v>0</v>
      </c>
    </row>
    <row r="198" spans="1:6">
      <c r="A198" s="29"/>
      <c r="D198" s="27"/>
      <c r="E198" s="27">
        <f>SUMIFS(Expenses!$H$2:$H$300,Expenses!$B$2:$B$300,B198,Expenses!$D$2:$D$300,C198,Expenses!$A$2:$A$300,"&gt;="&amp;EOMONTH(A198,-1)+1,Expenses!$A$2:$A$300,"&lt;="&amp;EOMONTH(A198,0))</f>
        <v>0</v>
      </c>
      <c r="F198" s="27">
        <f t="shared" si="3"/>
        <v>0</v>
      </c>
    </row>
    <row r="199" spans="1:6">
      <c r="A199" s="29"/>
      <c r="D199" s="27"/>
      <c r="E199" s="27">
        <f>SUMIFS(Expenses!$H$2:$H$300,Expenses!$B$2:$B$300,B199,Expenses!$D$2:$D$300,C199,Expenses!$A$2:$A$300,"&gt;="&amp;EOMONTH(A199,-1)+1,Expenses!$A$2:$A$300,"&lt;="&amp;EOMONTH(A199,0))</f>
        <v>0</v>
      </c>
      <c r="F199" s="27">
        <f t="shared" si="3"/>
        <v>0</v>
      </c>
    </row>
    <row r="200" spans="1:6">
      <c r="A200" s="29"/>
      <c r="D200" s="27"/>
      <c r="E200" s="27">
        <f>SUMIFS(Expenses!$H$2:$H$300,Expenses!$B$2:$B$300,B200,Expenses!$D$2:$D$300,C200,Expenses!$A$2:$A$300,"&gt;="&amp;EOMONTH(A200,-1)+1,Expenses!$A$2:$A$300,"&lt;="&amp;EOMONTH(A200,0))</f>
        <v>0</v>
      </c>
      <c r="F200" s="27">
        <f t="shared" si="3"/>
        <v>0</v>
      </c>
    </row>
    <row r="201" spans="1:6">
      <c r="A201" s="29"/>
      <c r="D201" s="27"/>
      <c r="E201" s="27">
        <f>SUMIFS(Expenses!$H$2:$H$300,Expenses!$B$2:$B$300,B201,Expenses!$D$2:$D$300,C201,Expenses!$A$2:$A$300,"&gt;="&amp;EOMONTH(A201,-1)+1,Expenses!$A$2:$A$300,"&lt;="&amp;EOMONTH(A201,0))</f>
        <v>0</v>
      </c>
      <c r="F201" s="27">
        <f t="shared" si="3"/>
        <v>0</v>
      </c>
    </row>
    <row r="202" spans="1:6">
      <c r="A202" s="29"/>
      <c r="D202" s="27"/>
      <c r="E202" s="27">
        <f>SUMIFS(Expenses!$H$2:$H$300,Expenses!$B$2:$B$300,B202,Expenses!$D$2:$D$300,C202,Expenses!$A$2:$A$300,"&gt;="&amp;EOMONTH(A202,-1)+1,Expenses!$A$2:$A$300,"&lt;="&amp;EOMONTH(A202,0))</f>
        <v>0</v>
      </c>
      <c r="F202" s="27">
        <f t="shared" si="3"/>
        <v>0</v>
      </c>
    </row>
    <row r="203" spans="1:6">
      <c r="A203" s="29"/>
      <c r="D203" s="27"/>
      <c r="E203" s="27">
        <f>SUMIFS(Expenses!$H$2:$H$300,Expenses!$B$2:$B$300,B203,Expenses!$D$2:$D$300,C203,Expenses!$A$2:$A$300,"&gt;="&amp;EOMONTH(A203,-1)+1,Expenses!$A$2:$A$300,"&lt;="&amp;EOMONTH(A203,0))</f>
        <v>0</v>
      </c>
      <c r="F203" s="27">
        <f t="shared" si="3"/>
        <v>0</v>
      </c>
    </row>
    <row r="204" spans="1:6">
      <c r="A204" s="29"/>
      <c r="D204" s="27"/>
      <c r="E204" s="27">
        <f>SUMIFS(Expenses!$H$2:$H$300,Expenses!$B$2:$B$300,B204,Expenses!$D$2:$D$300,C204,Expenses!$A$2:$A$300,"&gt;="&amp;EOMONTH(A204,-1)+1,Expenses!$A$2:$A$300,"&lt;="&amp;EOMONTH(A204,0))</f>
        <v>0</v>
      </c>
      <c r="F204" s="27">
        <f t="shared" si="3"/>
        <v>0</v>
      </c>
    </row>
    <row r="205" spans="1:6">
      <c r="A205" s="29"/>
      <c r="D205" s="27"/>
      <c r="E205" s="27">
        <f>SUMIFS(Expenses!$H$2:$H$300,Expenses!$B$2:$B$300,B205,Expenses!$D$2:$D$300,C205,Expenses!$A$2:$A$300,"&gt;="&amp;EOMONTH(A205,-1)+1,Expenses!$A$2:$A$300,"&lt;="&amp;EOMONTH(A205,0))</f>
        <v>0</v>
      </c>
      <c r="F205" s="27">
        <f t="shared" si="3"/>
        <v>0</v>
      </c>
    </row>
    <row r="206" spans="1:6">
      <c r="A206" s="29"/>
      <c r="D206" s="27"/>
      <c r="E206" s="27">
        <f>SUMIFS(Expenses!$H$2:$H$300,Expenses!$B$2:$B$300,B206,Expenses!$D$2:$D$300,C206,Expenses!$A$2:$A$300,"&gt;="&amp;EOMONTH(A206,-1)+1,Expenses!$A$2:$A$300,"&lt;="&amp;EOMONTH(A206,0))</f>
        <v>0</v>
      </c>
      <c r="F206" s="27">
        <f t="shared" si="3"/>
        <v>0</v>
      </c>
    </row>
    <row r="207" spans="1:6">
      <c r="A207" s="29"/>
      <c r="D207" s="27"/>
      <c r="E207" s="27">
        <f>SUMIFS(Expenses!$H$2:$H$300,Expenses!$B$2:$B$300,B207,Expenses!$D$2:$D$300,C207,Expenses!$A$2:$A$300,"&gt;="&amp;EOMONTH(A207,-1)+1,Expenses!$A$2:$A$300,"&lt;="&amp;EOMONTH(A207,0))</f>
        <v>0</v>
      </c>
      <c r="F207" s="27">
        <f t="shared" si="3"/>
        <v>0</v>
      </c>
    </row>
    <row r="208" spans="1:6">
      <c r="A208" s="29"/>
      <c r="D208" s="27"/>
      <c r="E208" s="27">
        <f>SUMIFS(Expenses!$H$2:$H$300,Expenses!$B$2:$B$300,B208,Expenses!$D$2:$D$300,C208,Expenses!$A$2:$A$300,"&gt;="&amp;EOMONTH(A208,-1)+1,Expenses!$A$2:$A$300,"&lt;="&amp;EOMONTH(A208,0))</f>
        <v>0</v>
      </c>
      <c r="F208" s="27">
        <f t="shared" si="3"/>
        <v>0</v>
      </c>
    </row>
    <row r="209" spans="1:6">
      <c r="A209" s="29"/>
      <c r="D209" s="27"/>
      <c r="E209" s="27">
        <f>SUMIFS(Expenses!$H$2:$H$300,Expenses!$B$2:$B$300,B209,Expenses!$D$2:$D$300,C209,Expenses!$A$2:$A$300,"&gt;="&amp;EOMONTH(A209,-1)+1,Expenses!$A$2:$A$300,"&lt;="&amp;EOMONTH(A209,0))</f>
        <v>0</v>
      </c>
      <c r="F209" s="27">
        <f t="shared" si="3"/>
        <v>0</v>
      </c>
    </row>
    <row r="210" spans="1:6">
      <c r="A210" s="29"/>
      <c r="D210" s="27"/>
      <c r="E210" s="27">
        <f>SUMIFS(Expenses!$H$2:$H$300,Expenses!$B$2:$B$300,B210,Expenses!$D$2:$D$300,C210,Expenses!$A$2:$A$300,"&gt;="&amp;EOMONTH(A210,-1)+1,Expenses!$A$2:$A$300,"&lt;="&amp;EOMONTH(A210,0))</f>
        <v>0</v>
      </c>
      <c r="F210" s="27">
        <f t="shared" si="3"/>
        <v>0</v>
      </c>
    </row>
    <row r="211" spans="1:6">
      <c r="A211" s="29"/>
      <c r="D211" s="27"/>
      <c r="E211" s="27">
        <f>SUMIFS(Expenses!$H$2:$H$300,Expenses!$B$2:$B$300,B211,Expenses!$D$2:$D$300,C211,Expenses!$A$2:$A$300,"&gt;="&amp;EOMONTH(A211,-1)+1,Expenses!$A$2:$A$300,"&lt;="&amp;EOMONTH(A211,0))</f>
        <v>0</v>
      </c>
      <c r="F211" s="27">
        <f t="shared" si="3"/>
        <v>0</v>
      </c>
    </row>
    <row r="212" spans="1:6">
      <c r="A212" s="29"/>
      <c r="D212" s="27"/>
      <c r="E212" s="27">
        <f>SUMIFS(Expenses!$H$2:$H$300,Expenses!$B$2:$B$300,B212,Expenses!$D$2:$D$300,C212,Expenses!$A$2:$A$300,"&gt;="&amp;EOMONTH(A212,-1)+1,Expenses!$A$2:$A$300,"&lt;="&amp;EOMONTH(A212,0))</f>
        <v>0</v>
      </c>
      <c r="F212" s="27">
        <f t="shared" si="3"/>
        <v>0</v>
      </c>
    </row>
    <row r="213" spans="1:6">
      <c r="A213" s="29"/>
      <c r="D213" s="27"/>
      <c r="E213" s="27">
        <f>SUMIFS(Expenses!$H$2:$H$300,Expenses!$B$2:$B$300,B213,Expenses!$D$2:$D$300,C213,Expenses!$A$2:$A$300,"&gt;="&amp;EOMONTH(A213,-1)+1,Expenses!$A$2:$A$300,"&lt;="&amp;EOMONTH(A213,0))</f>
        <v>0</v>
      </c>
      <c r="F213" s="27">
        <f t="shared" si="3"/>
        <v>0</v>
      </c>
    </row>
    <row r="214" spans="1:6">
      <c r="A214" s="29"/>
      <c r="D214" s="27"/>
      <c r="E214" s="27">
        <f>SUMIFS(Expenses!$H$2:$H$300,Expenses!$B$2:$B$300,B214,Expenses!$D$2:$D$300,C214,Expenses!$A$2:$A$300,"&gt;="&amp;EOMONTH(A214,-1)+1,Expenses!$A$2:$A$300,"&lt;="&amp;EOMONTH(A214,0))</f>
        <v>0</v>
      </c>
      <c r="F214" s="27">
        <f t="shared" si="3"/>
        <v>0</v>
      </c>
    </row>
    <row r="215" spans="1:6">
      <c r="A215" s="29"/>
      <c r="D215" s="27"/>
      <c r="E215" s="27">
        <f>SUMIFS(Expenses!$H$2:$H$300,Expenses!$B$2:$B$300,B215,Expenses!$D$2:$D$300,C215,Expenses!$A$2:$A$300,"&gt;="&amp;EOMONTH(A215,-1)+1,Expenses!$A$2:$A$300,"&lt;="&amp;EOMONTH(A215,0))</f>
        <v>0</v>
      </c>
      <c r="F215" s="27">
        <f t="shared" si="3"/>
        <v>0</v>
      </c>
    </row>
    <row r="216" spans="1:6">
      <c r="A216" s="29"/>
      <c r="D216" s="27"/>
      <c r="E216" s="27">
        <f>SUMIFS(Expenses!$H$2:$H$300,Expenses!$B$2:$B$300,B216,Expenses!$D$2:$D$300,C216,Expenses!$A$2:$A$300,"&gt;="&amp;EOMONTH(A216,-1)+1,Expenses!$A$2:$A$300,"&lt;="&amp;EOMONTH(A216,0))</f>
        <v>0</v>
      </c>
      <c r="F216" s="27">
        <f t="shared" si="3"/>
        <v>0</v>
      </c>
    </row>
    <row r="217" spans="1:6">
      <c r="A217" s="29"/>
      <c r="D217" s="27"/>
      <c r="E217" s="27">
        <f>SUMIFS(Expenses!$H$2:$H$300,Expenses!$B$2:$B$300,B217,Expenses!$D$2:$D$300,C217,Expenses!$A$2:$A$300,"&gt;="&amp;EOMONTH(A217,-1)+1,Expenses!$A$2:$A$300,"&lt;="&amp;EOMONTH(A217,0))</f>
        <v>0</v>
      </c>
      <c r="F217" s="27">
        <f t="shared" si="3"/>
        <v>0</v>
      </c>
    </row>
    <row r="218" spans="1:6">
      <c r="A218" s="29"/>
      <c r="D218" s="27"/>
      <c r="E218" s="27">
        <f>SUMIFS(Expenses!$H$2:$H$300,Expenses!$B$2:$B$300,B218,Expenses!$D$2:$D$300,C218,Expenses!$A$2:$A$300,"&gt;="&amp;EOMONTH(A218,-1)+1,Expenses!$A$2:$A$300,"&lt;="&amp;EOMONTH(A218,0))</f>
        <v>0</v>
      </c>
      <c r="F218" s="27">
        <f t="shared" si="3"/>
        <v>0</v>
      </c>
    </row>
    <row r="219" spans="1:6">
      <c r="A219" s="29"/>
      <c r="D219" s="27"/>
      <c r="E219" s="27">
        <f>SUMIFS(Expenses!$H$2:$H$300,Expenses!$B$2:$B$300,B219,Expenses!$D$2:$D$300,C219,Expenses!$A$2:$A$300,"&gt;="&amp;EOMONTH(A219,-1)+1,Expenses!$A$2:$A$300,"&lt;="&amp;EOMONTH(A219,0))</f>
        <v>0</v>
      </c>
      <c r="F219" s="27">
        <f t="shared" si="3"/>
        <v>0</v>
      </c>
    </row>
    <row r="220" spans="1:6">
      <c r="A220" s="29"/>
      <c r="D220" s="27"/>
      <c r="E220" s="27">
        <f>SUMIFS(Expenses!$H$2:$H$300,Expenses!$B$2:$B$300,B220,Expenses!$D$2:$D$300,C220,Expenses!$A$2:$A$300,"&gt;="&amp;EOMONTH(A220,-1)+1,Expenses!$A$2:$A$300,"&lt;="&amp;EOMONTH(A220,0))</f>
        <v>0</v>
      </c>
      <c r="F220" s="27">
        <f t="shared" si="3"/>
        <v>0</v>
      </c>
    </row>
    <row r="221" spans="1:6">
      <c r="A221" s="29"/>
      <c r="D221" s="27"/>
      <c r="E221" s="27">
        <f>SUMIFS(Expenses!$H$2:$H$300,Expenses!$B$2:$B$300,B221,Expenses!$D$2:$D$300,C221,Expenses!$A$2:$A$300,"&gt;="&amp;EOMONTH(A221,-1)+1,Expenses!$A$2:$A$300,"&lt;="&amp;EOMONTH(A221,0))</f>
        <v>0</v>
      </c>
      <c r="F221" s="27">
        <f t="shared" si="3"/>
        <v>0</v>
      </c>
    </row>
    <row r="222" spans="1:6">
      <c r="A222" s="29"/>
      <c r="D222" s="27"/>
      <c r="E222" s="27">
        <f>SUMIFS(Expenses!$H$2:$H$300,Expenses!$B$2:$B$300,B222,Expenses!$D$2:$D$300,C222,Expenses!$A$2:$A$300,"&gt;="&amp;EOMONTH(A222,-1)+1,Expenses!$A$2:$A$300,"&lt;="&amp;EOMONTH(A222,0))</f>
        <v>0</v>
      </c>
      <c r="F222" s="27">
        <f t="shared" si="3"/>
        <v>0</v>
      </c>
    </row>
    <row r="223" spans="1:6">
      <c r="A223" s="29"/>
      <c r="D223" s="27"/>
      <c r="E223" s="27">
        <f>SUMIFS(Expenses!$H$2:$H$300,Expenses!$B$2:$B$300,B223,Expenses!$D$2:$D$300,C223,Expenses!$A$2:$A$300,"&gt;="&amp;EOMONTH(A223,-1)+1,Expenses!$A$2:$A$300,"&lt;="&amp;EOMONTH(A223,0))</f>
        <v>0</v>
      </c>
      <c r="F223" s="27">
        <f t="shared" si="3"/>
        <v>0</v>
      </c>
    </row>
    <row r="224" spans="1:6">
      <c r="A224" s="29"/>
      <c r="D224" s="27"/>
      <c r="E224" s="27">
        <f>SUMIFS(Expenses!$H$2:$H$300,Expenses!$B$2:$B$300,B224,Expenses!$D$2:$D$300,C224,Expenses!$A$2:$A$300,"&gt;="&amp;EOMONTH(A224,-1)+1,Expenses!$A$2:$A$300,"&lt;="&amp;EOMONTH(A224,0))</f>
        <v>0</v>
      </c>
      <c r="F224" s="27">
        <f t="shared" si="3"/>
        <v>0</v>
      </c>
    </row>
    <row r="225" spans="1:6">
      <c r="A225" s="29"/>
      <c r="D225" s="27"/>
      <c r="E225" s="27">
        <f>SUMIFS(Expenses!$H$2:$H$300,Expenses!$B$2:$B$300,B225,Expenses!$D$2:$D$300,C225,Expenses!$A$2:$A$300,"&gt;="&amp;EOMONTH(A225,-1)+1,Expenses!$A$2:$A$300,"&lt;="&amp;EOMONTH(A225,0))</f>
        <v>0</v>
      </c>
      <c r="F225" s="27">
        <f t="shared" si="3"/>
        <v>0</v>
      </c>
    </row>
    <row r="226" spans="1:6">
      <c r="A226" s="29"/>
      <c r="D226" s="27"/>
      <c r="E226" s="27">
        <f>SUMIFS(Expenses!$H$2:$H$300,Expenses!$B$2:$B$300,B226,Expenses!$D$2:$D$300,C226,Expenses!$A$2:$A$300,"&gt;="&amp;EOMONTH(A226,-1)+1,Expenses!$A$2:$A$300,"&lt;="&amp;EOMONTH(A226,0))</f>
        <v>0</v>
      </c>
      <c r="F226" s="27">
        <f t="shared" si="3"/>
        <v>0</v>
      </c>
    </row>
    <row r="227" spans="1:6">
      <c r="A227" s="29"/>
      <c r="D227" s="27"/>
      <c r="E227" s="27">
        <f>SUMIFS(Expenses!$H$2:$H$300,Expenses!$B$2:$B$300,B227,Expenses!$D$2:$D$300,C227,Expenses!$A$2:$A$300,"&gt;="&amp;EOMONTH(A227,-1)+1,Expenses!$A$2:$A$300,"&lt;="&amp;EOMONTH(A227,0))</f>
        <v>0</v>
      </c>
      <c r="F227" s="27">
        <f t="shared" si="3"/>
        <v>0</v>
      </c>
    </row>
    <row r="228" spans="1:6">
      <c r="A228" s="29"/>
      <c r="D228" s="27"/>
      <c r="E228" s="27">
        <f>SUMIFS(Expenses!$H$2:$H$300,Expenses!$B$2:$B$300,B228,Expenses!$D$2:$D$300,C228,Expenses!$A$2:$A$300,"&gt;="&amp;EOMONTH(A228,-1)+1,Expenses!$A$2:$A$300,"&lt;="&amp;EOMONTH(A228,0))</f>
        <v>0</v>
      </c>
      <c r="F228" s="27">
        <f t="shared" si="3"/>
        <v>0</v>
      </c>
    </row>
    <row r="229" spans="1:6">
      <c r="A229" s="29"/>
      <c r="D229" s="27"/>
      <c r="E229" s="27">
        <f>SUMIFS(Expenses!$H$2:$H$300,Expenses!$B$2:$B$300,B229,Expenses!$D$2:$D$300,C229,Expenses!$A$2:$A$300,"&gt;="&amp;EOMONTH(A229,-1)+1,Expenses!$A$2:$A$300,"&lt;="&amp;EOMONTH(A229,0))</f>
        <v>0</v>
      </c>
      <c r="F229" s="27">
        <f t="shared" si="3"/>
        <v>0</v>
      </c>
    </row>
    <row r="230" spans="1:6">
      <c r="A230" s="29"/>
      <c r="D230" s="27"/>
      <c r="E230" s="27">
        <f>SUMIFS(Expenses!$H$2:$H$300,Expenses!$B$2:$B$300,B230,Expenses!$D$2:$D$300,C230,Expenses!$A$2:$A$300,"&gt;="&amp;EOMONTH(A230,-1)+1,Expenses!$A$2:$A$300,"&lt;="&amp;EOMONTH(A230,0))</f>
        <v>0</v>
      </c>
      <c r="F230" s="27">
        <f t="shared" si="3"/>
        <v>0</v>
      </c>
    </row>
    <row r="231" spans="1:6">
      <c r="A231" s="29"/>
      <c r="D231" s="27"/>
      <c r="E231" s="27">
        <f>SUMIFS(Expenses!$H$2:$H$300,Expenses!$B$2:$B$300,B231,Expenses!$D$2:$D$300,C231,Expenses!$A$2:$A$300,"&gt;="&amp;EOMONTH(A231,-1)+1,Expenses!$A$2:$A$300,"&lt;="&amp;EOMONTH(A231,0))</f>
        <v>0</v>
      </c>
      <c r="F231" s="27">
        <f t="shared" si="3"/>
        <v>0</v>
      </c>
    </row>
    <row r="232" spans="1:6">
      <c r="A232" s="29"/>
      <c r="D232" s="27"/>
      <c r="E232" s="27">
        <f>SUMIFS(Expenses!$H$2:$H$300,Expenses!$B$2:$B$300,B232,Expenses!$D$2:$D$300,C232,Expenses!$A$2:$A$300,"&gt;="&amp;EOMONTH(A232,-1)+1,Expenses!$A$2:$A$300,"&lt;="&amp;EOMONTH(A232,0))</f>
        <v>0</v>
      </c>
      <c r="F232" s="27">
        <f t="shared" si="3"/>
        <v>0</v>
      </c>
    </row>
    <row r="233" spans="1:6">
      <c r="A233" s="29"/>
      <c r="D233" s="27"/>
      <c r="E233" s="27">
        <f>SUMIFS(Expenses!$H$2:$H$300,Expenses!$B$2:$B$300,B233,Expenses!$D$2:$D$300,C233,Expenses!$A$2:$A$300,"&gt;="&amp;EOMONTH(A233,-1)+1,Expenses!$A$2:$A$300,"&lt;="&amp;EOMONTH(A233,0))</f>
        <v>0</v>
      </c>
      <c r="F233" s="27">
        <f t="shared" si="3"/>
        <v>0</v>
      </c>
    </row>
    <row r="234" spans="1:6">
      <c r="A234" s="29"/>
      <c r="D234" s="27"/>
      <c r="E234" s="27">
        <f>SUMIFS(Expenses!$H$2:$H$300,Expenses!$B$2:$B$300,B234,Expenses!$D$2:$D$300,C234,Expenses!$A$2:$A$300,"&gt;="&amp;EOMONTH(A234,-1)+1,Expenses!$A$2:$A$300,"&lt;="&amp;EOMONTH(A234,0))</f>
        <v>0</v>
      </c>
      <c r="F234" s="27">
        <f t="shared" si="3"/>
        <v>0</v>
      </c>
    </row>
    <row r="235" spans="1:6">
      <c r="A235" s="29"/>
      <c r="D235" s="27"/>
      <c r="E235" s="27">
        <f>SUMIFS(Expenses!$H$2:$H$300,Expenses!$B$2:$B$300,B235,Expenses!$D$2:$D$300,C235,Expenses!$A$2:$A$300,"&gt;="&amp;EOMONTH(A235,-1)+1,Expenses!$A$2:$A$300,"&lt;="&amp;EOMONTH(A235,0))</f>
        <v>0</v>
      </c>
      <c r="F235" s="27">
        <f t="shared" si="3"/>
        <v>0</v>
      </c>
    </row>
    <row r="236" spans="1:6">
      <c r="A236" s="29"/>
      <c r="D236" s="27"/>
      <c r="E236" s="27">
        <f>SUMIFS(Expenses!$H$2:$H$300,Expenses!$B$2:$B$300,B236,Expenses!$D$2:$D$300,C236,Expenses!$A$2:$A$300,"&gt;="&amp;EOMONTH(A236,-1)+1,Expenses!$A$2:$A$300,"&lt;="&amp;EOMONTH(A236,0))</f>
        <v>0</v>
      </c>
      <c r="F236" s="27">
        <f t="shared" si="3"/>
        <v>0</v>
      </c>
    </row>
    <row r="237" spans="1:6">
      <c r="A237" s="29"/>
      <c r="D237" s="27"/>
      <c r="E237" s="27">
        <f>SUMIFS(Expenses!$H$2:$H$300,Expenses!$B$2:$B$300,B237,Expenses!$D$2:$D$300,C237,Expenses!$A$2:$A$300,"&gt;="&amp;EOMONTH(A237,-1)+1,Expenses!$A$2:$A$300,"&lt;="&amp;EOMONTH(A237,0))</f>
        <v>0</v>
      </c>
      <c r="F237" s="27">
        <f t="shared" si="3"/>
        <v>0</v>
      </c>
    </row>
    <row r="238" spans="1:6">
      <c r="A238" s="29"/>
      <c r="D238" s="27"/>
      <c r="E238" s="27">
        <f>SUMIFS(Expenses!$H$2:$H$300,Expenses!$B$2:$B$300,B238,Expenses!$D$2:$D$300,C238,Expenses!$A$2:$A$300,"&gt;="&amp;EOMONTH(A238,-1)+1,Expenses!$A$2:$A$300,"&lt;="&amp;EOMONTH(A238,0))</f>
        <v>0</v>
      </c>
      <c r="F238" s="27">
        <f t="shared" si="3"/>
        <v>0</v>
      </c>
    </row>
    <row r="239" spans="1:6">
      <c r="A239" s="29"/>
      <c r="D239" s="27"/>
      <c r="E239" s="27">
        <f>SUMIFS(Expenses!$H$2:$H$300,Expenses!$B$2:$B$300,B239,Expenses!$D$2:$D$300,C239,Expenses!$A$2:$A$300,"&gt;="&amp;EOMONTH(A239,-1)+1,Expenses!$A$2:$A$300,"&lt;="&amp;EOMONTH(A239,0))</f>
        <v>0</v>
      </c>
      <c r="F239" s="27">
        <f t="shared" si="3"/>
        <v>0</v>
      </c>
    </row>
    <row r="240" spans="1:6">
      <c r="A240" s="29"/>
      <c r="D240" s="27"/>
      <c r="E240" s="27">
        <f>SUMIFS(Expenses!$H$2:$H$300,Expenses!$B$2:$B$300,B240,Expenses!$D$2:$D$300,C240,Expenses!$A$2:$A$300,"&gt;="&amp;EOMONTH(A240,-1)+1,Expenses!$A$2:$A$300,"&lt;="&amp;EOMONTH(A240,0))</f>
        <v>0</v>
      </c>
      <c r="F240" s="27">
        <f t="shared" si="3"/>
        <v>0</v>
      </c>
    </row>
    <row r="241" spans="1:6">
      <c r="A241" s="29"/>
      <c r="D241" s="27"/>
      <c r="E241" s="27">
        <f>SUMIFS(Expenses!$H$2:$H$300,Expenses!$B$2:$B$300,B241,Expenses!$D$2:$D$300,C241,Expenses!$A$2:$A$300,"&gt;="&amp;EOMONTH(A241,-1)+1,Expenses!$A$2:$A$300,"&lt;="&amp;EOMONTH(A241,0))</f>
        <v>0</v>
      </c>
      <c r="F241" s="27">
        <f t="shared" si="3"/>
        <v>0</v>
      </c>
    </row>
    <row r="242" spans="1:6">
      <c r="A242" s="29"/>
      <c r="D242" s="27"/>
      <c r="E242" s="27">
        <f>SUMIFS(Expenses!$H$2:$H$300,Expenses!$B$2:$B$300,B242,Expenses!$D$2:$D$300,C242,Expenses!$A$2:$A$300,"&gt;="&amp;EOMONTH(A242,-1)+1,Expenses!$A$2:$A$300,"&lt;="&amp;EOMONTH(A242,0))</f>
        <v>0</v>
      </c>
      <c r="F242" s="27">
        <f t="shared" si="3"/>
        <v>0</v>
      </c>
    </row>
    <row r="243" spans="1:6">
      <c r="A243" s="29"/>
      <c r="D243" s="27"/>
      <c r="E243" s="27">
        <f>SUMIFS(Expenses!$H$2:$H$300,Expenses!$B$2:$B$300,B243,Expenses!$D$2:$D$300,C243,Expenses!$A$2:$A$300,"&gt;="&amp;EOMONTH(A243,-1)+1,Expenses!$A$2:$A$300,"&lt;="&amp;EOMONTH(A243,0))</f>
        <v>0</v>
      </c>
      <c r="F243" s="27">
        <f t="shared" si="3"/>
        <v>0</v>
      </c>
    </row>
    <row r="244" spans="1:6">
      <c r="A244" s="29"/>
      <c r="D244" s="27"/>
      <c r="E244" s="27">
        <f>SUMIFS(Expenses!$H$2:$H$300,Expenses!$B$2:$B$300,B244,Expenses!$D$2:$D$300,C244,Expenses!$A$2:$A$300,"&gt;="&amp;EOMONTH(A244,-1)+1,Expenses!$A$2:$A$300,"&lt;="&amp;EOMONTH(A244,0))</f>
        <v>0</v>
      </c>
      <c r="F244" s="27">
        <f t="shared" si="3"/>
        <v>0</v>
      </c>
    </row>
    <row r="245" spans="1:6">
      <c r="A245" s="29"/>
      <c r="D245" s="27"/>
      <c r="E245" s="27">
        <f>SUMIFS(Expenses!$H$2:$H$300,Expenses!$B$2:$B$300,B245,Expenses!$D$2:$D$300,C245,Expenses!$A$2:$A$300,"&gt;="&amp;EOMONTH(A245,-1)+1,Expenses!$A$2:$A$300,"&lt;="&amp;EOMONTH(A245,0))</f>
        <v>0</v>
      </c>
      <c r="F245" s="27">
        <f t="shared" si="3"/>
        <v>0</v>
      </c>
    </row>
    <row r="246" spans="1:6">
      <c r="A246" s="29"/>
      <c r="D246" s="27"/>
      <c r="E246" s="27">
        <f>SUMIFS(Expenses!$H$2:$H$300,Expenses!$B$2:$B$300,B246,Expenses!$D$2:$D$300,C246,Expenses!$A$2:$A$300,"&gt;="&amp;EOMONTH(A246,-1)+1,Expenses!$A$2:$A$300,"&lt;="&amp;EOMONTH(A246,0))</f>
        <v>0</v>
      </c>
      <c r="F246" s="27">
        <f t="shared" si="3"/>
        <v>0</v>
      </c>
    </row>
    <row r="247" spans="1:6">
      <c r="A247" s="29"/>
      <c r="D247" s="27"/>
      <c r="E247" s="27">
        <f>SUMIFS(Expenses!$H$2:$H$300,Expenses!$B$2:$B$300,B247,Expenses!$D$2:$D$300,C247,Expenses!$A$2:$A$300,"&gt;="&amp;EOMONTH(A247,-1)+1,Expenses!$A$2:$A$300,"&lt;="&amp;EOMONTH(A247,0))</f>
        <v>0</v>
      </c>
      <c r="F247" s="27">
        <f t="shared" si="3"/>
        <v>0</v>
      </c>
    </row>
    <row r="248" spans="1:6">
      <c r="A248" s="29"/>
      <c r="D248" s="27"/>
      <c r="E248" s="27">
        <f>SUMIFS(Expenses!$H$2:$H$300,Expenses!$B$2:$B$300,B248,Expenses!$D$2:$D$300,C248,Expenses!$A$2:$A$300,"&gt;="&amp;EOMONTH(A248,-1)+1,Expenses!$A$2:$A$300,"&lt;="&amp;EOMONTH(A248,0))</f>
        <v>0</v>
      </c>
      <c r="F248" s="27">
        <f t="shared" si="3"/>
        <v>0</v>
      </c>
    </row>
    <row r="249" spans="1:6">
      <c r="A249" s="29"/>
      <c r="D249" s="27"/>
      <c r="E249" s="27">
        <f>SUMIFS(Expenses!$H$2:$H$300,Expenses!$B$2:$B$300,B249,Expenses!$D$2:$D$300,C249,Expenses!$A$2:$A$300,"&gt;="&amp;EOMONTH(A249,-1)+1,Expenses!$A$2:$A$300,"&lt;="&amp;EOMONTH(A249,0))</f>
        <v>0</v>
      </c>
      <c r="F249" s="27">
        <f t="shared" si="3"/>
        <v>0</v>
      </c>
    </row>
    <row r="250" spans="1:6">
      <c r="A250" s="29"/>
      <c r="D250" s="27"/>
      <c r="E250" s="27">
        <f>SUMIFS(Expenses!$H$2:$H$300,Expenses!$B$2:$B$300,B250,Expenses!$D$2:$D$300,C250,Expenses!$A$2:$A$300,"&gt;="&amp;EOMONTH(A250,-1)+1,Expenses!$A$2:$A$300,"&lt;="&amp;EOMONTH(A250,0))</f>
        <v>0</v>
      </c>
      <c r="F250" s="27">
        <f t="shared" si="3"/>
        <v>0</v>
      </c>
    </row>
    <row r="251" spans="1:6">
      <c r="A251" s="29"/>
      <c r="D251" s="27"/>
      <c r="E251" s="27">
        <f>SUMIFS(Expenses!$H$2:$H$300,Expenses!$B$2:$B$300,B251,Expenses!$D$2:$D$300,C251,Expenses!$A$2:$A$300,"&gt;="&amp;EOMONTH(A251,-1)+1,Expenses!$A$2:$A$300,"&lt;="&amp;EOMONTH(A251,0))</f>
        <v>0</v>
      </c>
      <c r="F251" s="27">
        <f t="shared" si="3"/>
        <v>0</v>
      </c>
    </row>
    <row r="252" spans="1:6">
      <c r="A252" s="29"/>
      <c r="D252" s="27"/>
      <c r="E252" s="27">
        <f>SUMIFS(Expenses!$H$2:$H$300,Expenses!$B$2:$B$300,B252,Expenses!$D$2:$D$300,C252,Expenses!$A$2:$A$300,"&gt;="&amp;EOMONTH(A252,-1)+1,Expenses!$A$2:$A$300,"&lt;="&amp;EOMONTH(A252,0))</f>
        <v>0</v>
      </c>
      <c r="F252" s="27">
        <f t="shared" si="3"/>
        <v>0</v>
      </c>
    </row>
    <row r="253" spans="1:6">
      <c r="A253" s="29"/>
      <c r="D253" s="27"/>
      <c r="E253" s="27">
        <f>SUMIFS(Expenses!$H$2:$H$300,Expenses!$B$2:$B$300,B253,Expenses!$D$2:$D$300,C253,Expenses!$A$2:$A$300,"&gt;="&amp;EOMONTH(A253,-1)+1,Expenses!$A$2:$A$300,"&lt;="&amp;EOMONTH(A253,0))</f>
        <v>0</v>
      </c>
      <c r="F253" s="27">
        <f t="shared" si="3"/>
        <v>0</v>
      </c>
    </row>
    <row r="254" spans="1:6">
      <c r="A254" s="29"/>
      <c r="D254" s="27"/>
      <c r="E254" s="27">
        <f>SUMIFS(Expenses!$H$2:$H$300,Expenses!$B$2:$B$300,B254,Expenses!$D$2:$D$300,C254,Expenses!$A$2:$A$300,"&gt;="&amp;EOMONTH(A254,-1)+1,Expenses!$A$2:$A$300,"&lt;="&amp;EOMONTH(A254,0))</f>
        <v>0</v>
      </c>
      <c r="F254" s="27">
        <f t="shared" si="3"/>
        <v>0</v>
      </c>
    </row>
    <row r="255" spans="1:6">
      <c r="A255" s="29"/>
      <c r="D255" s="27"/>
      <c r="E255" s="27">
        <f>SUMIFS(Expenses!$H$2:$H$300,Expenses!$B$2:$B$300,B255,Expenses!$D$2:$D$300,C255,Expenses!$A$2:$A$300,"&gt;="&amp;EOMONTH(A255,-1)+1,Expenses!$A$2:$A$300,"&lt;="&amp;EOMONTH(A255,0))</f>
        <v>0</v>
      </c>
      <c r="F255" s="27">
        <f t="shared" si="3"/>
        <v>0</v>
      </c>
    </row>
    <row r="256" spans="1:6">
      <c r="A256" s="29"/>
      <c r="D256" s="27"/>
      <c r="E256" s="27">
        <f>SUMIFS(Expenses!$H$2:$H$300,Expenses!$B$2:$B$300,B256,Expenses!$D$2:$D$300,C256,Expenses!$A$2:$A$300,"&gt;="&amp;EOMONTH(A256,-1)+1,Expenses!$A$2:$A$300,"&lt;="&amp;EOMONTH(A256,0))</f>
        <v>0</v>
      </c>
      <c r="F256" s="27">
        <f t="shared" si="3"/>
        <v>0</v>
      </c>
    </row>
    <row r="257" spans="1:6">
      <c r="A257" s="29"/>
      <c r="D257" s="27"/>
      <c r="E257" s="27">
        <f>SUMIFS(Expenses!$H$2:$H$300,Expenses!$B$2:$B$300,B257,Expenses!$D$2:$D$300,C257,Expenses!$A$2:$A$300,"&gt;="&amp;EOMONTH(A257,-1)+1,Expenses!$A$2:$A$300,"&lt;="&amp;EOMONTH(A257,0))</f>
        <v>0</v>
      </c>
      <c r="F257" s="27">
        <f t="shared" si="3"/>
        <v>0</v>
      </c>
    </row>
    <row r="258" spans="1:6">
      <c r="A258" s="29"/>
      <c r="D258" s="27"/>
      <c r="E258" s="27">
        <f>SUMIFS(Expenses!$H$2:$H$300,Expenses!$B$2:$B$300,B258,Expenses!$D$2:$D$300,C258,Expenses!$A$2:$A$300,"&gt;="&amp;EOMONTH(A258,-1)+1,Expenses!$A$2:$A$300,"&lt;="&amp;EOMONTH(A258,0))</f>
        <v>0</v>
      </c>
      <c r="F258" s="27">
        <f t="shared" ref="F258:F321" si="4">D258-E258</f>
        <v>0</v>
      </c>
    </row>
    <row r="259" spans="1:6">
      <c r="A259" s="29"/>
      <c r="D259" s="27"/>
      <c r="E259" s="27">
        <f>SUMIFS(Expenses!$H$2:$H$300,Expenses!$B$2:$B$300,B259,Expenses!$D$2:$D$300,C259,Expenses!$A$2:$A$300,"&gt;="&amp;EOMONTH(A259,-1)+1,Expenses!$A$2:$A$300,"&lt;="&amp;EOMONTH(A259,0))</f>
        <v>0</v>
      </c>
      <c r="F259" s="27">
        <f t="shared" si="4"/>
        <v>0</v>
      </c>
    </row>
    <row r="260" spans="1:6">
      <c r="A260" s="29"/>
      <c r="D260" s="27"/>
      <c r="E260" s="27">
        <f>SUMIFS(Expenses!$H$2:$H$300,Expenses!$B$2:$B$300,B260,Expenses!$D$2:$D$300,C260,Expenses!$A$2:$A$300,"&gt;="&amp;EOMONTH(A260,-1)+1,Expenses!$A$2:$A$300,"&lt;="&amp;EOMONTH(A260,0))</f>
        <v>0</v>
      </c>
      <c r="F260" s="27">
        <f t="shared" si="4"/>
        <v>0</v>
      </c>
    </row>
    <row r="261" spans="1:6">
      <c r="A261" s="29"/>
      <c r="D261" s="27"/>
      <c r="E261" s="27">
        <f>SUMIFS(Expenses!$H$2:$H$300,Expenses!$B$2:$B$300,B261,Expenses!$D$2:$D$300,C261,Expenses!$A$2:$A$300,"&gt;="&amp;EOMONTH(A261,-1)+1,Expenses!$A$2:$A$300,"&lt;="&amp;EOMONTH(A261,0))</f>
        <v>0</v>
      </c>
      <c r="F261" s="27">
        <f t="shared" si="4"/>
        <v>0</v>
      </c>
    </row>
    <row r="262" spans="1:6">
      <c r="A262" s="29"/>
      <c r="D262" s="27"/>
      <c r="E262" s="27">
        <f>SUMIFS(Expenses!$H$2:$H$300,Expenses!$B$2:$B$300,B262,Expenses!$D$2:$D$300,C262,Expenses!$A$2:$A$300,"&gt;="&amp;EOMONTH(A262,-1)+1,Expenses!$A$2:$A$300,"&lt;="&amp;EOMONTH(A262,0))</f>
        <v>0</v>
      </c>
      <c r="F262" s="27">
        <f t="shared" si="4"/>
        <v>0</v>
      </c>
    </row>
    <row r="263" spans="1:6">
      <c r="A263" s="29"/>
      <c r="D263" s="27"/>
      <c r="E263" s="27">
        <f>SUMIFS(Expenses!$H$2:$H$300,Expenses!$B$2:$B$300,B263,Expenses!$D$2:$D$300,C263,Expenses!$A$2:$A$300,"&gt;="&amp;EOMONTH(A263,-1)+1,Expenses!$A$2:$A$300,"&lt;="&amp;EOMONTH(A263,0))</f>
        <v>0</v>
      </c>
      <c r="F263" s="27">
        <f t="shared" si="4"/>
        <v>0</v>
      </c>
    </row>
    <row r="264" spans="1:6">
      <c r="A264" s="29"/>
      <c r="D264" s="27"/>
      <c r="E264" s="27">
        <f>SUMIFS(Expenses!$H$2:$H$300,Expenses!$B$2:$B$300,B264,Expenses!$D$2:$D$300,C264,Expenses!$A$2:$A$300,"&gt;="&amp;EOMONTH(A264,-1)+1,Expenses!$A$2:$A$300,"&lt;="&amp;EOMONTH(A264,0))</f>
        <v>0</v>
      </c>
      <c r="F264" s="27">
        <f t="shared" si="4"/>
        <v>0</v>
      </c>
    </row>
    <row r="265" spans="1:6">
      <c r="A265" s="29"/>
      <c r="D265" s="27"/>
      <c r="E265" s="27">
        <f>SUMIFS(Expenses!$H$2:$H$300,Expenses!$B$2:$B$300,B265,Expenses!$D$2:$D$300,C265,Expenses!$A$2:$A$300,"&gt;="&amp;EOMONTH(A265,-1)+1,Expenses!$A$2:$A$300,"&lt;="&amp;EOMONTH(A265,0))</f>
        <v>0</v>
      </c>
      <c r="F265" s="27">
        <f t="shared" si="4"/>
        <v>0</v>
      </c>
    </row>
    <row r="266" spans="1:6">
      <c r="A266" s="29"/>
      <c r="D266" s="27"/>
      <c r="E266" s="27">
        <f>SUMIFS(Expenses!$H$2:$H$300,Expenses!$B$2:$B$300,B266,Expenses!$D$2:$D$300,C266,Expenses!$A$2:$A$300,"&gt;="&amp;EOMONTH(A266,-1)+1,Expenses!$A$2:$A$300,"&lt;="&amp;EOMONTH(A266,0))</f>
        <v>0</v>
      </c>
      <c r="F266" s="27">
        <f t="shared" si="4"/>
        <v>0</v>
      </c>
    </row>
    <row r="267" spans="1:6">
      <c r="A267" s="29"/>
      <c r="D267" s="27"/>
      <c r="E267" s="27">
        <f>SUMIFS(Expenses!$H$2:$H$300,Expenses!$B$2:$B$300,B267,Expenses!$D$2:$D$300,C267,Expenses!$A$2:$A$300,"&gt;="&amp;EOMONTH(A267,-1)+1,Expenses!$A$2:$A$300,"&lt;="&amp;EOMONTH(A267,0))</f>
        <v>0</v>
      </c>
      <c r="F267" s="27">
        <f t="shared" si="4"/>
        <v>0</v>
      </c>
    </row>
    <row r="268" spans="1:6">
      <c r="A268" s="29"/>
      <c r="D268" s="27"/>
      <c r="E268" s="27">
        <f>SUMIFS(Expenses!$H$2:$H$300,Expenses!$B$2:$B$300,B268,Expenses!$D$2:$D$300,C268,Expenses!$A$2:$A$300,"&gt;="&amp;EOMONTH(A268,-1)+1,Expenses!$A$2:$A$300,"&lt;="&amp;EOMONTH(A268,0))</f>
        <v>0</v>
      </c>
      <c r="F268" s="27">
        <f t="shared" si="4"/>
        <v>0</v>
      </c>
    </row>
    <row r="269" spans="1:6">
      <c r="A269" s="29"/>
      <c r="D269" s="27"/>
      <c r="E269" s="27">
        <f>SUMIFS(Expenses!$H$2:$H$300,Expenses!$B$2:$B$300,B269,Expenses!$D$2:$D$300,C269,Expenses!$A$2:$A$300,"&gt;="&amp;EOMONTH(A269,-1)+1,Expenses!$A$2:$A$300,"&lt;="&amp;EOMONTH(A269,0))</f>
        <v>0</v>
      </c>
      <c r="F269" s="27">
        <f t="shared" si="4"/>
        <v>0</v>
      </c>
    </row>
    <row r="270" spans="1:6">
      <c r="A270" s="29"/>
      <c r="D270" s="27"/>
      <c r="E270" s="27">
        <f>SUMIFS(Expenses!$H$2:$H$300,Expenses!$B$2:$B$300,B270,Expenses!$D$2:$D$300,C270,Expenses!$A$2:$A$300,"&gt;="&amp;EOMONTH(A270,-1)+1,Expenses!$A$2:$A$300,"&lt;="&amp;EOMONTH(A270,0))</f>
        <v>0</v>
      </c>
      <c r="F270" s="27">
        <f t="shared" si="4"/>
        <v>0</v>
      </c>
    </row>
    <row r="271" spans="1:6">
      <c r="A271" s="29"/>
      <c r="D271" s="27"/>
      <c r="E271" s="27">
        <f>SUMIFS(Expenses!$H$2:$H$300,Expenses!$B$2:$B$300,B271,Expenses!$D$2:$D$300,C271,Expenses!$A$2:$A$300,"&gt;="&amp;EOMONTH(A271,-1)+1,Expenses!$A$2:$A$300,"&lt;="&amp;EOMONTH(A271,0))</f>
        <v>0</v>
      </c>
      <c r="F271" s="27">
        <f t="shared" si="4"/>
        <v>0</v>
      </c>
    </row>
    <row r="272" spans="1:6">
      <c r="A272" s="29"/>
      <c r="D272" s="27"/>
      <c r="E272" s="27">
        <f>SUMIFS(Expenses!$H$2:$H$300,Expenses!$B$2:$B$300,B272,Expenses!$D$2:$D$300,C272,Expenses!$A$2:$A$300,"&gt;="&amp;EOMONTH(A272,-1)+1,Expenses!$A$2:$A$300,"&lt;="&amp;EOMONTH(A272,0))</f>
        <v>0</v>
      </c>
      <c r="F272" s="27">
        <f t="shared" si="4"/>
        <v>0</v>
      </c>
    </row>
    <row r="273" spans="1:6">
      <c r="A273" s="29"/>
      <c r="D273" s="27"/>
      <c r="E273" s="27">
        <f>SUMIFS(Expenses!$H$2:$H$300,Expenses!$B$2:$B$300,B273,Expenses!$D$2:$D$300,C273,Expenses!$A$2:$A$300,"&gt;="&amp;EOMONTH(A273,-1)+1,Expenses!$A$2:$A$300,"&lt;="&amp;EOMONTH(A273,0))</f>
        <v>0</v>
      </c>
      <c r="F273" s="27">
        <f t="shared" si="4"/>
        <v>0</v>
      </c>
    </row>
    <row r="274" spans="1:6">
      <c r="A274" s="29"/>
      <c r="D274" s="27"/>
      <c r="E274" s="27">
        <f>SUMIFS(Expenses!$H$2:$H$300,Expenses!$B$2:$B$300,B274,Expenses!$D$2:$D$300,C274,Expenses!$A$2:$A$300,"&gt;="&amp;EOMONTH(A274,-1)+1,Expenses!$A$2:$A$300,"&lt;="&amp;EOMONTH(A274,0))</f>
        <v>0</v>
      </c>
      <c r="F274" s="27">
        <f t="shared" si="4"/>
        <v>0</v>
      </c>
    </row>
    <row r="275" spans="1:6">
      <c r="A275" s="29"/>
      <c r="D275" s="27"/>
      <c r="E275" s="27">
        <f>SUMIFS(Expenses!$H$2:$H$300,Expenses!$B$2:$B$300,B275,Expenses!$D$2:$D$300,C275,Expenses!$A$2:$A$300,"&gt;="&amp;EOMONTH(A275,-1)+1,Expenses!$A$2:$A$300,"&lt;="&amp;EOMONTH(A275,0))</f>
        <v>0</v>
      </c>
      <c r="F275" s="27">
        <f t="shared" si="4"/>
        <v>0</v>
      </c>
    </row>
    <row r="276" spans="1:6">
      <c r="A276" s="29"/>
      <c r="D276" s="27"/>
      <c r="E276" s="27">
        <f>SUMIFS(Expenses!$H$2:$H$300,Expenses!$B$2:$B$300,B276,Expenses!$D$2:$D$300,C276,Expenses!$A$2:$A$300,"&gt;="&amp;EOMONTH(A276,-1)+1,Expenses!$A$2:$A$300,"&lt;="&amp;EOMONTH(A276,0))</f>
        <v>0</v>
      </c>
      <c r="F276" s="27">
        <f t="shared" si="4"/>
        <v>0</v>
      </c>
    </row>
    <row r="277" spans="1:6">
      <c r="A277" s="29"/>
      <c r="D277" s="27"/>
      <c r="E277" s="27">
        <f>SUMIFS(Expenses!$H$2:$H$300,Expenses!$B$2:$B$300,B277,Expenses!$D$2:$D$300,C277,Expenses!$A$2:$A$300,"&gt;="&amp;EOMONTH(A277,-1)+1,Expenses!$A$2:$A$300,"&lt;="&amp;EOMONTH(A277,0))</f>
        <v>0</v>
      </c>
      <c r="F277" s="27">
        <f t="shared" si="4"/>
        <v>0</v>
      </c>
    </row>
    <row r="278" spans="1:6">
      <c r="A278" s="29"/>
      <c r="D278" s="27"/>
      <c r="E278" s="27">
        <f>SUMIFS(Expenses!$H$2:$H$300,Expenses!$B$2:$B$300,B278,Expenses!$D$2:$D$300,C278,Expenses!$A$2:$A$300,"&gt;="&amp;EOMONTH(A278,-1)+1,Expenses!$A$2:$A$300,"&lt;="&amp;EOMONTH(A278,0))</f>
        <v>0</v>
      </c>
      <c r="F278" s="27">
        <f t="shared" si="4"/>
        <v>0</v>
      </c>
    </row>
    <row r="279" spans="1:6">
      <c r="A279" s="29"/>
      <c r="D279" s="27"/>
      <c r="E279" s="27">
        <f>SUMIFS(Expenses!$H$2:$H$300,Expenses!$B$2:$B$300,B279,Expenses!$D$2:$D$300,C279,Expenses!$A$2:$A$300,"&gt;="&amp;EOMONTH(A279,-1)+1,Expenses!$A$2:$A$300,"&lt;="&amp;EOMONTH(A279,0))</f>
        <v>0</v>
      </c>
      <c r="F279" s="27">
        <f t="shared" si="4"/>
        <v>0</v>
      </c>
    </row>
    <row r="280" spans="1:6">
      <c r="A280" s="29"/>
      <c r="D280" s="27"/>
      <c r="E280" s="27">
        <f>SUMIFS(Expenses!$H$2:$H$300,Expenses!$B$2:$B$300,B280,Expenses!$D$2:$D$300,C280,Expenses!$A$2:$A$300,"&gt;="&amp;EOMONTH(A280,-1)+1,Expenses!$A$2:$A$300,"&lt;="&amp;EOMONTH(A280,0))</f>
        <v>0</v>
      </c>
      <c r="F280" s="27">
        <f t="shared" si="4"/>
        <v>0</v>
      </c>
    </row>
    <row r="281" spans="1:6">
      <c r="A281" s="29"/>
      <c r="D281" s="27"/>
      <c r="E281" s="27">
        <f>SUMIFS(Expenses!$H$2:$H$300,Expenses!$B$2:$B$300,B281,Expenses!$D$2:$D$300,C281,Expenses!$A$2:$A$300,"&gt;="&amp;EOMONTH(A281,-1)+1,Expenses!$A$2:$A$300,"&lt;="&amp;EOMONTH(A281,0))</f>
        <v>0</v>
      </c>
      <c r="F281" s="27">
        <f t="shared" si="4"/>
        <v>0</v>
      </c>
    </row>
    <row r="282" spans="1:6">
      <c r="A282" s="29"/>
      <c r="D282" s="27"/>
      <c r="E282" s="27">
        <f>SUMIFS(Expenses!$H$2:$H$300,Expenses!$B$2:$B$300,B282,Expenses!$D$2:$D$300,C282,Expenses!$A$2:$A$300,"&gt;="&amp;EOMONTH(A282,-1)+1,Expenses!$A$2:$A$300,"&lt;="&amp;EOMONTH(A282,0))</f>
        <v>0</v>
      </c>
      <c r="F282" s="27">
        <f t="shared" si="4"/>
        <v>0</v>
      </c>
    </row>
    <row r="283" spans="1:6">
      <c r="A283" s="29"/>
      <c r="D283" s="27"/>
      <c r="E283" s="27">
        <f>SUMIFS(Expenses!$H$2:$H$300,Expenses!$B$2:$B$300,B283,Expenses!$D$2:$D$300,C283,Expenses!$A$2:$A$300,"&gt;="&amp;EOMONTH(A283,-1)+1,Expenses!$A$2:$A$300,"&lt;="&amp;EOMONTH(A283,0))</f>
        <v>0</v>
      </c>
      <c r="F283" s="27">
        <f t="shared" si="4"/>
        <v>0</v>
      </c>
    </row>
    <row r="284" spans="1:6">
      <c r="A284" s="29"/>
      <c r="D284" s="27"/>
      <c r="E284" s="27">
        <f>SUMIFS(Expenses!$H$2:$H$300,Expenses!$B$2:$B$300,B284,Expenses!$D$2:$D$300,C284,Expenses!$A$2:$A$300,"&gt;="&amp;EOMONTH(A284,-1)+1,Expenses!$A$2:$A$300,"&lt;="&amp;EOMONTH(A284,0))</f>
        <v>0</v>
      </c>
      <c r="F284" s="27">
        <f t="shared" si="4"/>
        <v>0</v>
      </c>
    </row>
    <row r="285" spans="1:6">
      <c r="A285" s="29"/>
      <c r="D285" s="27"/>
      <c r="E285" s="27">
        <f>SUMIFS(Expenses!$H$2:$H$300,Expenses!$B$2:$B$300,B285,Expenses!$D$2:$D$300,C285,Expenses!$A$2:$A$300,"&gt;="&amp;EOMONTH(A285,-1)+1,Expenses!$A$2:$A$300,"&lt;="&amp;EOMONTH(A285,0))</f>
        <v>0</v>
      </c>
      <c r="F285" s="27">
        <f t="shared" si="4"/>
        <v>0</v>
      </c>
    </row>
    <row r="286" spans="1:6">
      <c r="A286" s="29"/>
      <c r="D286" s="27"/>
      <c r="E286" s="27">
        <f>SUMIFS(Expenses!$H$2:$H$300,Expenses!$B$2:$B$300,B286,Expenses!$D$2:$D$300,C286,Expenses!$A$2:$A$300,"&gt;="&amp;EOMONTH(A286,-1)+1,Expenses!$A$2:$A$300,"&lt;="&amp;EOMONTH(A286,0))</f>
        <v>0</v>
      </c>
      <c r="F286" s="27">
        <f t="shared" si="4"/>
        <v>0</v>
      </c>
    </row>
    <row r="287" spans="1:6">
      <c r="A287" s="29"/>
      <c r="D287" s="27"/>
      <c r="E287" s="27">
        <f>SUMIFS(Expenses!$H$2:$H$300,Expenses!$B$2:$B$300,B287,Expenses!$D$2:$D$300,C287,Expenses!$A$2:$A$300,"&gt;="&amp;EOMONTH(A287,-1)+1,Expenses!$A$2:$A$300,"&lt;="&amp;EOMONTH(A287,0))</f>
        <v>0</v>
      </c>
      <c r="F287" s="27">
        <f t="shared" si="4"/>
        <v>0</v>
      </c>
    </row>
    <row r="288" spans="1:6">
      <c r="A288" s="29"/>
      <c r="D288" s="27"/>
      <c r="E288" s="27">
        <f>SUMIFS(Expenses!$H$2:$H$300,Expenses!$B$2:$B$300,B288,Expenses!$D$2:$D$300,C288,Expenses!$A$2:$A$300,"&gt;="&amp;EOMONTH(A288,-1)+1,Expenses!$A$2:$A$300,"&lt;="&amp;EOMONTH(A288,0))</f>
        <v>0</v>
      </c>
      <c r="F288" s="27">
        <f t="shared" si="4"/>
        <v>0</v>
      </c>
    </row>
    <row r="289" spans="1:6">
      <c r="A289" s="29"/>
      <c r="D289" s="27"/>
      <c r="E289" s="27">
        <f>SUMIFS(Expenses!$H$2:$H$300,Expenses!$B$2:$B$300,B289,Expenses!$D$2:$D$300,C289,Expenses!$A$2:$A$300,"&gt;="&amp;EOMONTH(A289,-1)+1,Expenses!$A$2:$A$300,"&lt;="&amp;EOMONTH(A289,0))</f>
        <v>0</v>
      </c>
      <c r="F289" s="27">
        <f t="shared" si="4"/>
        <v>0</v>
      </c>
    </row>
    <row r="290" spans="1:6">
      <c r="A290" s="29"/>
      <c r="D290" s="27"/>
      <c r="E290" s="27">
        <f>SUMIFS(Expenses!$H$2:$H$300,Expenses!$B$2:$B$300,B290,Expenses!$D$2:$D$300,C290,Expenses!$A$2:$A$300,"&gt;="&amp;EOMONTH(A290,-1)+1,Expenses!$A$2:$A$300,"&lt;="&amp;EOMONTH(A290,0))</f>
        <v>0</v>
      </c>
      <c r="F290" s="27">
        <f t="shared" si="4"/>
        <v>0</v>
      </c>
    </row>
    <row r="291" spans="1:6">
      <c r="A291" s="29"/>
      <c r="D291" s="27"/>
      <c r="E291" s="27">
        <f>SUMIFS(Expenses!$H$2:$H$300,Expenses!$B$2:$B$300,B291,Expenses!$D$2:$D$300,C291,Expenses!$A$2:$A$300,"&gt;="&amp;EOMONTH(A291,-1)+1,Expenses!$A$2:$A$300,"&lt;="&amp;EOMONTH(A291,0))</f>
        <v>0</v>
      </c>
      <c r="F291" s="27">
        <f t="shared" si="4"/>
        <v>0</v>
      </c>
    </row>
    <row r="292" spans="1:6">
      <c r="A292" s="29"/>
      <c r="D292" s="27"/>
      <c r="E292" s="27">
        <f>SUMIFS(Expenses!$H$2:$H$300,Expenses!$B$2:$B$300,B292,Expenses!$D$2:$D$300,C292,Expenses!$A$2:$A$300,"&gt;="&amp;EOMONTH(A292,-1)+1,Expenses!$A$2:$A$300,"&lt;="&amp;EOMONTH(A292,0))</f>
        <v>0</v>
      </c>
      <c r="F292" s="27">
        <f t="shared" si="4"/>
        <v>0</v>
      </c>
    </row>
    <row r="293" spans="1:6">
      <c r="A293" s="29"/>
      <c r="D293" s="27"/>
      <c r="E293" s="27">
        <f>SUMIFS(Expenses!$H$2:$H$300,Expenses!$B$2:$B$300,B293,Expenses!$D$2:$D$300,C293,Expenses!$A$2:$A$300,"&gt;="&amp;EOMONTH(A293,-1)+1,Expenses!$A$2:$A$300,"&lt;="&amp;EOMONTH(A293,0))</f>
        <v>0</v>
      </c>
      <c r="F293" s="27">
        <f t="shared" si="4"/>
        <v>0</v>
      </c>
    </row>
    <row r="294" spans="1:6">
      <c r="A294" s="29"/>
      <c r="D294" s="27"/>
      <c r="E294" s="27">
        <f>SUMIFS(Expenses!$H$2:$H$300,Expenses!$B$2:$B$300,B294,Expenses!$D$2:$D$300,C294,Expenses!$A$2:$A$300,"&gt;="&amp;EOMONTH(A294,-1)+1,Expenses!$A$2:$A$300,"&lt;="&amp;EOMONTH(A294,0))</f>
        <v>0</v>
      </c>
      <c r="F294" s="27">
        <f t="shared" si="4"/>
        <v>0</v>
      </c>
    </row>
    <row r="295" spans="1:6">
      <c r="A295" s="29"/>
      <c r="D295" s="27"/>
      <c r="E295" s="27">
        <f>SUMIFS(Expenses!$H$2:$H$300,Expenses!$B$2:$B$300,B295,Expenses!$D$2:$D$300,C295,Expenses!$A$2:$A$300,"&gt;="&amp;EOMONTH(A295,-1)+1,Expenses!$A$2:$A$300,"&lt;="&amp;EOMONTH(A295,0))</f>
        <v>0</v>
      </c>
      <c r="F295" s="27">
        <f t="shared" si="4"/>
        <v>0</v>
      </c>
    </row>
    <row r="296" spans="1:6">
      <c r="A296" s="29"/>
      <c r="D296" s="27"/>
      <c r="E296" s="27">
        <f>SUMIFS(Expenses!$H$2:$H$300,Expenses!$B$2:$B$300,B296,Expenses!$D$2:$D$300,C296,Expenses!$A$2:$A$300,"&gt;="&amp;EOMONTH(A296,-1)+1,Expenses!$A$2:$A$300,"&lt;="&amp;EOMONTH(A296,0))</f>
        <v>0</v>
      </c>
      <c r="F296" s="27">
        <f t="shared" si="4"/>
        <v>0</v>
      </c>
    </row>
    <row r="297" spans="1:6">
      <c r="A297" s="29"/>
      <c r="D297" s="27"/>
      <c r="E297" s="27">
        <f>SUMIFS(Expenses!$H$2:$H$300,Expenses!$B$2:$B$300,B297,Expenses!$D$2:$D$300,C297,Expenses!$A$2:$A$300,"&gt;="&amp;EOMONTH(A297,-1)+1,Expenses!$A$2:$A$300,"&lt;="&amp;EOMONTH(A297,0))</f>
        <v>0</v>
      </c>
      <c r="F297" s="27">
        <f t="shared" si="4"/>
        <v>0</v>
      </c>
    </row>
    <row r="298" spans="1:6">
      <c r="A298" s="29"/>
      <c r="D298" s="27"/>
      <c r="E298" s="27">
        <f>SUMIFS(Expenses!$H$2:$H$300,Expenses!$B$2:$B$300,B298,Expenses!$D$2:$D$300,C298,Expenses!$A$2:$A$300,"&gt;="&amp;EOMONTH(A298,-1)+1,Expenses!$A$2:$A$300,"&lt;="&amp;EOMONTH(A298,0))</f>
        <v>0</v>
      </c>
      <c r="F298" s="27">
        <f t="shared" si="4"/>
        <v>0</v>
      </c>
    </row>
    <row r="299" spans="1:6">
      <c r="A299" s="29"/>
      <c r="D299" s="27"/>
      <c r="E299" s="27">
        <f>SUMIFS(Expenses!$H$2:$H$300,Expenses!$B$2:$B$300,B299,Expenses!$D$2:$D$300,C299,Expenses!$A$2:$A$300,"&gt;="&amp;EOMONTH(A299,-1)+1,Expenses!$A$2:$A$300,"&lt;="&amp;EOMONTH(A299,0))</f>
        <v>0</v>
      </c>
      <c r="F299" s="27">
        <f t="shared" si="4"/>
        <v>0</v>
      </c>
    </row>
    <row r="300" spans="1:6">
      <c r="A300" s="29"/>
      <c r="D300" s="27"/>
      <c r="E300" s="27">
        <f>SUMIFS(Expenses!$H$2:$H$300,Expenses!$B$2:$B$300,B300,Expenses!$D$2:$D$300,C300,Expenses!$A$2:$A$300,"&gt;="&amp;EOMONTH(A300,-1)+1,Expenses!$A$2:$A$300,"&lt;="&amp;EOMONTH(A300,0))</f>
        <v>0</v>
      </c>
      <c r="F300" s="27">
        <f t="shared" si="4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Lists!$A$2:$A$9</xm:f>
          </x14:formula1>
          <xm:sqref>B2:B300</xm:sqref>
        </x14:dataValidation>
        <x14:dataValidation type="list" xr:uid="{00000000-0002-0000-0200-000001000000}">
          <x14:formula1>
            <xm:f>Lists!$B$2:$B$46</xm:f>
          </x14:formula1>
          <xm:sqref>C2:C300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0"/>
  <sheetViews>
    <sheetView workbookViewId="0">
      <selection activeCell="L17" sqref="L17"/>
    </sheetView>
  </sheetViews>
  <sheetFormatPr baseColWidth="10" defaultColWidth="8.83203125" defaultRowHeight="14"/>
  <cols>
    <col min="1" max="1" width="10.5" bestFit="1" customWidth="1"/>
    <col min="2" max="2" width="27" bestFit="1" customWidth="1"/>
    <col min="3" max="3" width="21.83203125" bestFit="1" customWidth="1"/>
    <col min="4" max="4" width="6.33203125" bestFit="1" customWidth="1"/>
  </cols>
  <sheetData>
    <row r="1" spans="1:4" ht="15">
      <c r="A1" s="1" t="s">
        <v>27</v>
      </c>
      <c r="B1" s="1" t="s">
        <v>28</v>
      </c>
      <c r="C1" s="1" t="s">
        <v>40</v>
      </c>
      <c r="D1" s="1" t="s">
        <v>35</v>
      </c>
    </row>
    <row r="2" spans="1:4">
      <c r="A2" s="30">
        <v>46198</v>
      </c>
      <c r="B2" t="s">
        <v>8</v>
      </c>
      <c r="C2" s="27">
        <v>366.5</v>
      </c>
    </row>
    <row r="3" spans="1:4">
      <c r="A3" s="30">
        <v>46198</v>
      </c>
      <c r="B3" t="s">
        <v>18</v>
      </c>
      <c r="C3" s="27">
        <v>98</v>
      </c>
    </row>
    <row r="4" spans="1:4">
      <c r="A4" s="30">
        <v>46197</v>
      </c>
      <c r="B4" t="s">
        <v>8</v>
      </c>
      <c r="C4" s="27">
        <v>298.5</v>
      </c>
    </row>
    <row r="5" spans="1:4">
      <c r="A5" s="30">
        <v>46197</v>
      </c>
      <c r="B5" t="s">
        <v>18</v>
      </c>
      <c r="C5" s="27">
        <v>105</v>
      </c>
    </row>
    <row r="6" spans="1:4">
      <c r="A6" s="30">
        <v>46196</v>
      </c>
      <c r="B6" t="s">
        <v>8</v>
      </c>
      <c r="C6" s="27">
        <v>239.5</v>
      </c>
    </row>
    <row r="7" spans="1:4">
      <c r="A7" s="30">
        <v>46196</v>
      </c>
      <c r="B7" t="s">
        <v>18</v>
      </c>
      <c r="C7" s="27">
        <v>145.1</v>
      </c>
    </row>
    <row r="8" spans="1:4">
      <c r="A8" s="30">
        <v>46195</v>
      </c>
      <c r="B8" t="s">
        <v>18</v>
      </c>
      <c r="C8" s="27">
        <v>307</v>
      </c>
    </row>
    <row r="9" spans="1:4">
      <c r="A9" s="30">
        <v>46195</v>
      </c>
      <c r="B9" t="s">
        <v>8</v>
      </c>
      <c r="C9" s="27">
        <v>314</v>
      </c>
    </row>
    <row r="10" spans="1:4">
      <c r="A10" s="30">
        <v>46199</v>
      </c>
      <c r="B10" t="s">
        <v>8</v>
      </c>
      <c r="C10" s="27">
        <v>435.5</v>
      </c>
    </row>
    <row r="11" spans="1:4">
      <c r="A11" s="30">
        <v>46199</v>
      </c>
      <c r="B11" t="s">
        <v>18</v>
      </c>
      <c r="C11" s="27">
        <v>221</v>
      </c>
    </row>
    <row r="12" spans="1:4">
      <c r="A12" s="30">
        <v>46200</v>
      </c>
      <c r="B12" t="s">
        <v>8</v>
      </c>
      <c r="C12" s="27">
        <v>550.20000000000005</v>
      </c>
    </row>
    <row r="13" spans="1:4">
      <c r="A13" s="30">
        <v>46200</v>
      </c>
      <c r="B13" t="s">
        <v>18</v>
      </c>
      <c r="C13" s="27">
        <v>220</v>
      </c>
    </row>
    <row r="14" spans="1:4">
      <c r="A14" s="30"/>
      <c r="C14" s="27"/>
    </row>
    <row r="15" spans="1:4">
      <c r="A15" s="30"/>
      <c r="C15" s="27"/>
    </row>
    <row r="16" spans="1:4">
      <c r="A16" s="30"/>
      <c r="C16" s="27"/>
    </row>
    <row r="17" spans="1:3">
      <c r="A17" s="30"/>
      <c r="C17" s="27"/>
    </row>
    <row r="18" spans="1:3">
      <c r="A18" s="30"/>
      <c r="C18" s="27"/>
    </row>
    <row r="19" spans="1:3">
      <c r="A19" s="30"/>
      <c r="C19" s="27"/>
    </row>
    <row r="20" spans="1:3">
      <c r="A20" s="30"/>
      <c r="C20" s="27"/>
    </row>
    <row r="21" spans="1:3">
      <c r="A21" s="30"/>
      <c r="C21" s="27"/>
    </row>
    <row r="22" spans="1:3">
      <c r="A22" s="30"/>
      <c r="C22" s="27"/>
    </row>
    <row r="23" spans="1:3">
      <c r="A23" s="30"/>
      <c r="C23" s="27"/>
    </row>
    <row r="24" spans="1:3">
      <c r="A24" s="30"/>
      <c r="C24" s="27"/>
    </row>
    <row r="25" spans="1:3">
      <c r="A25" s="30"/>
      <c r="C25" s="27"/>
    </row>
    <row r="26" spans="1:3">
      <c r="A26" s="30"/>
      <c r="C26" s="27"/>
    </row>
    <row r="27" spans="1:3">
      <c r="A27" s="30"/>
      <c r="C27" s="27"/>
    </row>
    <row r="28" spans="1:3">
      <c r="A28" s="30"/>
      <c r="C28" s="27"/>
    </row>
    <row r="29" spans="1:3">
      <c r="A29" s="30"/>
      <c r="C29" s="27"/>
    </row>
    <row r="30" spans="1:3">
      <c r="A30" s="30"/>
      <c r="C30" s="27"/>
    </row>
    <row r="31" spans="1:3">
      <c r="A31" s="30"/>
      <c r="C31" s="27"/>
    </row>
    <row r="32" spans="1:3">
      <c r="A32" s="30"/>
      <c r="C32" s="27"/>
    </row>
    <row r="33" spans="1:3">
      <c r="A33" s="30"/>
      <c r="C33" s="27"/>
    </row>
    <row r="34" spans="1:3">
      <c r="A34" s="30"/>
      <c r="C34" s="27"/>
    </row>
    <row r="35" spans="1:3">
      <c r="A35" s="30"/>
      <c r="C35" s="27"/>
    </row>
    <row r="36" spans="1:3">
      <c r="A36" s="30"/>
      <c r="C36" s="27"/>
    </row>
    <row r="37" spans="1:3">
      <c r="A37" s="30"/>
      <c r="C37" s="27"/>
    </row>
    <row r="38" spans="1:3">
      <c r="A38" s="30"/>
      <c r="C38" s="27"/>
    </row>
    <row r="39" spans="1:3">
      <c r="A39" s="30"/>
      <c r="C39" s="27"/>
    </row>
    <row r="40" spans="1:3">
      <c r="A40" s="30"/>
      <c r="C40" s="27"/>
    </row>
    <row r="41" spans="1:3">
      <c r="A41" s="30"/>
      <c r="C41" s="27"/>
    </row>
    <row r="42" spans="1:3">
      <c r="A42" s="30"/>
      <c r="C42" s="27"/>
    </row>
    <row r="43" spans="1:3">
      <c r="A43" s="30"/>
      <c r="C43" s="27"/>
    </row>
    <row r="44" spans="1:3">
      <c r="A44" s="30"/>
      <c r="C44" s="27"/>
    </row>
    <row r="45" spans="1:3">
      <c r="A45" s="30"/>
      <c r="C45" s="27"/>
    </row>
    <row r="46" spans="1:3">
      <c r="A46" s="30"/>
      <c r="C46" s="27"/>
    </row>
    <row r="47" spans="1:3">
      <c r="A47" s="30"/>
      <c r="C47" s="27"/>
    </row>
    <row r="48" spans="1:3">
      <c r="A48" s="30"/>
      <c r="C48" s="27"/>
    </row>
    <row r="49" spans="1:3">
      <c r="A49" s="30"/>
      <c r="C49" s="27"/>
    </row>
    <row r="50" spans="1:3">
      <c r="A50" s="30"/>
      <c r="C50" s="27"/>
    </row>
    <row r="51" spans="1:3">
      <c r="A51" s="30"/>
      <c r="C51" s="27"/>
    </row>
    <row r="52" spans="1:3">
      <c r="A52" s="30"/>
      <c r="C52" s="27"/>
    </row>
    <row r="53" spans="1:3">
      <c r="A53" s="30"/>
      <c r="C53" s="27"/>
    </row>
    <row r="54" spans="1:3">
      <c r="A54" s="30"/>
      <c r="C54" s="27"/>
    </row>
    <row r="55" spans="1:3">
      <c r="A55" s="30"/>
      <c r="C55" s="27"/>
    </row>
    <row r="56" spans="1:3">
      <c r="A56" s="30"/>
      <c r="C56" s="27"/>
    </row>
    <row r="57" spans="1:3">
      <c r="A57" s="30"/>
      <c r="C57" s="27"/>
    </row>
    <row r="58" spans="1:3">
      <c r="A58" s="30"/>
      <c r="C58" s="27"/>
    </row>
    <row r="59" spans="1:3">
      <c r="A59" s="30"/>
      <c r="C59" s="27"/>
    </row>
    <row r="60" spans="1:3">
      <c r="A60" s="30"/>
      <c r="C60" s="27"/>
    </row>
    <row r="61" spans="1:3">
      <c r="A61" s="30"/>
      <c r="C61" s="27"/>
    </row>
    <row r="62" spans="1:3">
      <c r="A62" s="30"/>
      <c r="C62" s="27"/>
    </row>
    <row r="63" spans="1:3">
      <c r="A63" s="30"/>
      <c r="C63" s="27"/>
    </row>
    <row r="64" spans="1:3">
      <c r="A64" s="30"/>
      <c r="C64" s="27"/>
    </row>
    <row r="65" spans="1:3">
      <c r="A65" s="30"/>
      <c r="C65" s="27"/>
    </row>
    <row r="66" spans="1:3">
      <c r="A66" s="30"/>
      <c r="C66" s="27"/>
    </row>
    <row r="67" spans="1:3">
      <c r="A67" s="30"/>
      <c r="C67" s="27"/>
    </row>
    <row r="68" spans="1:3">
      <c r="A68" s="30"/>
      <c r="C68" s="27"/>
    </row>
    <row r="69" spans="1:3">
      <c r="A69" s="30"/>
      <c r="C69" s="27"/>
    </row>
    <row r="70" spans="1:3">
      <c r="A70" s="30"/>
      <c r="C70" s="27"/>
    </row>
    <row r="71" spans="1:3">
      <c r="A71" s="30"/>
      <c r="C71" s="27"/>
    </row>
    <row r="72" spans="1:3">
      <c r="A72" s="30"/>
      <c r="C72" s="27"/>
    </row>
    <row r="73" spans="1:3">
      <c r="A73" s="30"/>
      <c r="C73" s="27"/>
    </row>
    <row r="74" spans="1:3">
      <c r="A74" s="30"/>
      <c r="C74" s="27"/>
    </row>
    <row r="75" spans="1:3">
      <c r="A75" s="30"/>
      <c r="C75" s="27"/>
    </row>
    <row r="76" spans="1:3">
      <c r="A76" s="30"/>
      <c r="C76" s="27"/>
    </row>
    <row r="77" spans="1:3">
      <c r="A77" s="30"/>
      <c r="C77" s="27"/>
    </row>
    <row r="78" spans="1:3">
      <c r="A78" s="30"/>
      <c r="C78" s="27"/>
    </row>
    <row r="79" spans="1:3">
      <c r="A79" s="30"/>
      <c r="C79" s="27"/>
    </row>
    <row r="80" spans="1:3">
      <c r="A80" s="30"/>
      <c r="C80" s="27"/>
    </row>
    <row r="81" spans="1:3">
      <c r="A81" s="30"/>
      <c r="C81" s="27"/>
    </row>
    <row r="82" spans="1:3">
      <c r="A82" s="30"/>
      <c r="C82" s="27"/>
    </row>
    <row r="83" spans="1:3">
      <c r="A83" s="30"/>
      <c r="C83" s="27"/>
    </row>
    <row r="84" spans="1:3">
      <c r="A84" s="30"/>
      <c r="C84" s="27"/>
    </row>
    <row r="85" spans="1:3">
      <c r="A85" s="30"/>
      <c r="C85" s="27"/>
    </row>
    <row r="86" spans="1:3">
      <c r="A86" s="30"/>
      <c r="C86" s="27"/>
    </row>
    <row r="87" spans="1:3">
      <c r="A87" s="30"/>
      <c r="C87" s="27"/>
    </row>
    <row r="88" spans="1:3">
      <c r="A88" s="30"/>
      <c r="C88" s="27"/>
    </row>
    <row r="89" spans="1:3">
      <c r="A89" s="30"/>
      <c r="C89" s="27"/>
    </row>
    <row r="90" spans="1:3">
      <c r="A90" s="30"/>
      <c r="C90" s="27"/>
    </row>
    <row r="91" spans="1:3">
      <c r="A91" s="30"/>
      <c r="C91" s="27"/>
    </row>
    <row r="92" spans="1:3">
      <c r="A92" s="30"/>
      <c r="C92" s="27"/>
    </row>
    <row r="93" spans="1:3">
      <c r="A93" s="30"/>
      <c r="C93" s="27"/>
    </row>
    <row r="94" spans="1:3">
      <c r="A94" s="30"/>
      <c r="C94" s="27"/>
    </row>
    <row r="95" spans="1:3">
      <c r="A95" s="30"/>
      <c r="C95" s="27"/>
    </row>
    <row r="96" spans="1:3">
      <c r="A96" s="30"/>
      <c r="C96" s="27"/>
    </row>
    <row r="97" spans="1:3">
      <c r="A97" s="30"/>
      <c r="C97" s="27"/>
    </row>
    <row r="98" spans="1:3">
      <c r="A98" s="30"/>
      <c r="C98" s="27"/>
    </row>
    <row r="99" spans="1:3">
      <c r="A99" s="30"/>
      <c r="C99" s="27"/>
    </row>
    <row r="100" spans="1:3">
      <c r="A100" s="30"/>
      <c r="C100" s="27"/>
    </row>
    <row r="101" spans="1:3">
      <c r="A101" s="30"/>
      <c r="C101" s="27"/>
    </row>
    <row r="102" spans="1:3">
      <c r="A102" s="30"/>
      <c r="C102" s="27"/>
    </row>
    <row r="103" spans="1:3">
      <c r="A103" s="30"/>
      <c r="C103" s="27"/>
    </row>
    <row r="104" spans="1:3">
      <c r="A104" s="30"/>
      <c r="C104" s="27"/>
    </row>
    <row r="105" spans="1:3">
      <c r="A105" s="30"/>
      <c r="C105" s="27"/>
    </row>
    <row r="106" spans="1:3">
      <c r="A106" s="30"/>
      <c r="C106" s="27"/>
    </row>
    <row r="107" spans="1:3">
      <c r="A107" s="30"/>
      <c r="C107" s="27"/>
    </row>
    <row r="108" spans="1:3">
      <c r="A108" s="30"/>
      <c r="C108" s="27"/>
    </row>
    <row r="109" spans="1:3">
      <c r="A109" s="30"/>
      <c r="C109" s="27"/>
    </row>
    <row r="110" spans="1:3">
      <c r="A110" s="30"/>
      <c r="C110" s="27"/>
    </row>
    <row r="111" spans="1:3">
      <c r="A111" s="30"/>
      <c r="C111" s="27"/>
    </row>
    <row r="112" spans="1:3">
      <c r="A112" s="30"/>
      <c r="C112" s="27"/>
    </row>
    <row r="113" spans="1:3">
      <c r="A113" s="30"/>
      <c r="C113" s="27"/>
    </row>
    <row r="114" spans="1:3">
      <c r="A114" s="30"/>
      <c r="C114" s="27"/>
    </row>
    <row r="115" spans="1:3">
      <c r="A115" s="30"/>
      <c r="C115" s="27"/>
    </row>
    <row r="116" spans="1:3">
      <c r="A116" s="30"/>
      <c r="C116" s="27"/>
    </row>
    <row r="117" spans="1:3">
      <c r="A117" s="30"/>
      <c r="C117" s="27"/>
    </row>
    <row r="118" spans="1:3">
      <c r="A118" s="30"/>
      <c r="C118" s="27"/>
    </row>
    <row r="119" spans="1:3">
      <c r="A119" s="30"/>
      <c r="C119" s="27"/>
    </row>
    <row r="120" spans="1:3">
      <c r="A120" s="30"/>
      <c r="C120" s="27"/>
    </row>
    <row r="121" spans="1:3">
      <c r="A121" s="30"/>
      <c r="C121" s="27"/>
    </row>
    <row r="122" spans="1:3">
      <c r="A122" s="30"/>
      <c r="C122" s="27"/>
    </row>
    <row r="123" spans="1:3">
      <c r="A123" s="30"/>
      <c r="C123" s="27"/>
    </row>
    <row r="124" spans="1:3">
      <c r="A124" s="30"/>
      <c r="C124" s="27"/>
    </row>
    <row r="125" spans="1:3">
      <c r="A125" s="30"/>
      <c r="C125" s="27"/>
    </row>
    <row r="126" spans="1:3">
      <c r="A126" s="30"/>
      <c r="C126" s="27"/>
    </row>
    <row r="127" spans="1:3">
      <c r="A127" s="30"/>
      <c r="C127" s="27"/>
    </row>
    <row r="128" spans="1:3">
      <c r="A128" s="30"/>
      <c r="C128" s="27"/>
    </row>
    <row r="129" spans="1:3">
      <c r="A129" s="30"/>
      <c r="C129" s="27"/>
    </row>
    <row r="130" spans="1:3">
      <c r="A130" s="30"/>
      <c r="C130" s="27"/>
    </row>
    <row r="131" spans="1:3">
      <c r="A131" s="30"/>
      <c r="C131" s="27"/>
    </row>
    <row r="132" spans="1:3">
      <c r="A132" s="30"/>
      <c r="C132" s="27"/>
    </row>
    <row r="133" spans="1:3">
      <c r="A133" s="30"/>
      <c r="C133" s="27"/>
    </row>
    <row r="134" spans="1:3">
      <c r="A134" s="30"/>
      <c r="C134" s="27"/>
    </row>
    <row r="135" spans="1:3">
      <c r="A135" s="30"/>
      <c r="C135" s="27"/>
    </row>
    <row r="136" spans="1:3">
      <c r="A136" s="30"/>
      <c r="C136" s="27"/>
    </row>
    <row r="137" spans="1:3">
      <c r="A137" s="30"/>
      <c r="C137" s="27"/>
    </row>
    <row r="138" spans="1:3">
      <c r="A138" s="30"/>
      <c r="C138" s="27"/>
    </row>
    <row r="139" spans="1:3">
      <c r="A139" s="30"/>
      <c r="C139" s="27"/>
    </row>
    <row r="140" spans="1:3">
      <c r="A140" s="30"/>
      <c r="C140" s="27"/>
    </row>
    <row r="141" spans="1:3">
      <c r="A141" s="30"/>
      <c r="C141" s="27"/>
    </row>
    <row r="142" spans="1:3">
      <c r="A142" s="30"/>
      <c r="C142" s="27"/>
    </row>
    <row r="143" spans="1:3">
      <c r="A143" s="30"/>
      <c r="C143" s="27"/>
    </row>
    <row r="144" spans="1:3">
      <c r="A144" s="30"/>
      <c r="C144" s="27"/>
    </row>
    <row r="145" spans="1:3">
      <c r="A145" s="30"/>
      <c r="C145" s="27"/>
    </row>
    <row r="146" spans="1:3">
      <c r="A146" s="30"/>
      <c r="C146" s="27"/>
    </row>
    <row r="147" spans="1:3">
      <c r="A147" s="30"/>
      <c r="C147" s="27"/>
    </row>
    <row r="148" spans="1:3">
      <c r="A148" s="30"/>
      <c r="C148" s="27"/>
    </row>
    <row r="149" spans="1:3">
      <c r="A149" s="30"/>
      <c r="C149" s="27"/>
    </row>
    <row r="150" spans="1:3">
      <c r="A150" s="30"/>
      <c r="C150" s="27"/>
    </row>
    <row r="151" spans="1:3">
      <c r="A151" s="30"/>
      <c r="C151" s="27"/>
    </row>
    <row r="152" spans="1:3">
      <c r="A152" s="30"/>
      <c r="C152" s="27"/>
    </row>
    <row r="153" spans="1:3">
      <c r="A153" s="30"/>
      <c r="C153" s="27"/>
    </row>
    <row r="154" spans="1:3">
      <c r="A154" s="30"/>
      <c r="C154" s="27"/>
    </row>
    <row r="155" spans="1:3">
      <c r="A155" s="30"/>
      <c r="C155" s="27"/>
    </row>
    <row r="156" spans="1:3">
      <c r="A156" s="30"/>
      <c r="C156" s="27"/>
    </row>
    <row r="157" spans="1:3">
      <c r="A157" s="30"/>
      <c r="C157" s="27"/>
    </row>
    <row r="158" spans="1:3">
      <c r="A158" s="30"/>
      <c r="C158" s="27"/>
    </row>
    <row r="159" spans="1:3">
      <c r="A159" s="30"/>
      <c r="C159" s="27"/>
    </row>
    <row r="160" spans="1:3">
      <c r="A160" s="30"/>
      <c r="C160" s="27"/>
    </row>
    <row r="161" spans="1:3">
      <c r="A161" s="30"/>
      <c r="C161" s="27"/>
    </row>
    <row r="162" spans="1:3">
      <c r="A162" s="30"/>
      <c r="C162" s="27"/>
    </row>
    <row r="163" spans="1:3">
      <c r="A163" s="30"/>
      <c r="C163" s="27"/>
    </row>
    <row r="164" spans="1:3">
      <c r="A164" s="30"/>
      <c r="C164" s="27"/>
    </row>
    <row r="165" spans="1:3">
      <c r="A165" s="30"/>
      <c r="C165" s="27"/>
    </row>
    <row r="166" spans="1:3">
      <c r="A166" s="30"/>
      <c r="C166" s="27"/>
    </row>
    <row r="167" spans="1:3">
      <c r="A167" s="30"/>
      <c r="C167" s="27"/>
    </row>
    <row r="168" spans="1:3">
      <c r="A168" s="30"/>
      <c r="C168" s="27"/>
    </row>
    <row r="169" spans="1:3">
      <c r="A169" s="30"/>
      <c r="C169" s="27"/>
    </row>
    <row r="170" spans="1:3">
      <c r="A170" s="30"/>
      <c r="C170" s="27"/>
    </row>
    <row r="171" spans="1:3">
      <c r="A171" s="30"/>
      <c r="C171" s="27"/>
    </row>
    <row r="172" spans="1:3">
      <c r="A172" s="30"/>
      <c r="C172" s="27"/>
    </row>
    <row r="173" spans="1:3">
      <c r="A173" s="30"/>
      <c r="C173" s="27"/>
    </row>
    <row r="174" spans="1:3">
      <c r="A174" s="30"/>
      <c r="C174" s="27"/>
    </row>
    <row r="175" spans="1:3">
      <c r="A175" s="30"/>
      <c r="C175" s="27"/>
    </row>
    <row r="176" spans="1:3">
      <c r="A176" s="30"/>
      <c r="C176" s="27"/>
    </row>
    <row r="177" spans="1:3">
      <c r="A177" s="30"/>
      <c r="C177" s="27"/>
    </row>
    <row r="178" spans="1:3">
      <c r="A178" s="30"/>
      <c r="C178" s="27"/>
    </row>
    <row r="179" spans="1:3">
      <c r="A179" s="30"/>
      <c r="C179" s="27"/>
    </row>
    <row r="180" spans="1:3">
      <c r="A180" s="30"/>
      <c r="C180" s="27"/>
    </row>
    <row r="181" spans="1:3">
      <c r="A181" s="30"/>
      <c r="C181" s="27"/>
    </row>
    <row r="182" spans="1:3">
      <c r="A182" s="30"/>
      <c r="C182" s="27"/>
    </row>
    <row r="183" spans="1:3">
      <c r="A183" s="30"/>
      <c r="C183" s="27"/>
    </row>
    <row r="184" spans="1:3">
      <c r="A184" s="30"/>
      <c r="C184" s="27"/>
    </row>
    <row r="185" spans="1:3">
      <c r="A185" s="30"/>
      <c r="C185" s="27"/>
    </row>
    <row r="186" spans="1:3">
      <c r="A186" s="30"/>
      <c r="C186" s="27"/>
    </row>
    <row r="187" spans="1:3">
      <c r="A187" s="30"/>
      <c r="C187" s="27"/>
    </row>
    <row r="188" spans="1:3">
      <c r="A188" s="30"/>
      <c r="C188" s="27"/>
    </row>
    <row r="189" spans="1:3">
      <c r="A189" s="30"/>
      <c r="C189" s="27"/>
    </row>
    <row r="190" spans="1:3">
      <c r="A190" s="30"/>
      <c r="C190" s="27"/>
    </row>
    <row r="191" spans="1:3">
      <c r="A191" s="30"/>
      <c r="C191" s="27"/>
    </row>
    <row r="192" spans="1:3">
      <c r="A192" s="30"/>
      <c r="C192" s="27"/>
    </row>
    <row r="193" spans="1:3">
      <c r="A193" s="30"/>
      <c r="C193" s="27"/>
    </row>
    <row r="194" spans="1:3">
      <c r="A194" s="30"/>
      <c r="C194" s="27"/>
    </row>
    <row r="195" spans="1:3">
      <c r="A195" s="30"/>
      <c r="C195" s="27"/>
    </row>
    <row r="196" spans="1:3">
      <c r="A196" s="30"/>
      <c r="C196" s="27"/>
    </row>
    <row r="197" spans="1:3">
      <c r="A197" s="30"/>
      <c r="C197" s="27"/>
    </row>
    <row r="198" spans="1:3">
      <c r="A198" s="30"/>
      <c r="C198" s="27"/>
    </row>
    <row r="199" spans="1:3">
      <c r="A199" s="30"/>
      <c r="C199" s="27"/>
    </row>
    <row r="200" spans="1:3">
      <c r="A200" s="30"/>
      <c r="C200" s="27"/>
    </row>
    <row r="201" spans="1:3">
      <c r="A201" s="30"/>
      <c r="C201" s="27"/>
    </row>
    <row r="202" spans="1:3">
      <c r="A202" s="30"/>
      <c r="C202" s="27"/>
    </row>
    <row r="203" spans="1:3">
      <c r="A203" s="30"/>
      <c r="C203" s="27"/>
    </row>
    <row r="204" spans="1:3">
      <c r="A204" s="30"/>
      <c r="C204" s="27"/>
    </row>
    <row r="205" spans="1:3">
      <c r="A205" s="30"/>
      <c r="C205" s="27"/>
    </row>
    <row r="206" spans="1:3">
      <c r="A206" s="30"/>
      <c r="C206" s="27"/>
    </row>
    <row r="207" spans="1:3">
      <c r="A207" s="30"/>
      <c r="C207" s="27"/>
    </row>
    <row r="208" spans="1:3">
      <c r="A208" s="30"/>
      <c r="C208" s="27"/>
    </row>
    <row r="209" spans="1:3">
      <c r="A209" s="30"/>
      <c r="C209" s="27"/>
    </row>
    <row r="210" spans="1:3">
      <c r="A210" s="30"/>
      <c r="C210" s="27"/>
    </row>
    <row r="211" spans="1:3">
      <c r="A211" s="30"/>
      <c r="C211" s="27"/>
    </row>
    <row r="212" spans="1:3">
      <c r="A212" s="30"/>
      <c r="C212" s="27"/>
    </row>
    <row r="213" spans="1:3">
      <c r="A213" s="30"/>
      <c r="C213" s="27"/>
    </row>
    <row r="214" spans="1:3">
      <c r="A214" s="30"/>
      <c r="C214" s="27"/>
    </row>
    <row r="215" spans="1:3">
      <c r="A215" s="30"/>
      <c r="C215" s="27"/>
    </row>
    <row r="216" spans="1:3">
      <c r="A216" s="30"/>
      <c r="C216" s="27"/>
    </row>
    <row r="217" spans="1:3">
      <c r="A217" s="30"/>
      <c r="C217" s="27"/>
    </row>
    <row r="218" spans="1:3">
      <c r="A218" s="30"/>
      <c r="C218" s="27"/>
    </row>
    <row r="219" spans="1:3">
      <c r="A219" s="30"/>
      <c r="C219" s="27"/>
    </row>
    <row r="220" spans="1:3">
      <c r="A220" s="30"/>
      <c r="C220" s="27"/>
    </row>
    <row r="221" spans="1:3">
      <c r="A221" s="30"/>
      <c r="C221" s="27"/>
    </row>
    <row r="222" spans="1:3">
      <c r="A222" s="30"/>
      <c r="C222" s="27"/>
    </row>
    <row r="223" spans="1:3">
      <c r="A223" s="30"/>
      <c r="C223" s="27"/>
    </row>
    <row r="224" spans="1:3">
      <c r="A224" s="30"/>
      <c r="C224" s="27"/>
    </row>
    <row r="225" spans="1:3">
      <c r="A225" s="30"/>
      <c r="C225" s="27"/>
    </row>
    <row r="226" spans="1:3">
      <c r="A226" s="30"/>
      <c r="C226" s="27"/>
    </row>
    <row r="227" spans="1:3">
      <c r="A227" s="30"/>
      <c r="C227" s="27"/>
    </row>
    <row r="228" spans="1:3">
      <c r="A228" s="30"/>
      <c r="C228" s="27"/>
    </row>
    <row r="229" spans="1:3">
      <c r="A229" s="30"/>
      <c r="C229" s="27"/>
    </row>
    <row r="230" spans="1:3">
      <c r="A230" s="30"/>
      <c r="C230" s="27"/>
    </row>
    <row r="231" spans="1:3">
      <c r="A231" s="30"/>
      <c r="C231" s="27"/>
    </row>
    <row r="232" spans="1:3">
      <c r="A232" s="30"/>
      <c r="C232" s="27"/>
    </row>
    <row r="233" spans="1:3">
      <c r="A233" s="30"/>
      <c r="C233" s="27"/>
    </row>
    <row r="234" spans="1:3">
      <c r="A234" s="30"/>
      <c r="C234" s="27"/>
    </row>
    <row r="235" spans="1:3">
      <c r="A235" s="30"/>
      <c r="C235" s="27"/>
    </row>
    <row r="236" spans="1:3">
      <c r="A236" s="30"/>
      <c r="C236" s="27"/>
    </row>
    <row r="237" spans="1:3">
      <c r="A237" s="30"/>
      <c r="C237" s="27"/>
    </row>
    <row r="238" spans="1:3">
      <c r="A238" s="30"/>
      <c r="C238" s="27"/>
    </row>
    <row r="239" spans="1:3">
      <c r="A239" s="30"/>
      <c r="C239" s="27"/>
    </row>
    <row r="240" spans="1:3">
      <c r="A240" s="30"/>
      <c r="C240" s="27"/>
    </row>
    <row r="241" spans="1:3">
      <c r="A241" s="30"/>
      <c r="C241" s="27"/>
    </row>
    <row r="242" spans="1:3">
      <c r="A242" s="30"/>
      <c r="C242" s="27"/>
    </row>
    <row r="243" spans="1:3">
      <c r="A243" s="30"/>
      <c r="C243" s="27"/>
    </row>
    <row r="244" spans="1:3">
      <c r="A244" s="30"/>
      <c r="C244" s="27"/>
    </row>
    <row r="245" spans="1:3">
      <c r="A245" s="30"/>
      <c r="C245" s="27"/>
    </row>
    <row r="246" spans="1:3">
      <c r="A246" s="30"/>
      <c r="C246" s="27"/>
    </row>
    <row r="247" spans="1:3">
      <c r="A247" s="30"/>
      <c r="C247" s="27"/>
    </row>
    <row r="248" spans="1:3">
      <c r="A248" s="30"/>
      <c r="C248" s="27"/>
    </row>
    <row r="249" spans="1:3">
      <c r="A249" s="30"/>
      <c r="C249" s="27"/>
    </row>
    <row r="250" spans="1:3">
      <c r="A250" s="30"/>
      <c r="C250" s="27"/>
    </row>
    <row r="251" spans="1:3">
      <c r="A251" s="30"/>
      <c r="C251" s="27"/>
    </row>
    <row r="252" spans="1:3">
      <c r="A252" s="30"/>
      <c r="C252" s="27"/>
    </row>
    <row r="253" spans="1:3">
      <c r="A253" s="30"/>
      <c r="C253" s="27"/>
    </row>
    <row r="254" spans="1:3">
      <c r="A254" s="30"/>
      <c r="C254" s="27"/>
    </row>
    <row r="255" spans="1:3">
      <c r="A255" s="30"/>
      <c r="C255" s="27"/>
    </row>
    <row r="256" spans="1:3">
      <c r="A256" s="30"/>
      <c r="C256" s="27"/>
    </row>
    <row r="257" spans="1:3">
      <c r="A257" s="30"/>
      <c r="C257" s="27"/>
    </row>
    <row r="258" spans="1:3">
      <c r="A258" s="30"/>
      <c r="C258" s="27"/>
    </row>
    <row r="259" spans="1:3">
      <c r="A259" s="30"/>
      <c r="C259" s="27"/>
    </row>
    <row r="260" spans="1:3">
      <c r="A260" s="30"/>
      <c r="C260" s="27"/>
    </row>
    <row r="261" spans="1:3">
      <c r="A261" s="30"/>
      <c r="C261" s="27"/>
    </row>
    <row r="262" spans="1:3">
      <c r="A262" s="30"/>
      <c r="C262" s="27"/>
    </row>
    <row r="263" spans="1:3">
      <c r="A263" s="30"/>
      <c r="C263" s="27"/>
    </row>
    <row r="264" spans="1:3">
      <c r="A264" s="30"/>
      <c r="C264" s="27"/>
    </row>
    <row r="265" spans="1:3">
      <c r="A265" s="30"/>
      <c r="C265" s="27"/>
    </row>
    <row r="266" spans="1:3">
      <c r="A266" s="30"/>
      <c r="C266" s="27"/>
    </row>
    <row r="267" spans="1:3">
      <c r="A267" s="30"/>
      <c r="C267" s="27"/>
    </row>
    <row r="268" spans="1:3">
      <c r="A268" s="30"/>
      <c r="C268" s="27"/>
    </row>
    <row r="269" spans="1:3">
      <c r="A269" s="30"/>
      <c r="C269" s="27"/>
    </row>
    <row r="270" spans="1:3">
      <c r="A270" s="30"/>
      <c r="C270" s="27"/>
    </row>
    <row r="271" spans="1:3">
      <c r="A271" s="30"/>
      <c r="C271" s="27"/>
    </row>
    <row r="272" spans="1:3">
      <c r="A272" s="30"/>
      <c r="C272" s="27"/>
    </row>
    <row r="273" spans="1:3">
      <c r="A273" s="30"/>
      <c r="C273" s="27"/>
    </row>
    <row r="274" spans="1:3">
      <c r="A274" s="30"/>
      <c r="C274" s="27"/>
    </row>
    <row r="275" spans="1:3">
      <c r="A275" s="30"/>
      <c r="C275" s="27"/>
    </row>
    <row r="276" spans="1:3">
      <c r="A276" s="30"/>
      <c r="C276" s="27"/>
    </row>
    <row r="277" spans="1:3">
      <c r="A277" s="30"/>
      <c r="C277" s="27"/>
    </row>
    <row r="278" spans="1:3">
      <c r="A278" s="30"/>
      <c r="C278" s="27"/>
    </row>
    <row r="279" spans="1:3">
      <c r="A279" s="30"/>
      <c r="C279" s="27"/>
    </row>
    <row r="280" spans="1:3">
      <c r="A280" s="30"/>
      <c r="C280" s="27"/>
    </row>
    <row r="281" spans="1:3">
      <c r="A281" s="30"/>
      <c r="C281" s="27"/>
    </row>
    <row r="282" spans="1:3">
      <c r="A282" s="30"/>
      <c r="C282" s="27"/>
    </row>
    <row r="283" spans="1:3">
      <c r="A283" s="30"/>
      <c r="C283" s="27"/>
    </row>
    <row r="284" spans="1:3">
      <c r="A284" s="30"/>
      <c r="C284" s="27"/>
    </row>
    <row r="285" spans="1:3">
      <c r="A285" s="30"/>
      <c r="C285" s="27"/>
    </row>
    <row r="286" spans="1:3">
      <c r="A286" s="30"/>
      <c r="C286" s="27"/>
    </row>
    <row r="287" spans="1:3">
      <c r="A287" s="30"/>
      <c r="C287" s="27"/>
    </row>
    <row r="288" spans="1:3">
      <c r="A288" s="30"/>
      <c r="C288" s="27"/>
    </row>
    <row r="289" spans="1:3">
      <c r="A289" s="30"/>
      <c r="C289" s="27"/>
    </row>
    <row r="290" spans="1:3">
      <c r="A290" s="30"/>
      <c r="C290" s="27"/>
    </row>
    <row r="291" spans="1:3">
      <c r="A291" s="30"/>
      <c r="C291" s="27"/>
    </row>
    <row r="292" spans="1:3">
      <c r="A292" s="30"/>
      <c r="C292" s="27"/>
    </row>
    <row r="293" spans="1:3">
      <c r="A293" s="30"/>
      <c r="C293" s="27"/>
    </row>
    <row r="294" spans="1:3">
      <c r="A294" s="30"/>
      <c r="C294" s="27"/>
    </row>
    <row r="295" spans="1:3">
      <c r="A295" s="30"/>
      <c r="C295" s="27"/>
    </row>
    <row r="296" spans="1:3">
      <c r="A296" s="30"/>
      <c r="C296" s="27"/>
    </row>
    <row r="297" spans="1:3">
      <c r="A297" s="30"/>
      <c r="C297" s="27"/>
    </row>
    <row r="298" spans="1:3">
      <c r="A298" s="30"/>
      <c r="C298" s="27"/>
    </row>
    <row r="299" spans="1:3">
      <c r="A299" s="30"/>
      <c r="C299" s="27"/>
    </row>
    <row r="300" spans="1:3">
      <c r="A300" s="30"/>
      <c r="C300" s="2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Lists!$A$2:$A$9</xm:f>
          </x14:formula1>
          <xm:sqref>B14:B300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00"/>
  <sheetViews>
    <sheetView workbookViewId="0"/>
  </sheetViews>
  <sheetFormatPr baseColWidth="10" defaultColWidth="8.83203125" defaultRowHeight="14"/>
  <cols>
    <col min="1" max="1" width="10" customWidth="1"/>
    <col min="2" max="2" width="4.1640625" customWidth="1"/>
    <col min="3" max="3" width="5.1640625" customWidth="1"/>
    <col min="4" max="4" width="5.33203125" customWidth="1"/>
    <col min="5" max="5" width="10.5" customWidth="1"/>
    <col min="6" max="6" width="14.83203125" customWidth="1"/>
    <col min="7" max="7" width="5" customWidth="1"/>
    <col min="8" max="8" width="6.5" customWidth="1"/>
    <col min="9" max="9" width="7.83203125" customWidth="1"/>
    <col min="10" max="10" width="8.5" customWidth="1"/>
    <col min="11" max="11" width="10.5" customWidth="1"/>
    <col min="12" max="12" width="15.5" customWidth="1"/>
    <col min="13" max="13" width="12.1640625" customWidth="1"/>
    <col min="14" max="14" width="12.5" customWidth="1"/>
    <col min="15" max="15" width="11.5" customWidth="1"/>
    <col min="16" max="16" width="10.83203125" customWidth="1"/>
    <col min="17" max="17" width="11.1640625" customWidth="1"/>
    <col min="18" max="18" width="10.5" customWidth="1"/>
    <col min="19" max="19" width="14.6640625" customWidth="1"/>
    <col min="20" max="20" width="16.83203125" customWidth="1"/>
    <col min="21" max="21" width="11.83203125" customWidth="1"/>
    <col min="22" max="22" width="12.1640625" customWidth="1"/>
    <col min="23" max="23" width="11.83203125" customWidth="1"/>
    <col min="24" max="24" width="15.1640625" customWidth="1"/>
    <col min="25" max="25" width="12.5" customWidth="1"/>
    <col min="26" max="26" width="10" customWidth="1"/>
    <col min="27" max="27" width="12" customWidth="1"/>
    <col min="28" max="28" width="13.5" customWidth="1"/>
    <col min="29" max="29" width="15.6640625" customWidth="1"/>
    <col min="30" max="30" width="10.5" customWidth="1"/>
    <col min="31" max="31" width="13.5" customWidth="1"/>
    <col min="32" max="32" width="11.5" customWidth="1"/>
    <col min="33" max="33" width="14.83203125" customWidth="1"/>
    <col min="34" max="34" width="13.33203125" customWidth="1"/>
    <col min="35" max="35" width="4.83203125" customWidth="1"/>
    <col min="36" max="36" width="15.5" customWidth="1"/>
    <col min="37" max="37" width="18.5" customWidth="1"/>
  </cols>
  <sheetData>
    <row r="1" spans="1:37" ht="32">
      <c r="A1" s="31" t="s">
        <v>41</v>
      </c>
      <c r="B1" s="31" t="s">
        <v>42</v>
      </c>
      <c r="C1" s="31" t="s">
        <v>43</v>
      </c>
      <c r="D1" s="31" t="s">
        <v>44</v>
      </c>
      <c r="E1" s="31" t="s">
        <v>45</v>
      </c>
      <c r="F1" s="31" t="s">
        <v>46</v>
      </c>
      <c r="G1" s="31" t="s">
        <v>47</v>
      </c>
      <c r="H1" s="31" t="s">
        <v>48</v>
      </c>
      <c r="I1" s="31" t="s">
        <v>49</v>
      </c>
      <c r="J1" s="31" t="s">
        <v>50</v>
      </c>
      <c r="K1" s="31" t="s">
        <v>51</v>
      </c>
      <c r="L1" s="31" t="s">
        <v>52</v>
      </c>
      <c r="M1" s="31" t="s">
        <v>53</v>
      </c>
      <c r="N1" s="31" t="s">
        <v>54</v>
      </c>
      <c r="O1" s="31" t="s">
        <v>55</v>
      </c>
      <c r="P1" s="31" t="s">
        <v>56</v>
      </c>
      <c r="Q1" s="31" t="s">
        <v>57</v>
      </c>
      <c r="R1" s="31" t="s">
        <v>58</v>
      </c>
      <c r="S1" s="31" t="s">
        <v>59</v>
      </c>
      <c r="T1" s="31" t="s">
        <v>60</v>
      </c>
      <c r="U1" s="31" t="s">
        <v>61</v>
      </c>
      <c r="V1" s="31" t="s">
        <v>62</v>
      </c>
      <c r="W1" s="31" t="s">
        <v>63</v>
      </c>
      <c r="X1" s="31" t="s">
        <v>64</v>
      </c>
      <c r="Y1" s="31" t="s">
        <v>65</v>
      </c>
      <c r="Z1" s="31" t="s">
        <v>66</v>
      </c>
      <c r="AA1" s="31" t="s">
        <v>67</v>
      </c>
      <c r="AB1" s="31" t="s">
        <v>68</v>
      </c>
      <c r="AC1" s="31" t="s">
        <v>69</v>
      </c>
      <c r="AD1" s="31" t="s">
        <v>70</v>
      </c>
      <c r="AE1" s="31" t="s">
        <v>71</v>
      </c>
      <c r="AF1" s="31" t="s">
        <v>72</v>
      </c>
      <c r="AG1" s="31" t="s">
        <v>73</v>
      </c>
      <c r="AH1" s="31" t="s">
        <v>74</v>
      </c>
      <c r="AI1" s="31" t="s">
        <v>35</v>
      </c>
      <c r="AJ1" s="31" t="s">
        <v>75</v>
      </c>
      <c r="AK1" s="31" t="s">
        <v>76</v>
      </c>
    </row>
    <row r="2" spans="1:37">
      <c r="A2" s="29"/>
      <c r="H2" s="30"/>
      <c r="I2" s="30"/>
      <c r="L2" s="27"/>
      <c r="M2" s="27"/>
      <c r="N2" s="27"/>
      <c r="O2" s="30"/>
      <c r="P2" s="30"/>
      <c r="Q2" s="30"/>
      <c r="R2" s="30"/>
      <c r="S2" s="30"/>
      <c r="V2" s="27"/>
      <c r="W2" s="27"/>
      <c r="X2" s="27"/>
      <c r="Y2" s="27"/>
      <c r="Z2" s="30"/>
      <c r="AA2" s="27"/>
      <c r="AB2" s="30"/>
      <c r="AE2" s="27"/>
      <c r="AF2" s="27"/>
      <c r="AG2" s="27"/>
      <c r="AJ2" s="27">
        <f t="shared" ref="AJ2:AJ65" si="0">SUM(V2:Y2)+AG2</f>
        <v>0</v>
      </c>
      <c r="AK2" s="27">
        <f t="shared" ref="AK2:AK65" si="1">MAX(M2-N2,0)+MAX(AJ2-AA2,0)+AE2+AF2</f>
        <v>0</v>
      </c>
    </row>
    <row r="3" spans="1:37">
      <c r="A3" s="29"/>
      <c r="H3" s="30"/>
      <c r="I3" s="30"/>
      <c r="L3" s="27"/>
      <c r="M3" s="27"/>
      <c r="N3" s="27"/>
      <c r="O3" s="30"/>
      <c r="P3" s="30"/>
      <c r="Q3" s="30"/>
      <c r="R3" s="30"/>
      <c r="S3" s="30"/>
      <c r="V3" s="27"/>
      <c r="W3" s="27"/>
      <c r="X3" s="27"/>
      <c r="Y3" s="27"/>
      <c r="Z3" s="30"/>
      <c r="AA3" s="27"/>
      <c r="AB3" s="30"/>
      <c r="AE3" s="27"/>
      <c r="AF3" s="27"/>
      <c r="AG3" s="27"/>
      <c r="AJ3" s="27">
        <f t="shared" si="0"/>
        <v>0</v>
      </c>
      <c r="AK3" s="27">
        <f t="shared" si="1"/>
        <v>0</v>
      </c>
    </row>
    <row r="4" spans="1:37">
      <c r="A4" s="29"/>
      <c r="H4" s="30"/>
      <c r="I4" s="30"/>
      <c r="L4" s="27"/>
      <c r="M4" s="27"/>
      <c r="N4" s="27"/>
      <c r="O4" s="30"/>
      <c r="P4" s="30"/>
      <c r="Q4" s="30"/>
      <c r="R4" s="30"/>
      <c r="S4" s="30"/>
      <c r="V4" s="27"/>
      <c r="W4" s="27"/>
      <c r="X4" s="27"/>
      <c r="Y4" s="27"/>
      <c r="Z4" s="30"/>
      <c r="AA4" s="27"/>
      <c r="AB4" s="30"/>
      <c r="AE4" s="27"/>
      <c r="AF4" s="27"/>
      <c r="AG4" s="27"/>
      <c r="AJ4" s="27">
        <f t="shared" si="0"/>
        <v>0</v>
      </c>
      <c r="AK4" s="27">
        <f t="shared" si="1"/>
        <v>0</v>
      </c>
    </row>
    <row r="5" spans="1:37">
      <c r="A5" s="29"/>
      <c r="H5" s="30"/>
      <c r="I5" s="30"/>
      <c r="L5" s="27"/>
      <c r="M5" s="27"/>
      <c r="N5" s="27"/>
      <c r="O5" s="30"/>
      <c r="P5" s="30"/>
      <c r="Q5" s="30"/>
      <c r="R5" s="30"/>
      <c r="S5" s="30"/>
      <c r="V5" s="27"/>
      <c r="W5" s="27"/>
      <c r="X5" s="27"/>
      <c r="Y5" s="27"/>
      <c r="Z5" s="30"/>
      <c r="AA5" s="27"/>
      <c r="AB5" s="30"/>
      <c r="AE5" s="27"/>
      <c r="AF5" s="27"/>
      <c r="AG5" s="27"/>
      <c r="AJ5" s="27">
        <f t="shared" si="0"/>
        <v>0</v>
      </c>
      <c r="AK5" s="27">
        <f t="shared" si="1"/>
        <v>0</v>
      </c>
    </row>
    <row r="6" spans="1:37">
      <c r="A6" s="29"/>
      <c r="H6" s="30"/>
      <c r="I6" s="30"/>
      <c r="L6" s="27"/>
      <c r="M6" s="27"/>
      <c r="N6" s="27"/>
      <c r="O6" s="30"/>
      <c r="P6" s="30"/>
      <c r="Q6" s="30"/>
      <c r="R6" s="30"/>
      <c r="S6" s="30"/>
      <c r="V6" s="27"/>
      <c r="W6" s="27"/>
      <c r="X6" s="27"/>
      <c r="Y6" s="27"/>
      <c r="Z6" s="30"/>
      <c r="AA6" s="27"/>
      <c r="AB6" s="30"/>
      <c r="AE6" s="27"/>
      <c r="AF6" s="27"/>
      <c r="AG6" s="27"/>
      <c r="AJ6" s="27">
        <f t="shared" si="0"/>
        <v>0</v>
      </c>
      <c r="AK6" s="27">
        <f t="shared" si="1"/>
        <v>0</v>
      </c>
    </row>
    <row r="7" spans="1:37">
      <c r="A7" s="29"/>
      <c r="H7" s="30"/>
      <c r="I7" s="30"/>
      <c r="L7" s="27"/>
      <c r="M7" s="27"/>
      <c r="N7" s="27"/>
      <c r="O7" s="30"/>
      <c r="P7" s="30"/>
      <c r="Q7" s="30"/>
      <c r="R7" s="30"/>
      <c r="S7" s="30"/>
      <c r="V7" s="27"/>
      <c r="W7" s="27"/>
      <c r="X7" s="27"/>
      <c r="Y7" s="27"/>
      <c r="Z7" s="30"/>
      <c r="AA7" s="27"/>
      <c r="AB7" s="30"/>
      <c r="AE7" s="27"/>
      <c r="AF7" s="27"/>
      <c r="AG7" s="27"/>
      <c r="AJ7" s="27">
        <f t="shared" si="0"/>
        <v>0</v>
      </c>
      <c r="AK7" s="27">
        <f t="shared" si="1"/>
        <v>0</v>
      </c>
    </row>
    <row r="8" spans="1:37">
      <c r="A8" s="29"/>
      <c r="H8" s="30"/>
      <c r="I8" s="30"/>
      <c r="L8" s="27"/>
      <c r="M8" s="27"/>
      <c r="N8" s="27"/>
      <c r="O8" s="30"/>
      <c r="P8" s="30"/>
      <c r="Q8" s="30"/>
      <c r="R8" s="30"/>
      <c r="S8" s="30"/>
      <c r="V8" s="27"/>
      <c r="W8" s="27"/>
      <c r="X8" s="27"/>
      <c r="Y8" s="27"/>
      <c r="Z8" s="30"/>
      <c r="AA8" s="27"/>
      <c r="AB8" s="30"/>
      <c r="AE8" s="27"/>
      <c r="AF8" s="27"/>
      <c r="AG8" s="27"/>
      <c r="AJ8" s="27">
        <f t="shared" si="0"/>
        <v>0</v>
      </c>
      <c r="AK8" s="27">
        <f t="shared" si="1"/>
        <v>0</v>
      </c>
    </row>
    <row r="9" spans="1:37">
      <c r="A9" s="29"/>
      <c r="H9" s="30"/>
      <c r="I9" s="30"/>
      <c r="L9" s="27"/>
      <c r="M9" s="27"/>
      <c r="N9" s="27"/>
      <c r="O9" s="30"/>
      <c r="P9" s="30"/>
      <c r="Q9" s="30"/>
      <c r="R9" s="30"/>
      <c r="S9" s="30"/>
      <c r="V9" s="27"/>
      <c r="W9" s="27"/>
      <c r="X9" s="27"/>
      <c r="Y9" s="27"/>
      <c r="Z9" s="30"/>
      <c r="AA9" s="27"/>
      <c r="AB9" s="30"/>
      <c r="AE9" s="27"/>
      <c r="AF9" s="27"/>
      <c r="AG9" s="27"/>
      <c r="AJ9" s="27">
        <f t="shared" si="0"/>
        <v>0</v>
      </c>
      <c r="AK9" s="27">
        <f t="shared" si="1"/>
        <v>0</v>
      </c>
    </row>
    <row r="10" spans="1:37">
      <c r="A10" s="29"/>
      <c r="H10" s="30"/>
      <c r="I10" s="30"/>
      <c r="L10" s="27"/>
      <c r="M10" s="27"/>
      <c r="N10" s="27"/>
      <c r="O10" s="30"/>
      <c r="P10" s="30"/>
      <c r="Q10" s="30"/>
      <c r="R10" s="30"/>
      <c r="S10" s="30"/>
      <c r="V10" s="27"/>
      <c r="W10" s="27"/>
      <c r="X10" s="27"/>
      <c r="Y10" s="27"/>
      <c r="Z10" s="30"/>
      <c r="AA10" s="27"/>
      <c r="AB10" s="30"/>
      <c r="AE10" s="27"/>
      <c r="AF10" s="27"/>
      <c r="AG10" s="27"/>
      <c r="AJ10" s="27">
        <f t="shared" si="0"/>
        <v>0</v>
      </c>
      <c r="AK10" s="27">
        <f t="shared" si="1"/>
        <v>0</v>
      </c>
    </row>
    <row r="11" spans="1:37">
      <c r="A11" s="29"/>
      <c r="H11" s="30"/>
      <c r="I11" s="30"/>
      <c r="L11" s="27"/>
      <c r="M11" s="27"/>
      <c r="N11" s="27"/>
      <c r="O11" s="30"/>
      <c r="P11" s="30"/>
      <c r="Q11" s="30"/>
      <c r="R11" s="30"/>
      <c r="S11" s="30"/>
      <c r="V11" s="27"/>
      <c r="W11" s="27"/>
      <c r="X11" s="27"/>
      <c r="Y11" s="27"/>
      <c r="Z11" s="30"/>
      <c r="AA11" s="27"/>
      <c r="AB11" s="30"/>
      <c r="AE11" s="27"/>
      <c r="AF11" s="27"/>
      <c r="AG11" s="27"/>
      <c r="AJ11" s="27">
        <f t="shared" si="0"/>
        <v>0</v>
      </c>
      <c r="AK11" s="27">
        <f t="shared" si="1"/>
        <v>0</v>
      </c>
    </row>
    <row r="12" spans="1:37">
      <c r="A12" s="29"/>
      <c r="H12" s="30"/>
      <c r="I12" s="30"/>
      <c r="L12" s="27"/>
      <c r="M12" s="27"/>
      <c r="N12" s="27"/>
      <c r="O12" s="30"/>
      <c r="P12" s="30"/>
      <c r="Q12" s="30"/>
      <c r="R12" s="30"/>
      <c r="S12" s="30"/>
      <c r="V12" s="27"/>
      <c r="W12" s="27"/>
      <c r="X12" s="27"/>
      <c r="Y12" s="27"/>
      <c r="Z12" s="30"/>
      <c r="AA12" s="27"/>
      <c r="AB12" s="30"/>
      <c r="AE12" s="27"/>
      <c r="AF12" s="27"/>
      <c r="AG12" s="27"/>
      <c r="AJ12" s="27">
        <f t="shared" si="0"/>
        <v>0</v>
      </c>
      <c r="AK12" s="27">
        <f t="shared" si="1"/>
        <v>0</v>
      </c>
    </row>
    <row r="13" spans="1:37">
      <c r="A13" s="29"/>
      <c r="H13" s="30"/>
      <c r="I13" s="30"/>
      <c r="L13" s="27"/>
      <c r="M13" s="27"/>
      <c r="N13" s="27"/>
      <c r="O13" s="30"/>
      <c r="P13" s="30"/>
      <c r="Q13" s="30"/>
      <c r="R13" s="30"/>
      <c r="S13" s="30"/>
      <c r="V13" s="27"/>
      <c r="W13" s="27"/>
      <c r="X13" s="27"/>
      <c r="Y13" s="27"/>
      <c r="Z13" s="30"/>
      <c r="AA13" s="27"/>
      <c r="AB13" s="30"/>
      <c r="AE13" s="27"/>
      <c r="AF13" s="27"/>
      <c r="AG13" s="27"/>
      <c r="AJ13" s="27">
        <f t="shared" si="0"/>
        <v>0</v>
      </c>
      <c r="AK13" s="27">
        <f t="shared" si="1"/>
        <v>0</v>
      </c>
    </row>
    <row r="14" spans="1:37">
      <c r="A14" s="29"/>
      <c r="H14" s="30"/>
      <c r="I14" s="30"/>
      <c r="L14" s="27"/>
      <c r="M14" s="27"/>
      <c r="N14" s="27"/>
      <c r="O14" s="30"/>
      <c r="P14" s="30"/>
      <c r="Q14" s="30"/>
      <c r="R14" s="30"/>
      <c r="S14" s="30"/>
      <c r="V14" s="27"/>
      <c r="W14" s="27"/>
      <c r="X14" s="27"/>
      <c r="Y14" s="27"/>
      <c r="Z14" s="30"/>
      <c r="AA14" s="27"/>
      <c r="AB14" s="30"/>
      <c r="AE14" s="27"/>
      <c r="AF14" s="27"/>
      <c r="AG14" s="27"/>
      <c r="AJ14" s="27">
        <f t="shared" si="0"/>
        <v>0</v>
      </c>
      <c r="AK14" s="27">
        <f t="shared" si="1"/>
        <v>0</v>
      </c>
    </row>
    <row r="15" spans="1:37">
      <c r="A15" s="29"/>
      <c r="H15" s="30"/>
      <c r="I15" s="30"/>
      <c r="L15" s="27"/>
      <c r="M15" s="27"/>
      <c r="N15" s="27"/>
      <c r="O15" s="30"/>
      <c r="P15" s="30"/>
      <c r="Q15" s="30"/>
      <c r="R15" s="30"/>
      <c r="S15" s="30"/>
      <c r="V15" s="27"/>
      <c r="W15" s="27"/>
      <c r="X15" s="27"/>
      <c r="Y15" s="27"/>
      <c r="Z15" s="30"/>
      <c r="AA15" s="27"/>
      <c r="AB15" s="30"/>
      <c r="AE15" s="27"/>
      <c r="AF15" s="27"/>
      <c r="AG15" s="27"/>
      <c r="AJ15" s="27">
        <f t="shared" si="0"/>
        <v>0</v>
      </c>
      <c r="AK15" s="27">
        <f t="shared" si="1"/>
        <v>0</v>
      </c>
    </row>
    <row r="16" spans="1:37">
      <c r="A16" s="29"/>
      <c r="H16" s="30"/>
      <c r="I16" s="30"/>
      <c r="L16" s="27"/>
      <c r="M16" s="27"/>
      <c r="N16" s="27"/>
      <c r="O16" s="30"/>
      <c r="P16" s="30"/>
      <c r="Q16" s="30"/>
      <c r="R16" s="30"/>
      <c r="S16" s="30"/>
      <c r="V16" s="27"/>
      <c r="W16" s="27"/>
      <c r="X16" s="27"/>
      <c r="Y16" s="27"/>
      <c r="Z16" s="30"/>
      <c r="AA16" s="27"/>
      <c r="AB16" s="30"/>
      <c r="AE16" s="27"/>
      <c r="AF16" s="27"/>
      <c r="AG16" s="27"/>
      <c r="AJ16" s="27">
        <f t="shared" si="0"/>
        <v>0</v>
      </c>
      <c r="AK16" s="27">
        <f t="shared" si="1"/>
        <v>0</v>
      </c>
    </row>
    <row r="17" spans="1:37">
      <c r="A17" s="29"/>
      <c r="H17" s="30"/>
      <c r="I17" s="30"/>
      <c r="L17" s="27"/>
      <c r="M17" s="27"/>
      <c r="N17" s="27"/>
      <c r="O17" s="30"/>
      <c r="P17" s="30"/>
      <c r="Q17" s="30"/>
      <c r="R17" s="30"/>
      <c r="S17" s="30"/>
      <c r="V17" s="27"/>
      <c r="W17" s="27"/>
      <c r="X17" s="27"/>
      <c r="Y17" s="27"/>
      <c r="Z17" s="30"/>
      <c r="AA17" s="27"/>
      <c r="AB17" s="30"/>
      <c r="AE17" s="27"/>
      <c r="AF17" s="27"/>
      <c r="AG17" s="27"/>
      <c r="AJ17" s="27">
        <f t="shared" si="0"/>
        <v>0</v>
      </c>
      <c r="AK17" s="27">
        <f t="shared" si="1"/>
        <v>0</v>
      </c>
    </row>
    <row r="18" spans="1:37">
      <c r="A18" s="29"/>
      <c r="H18" s="30"/>
      <c r="I18" s="30"/>
      <c r="L18" s="27"/>
      <c r="M18" s="27"/>
      <c r="N18" s="27"/>
      <c r="O18" s="30"/>
      <c r="P18" s="30"/>
      <c r="Q18" s="30"/>
      <c r="R18" s="30"/>
      <c r="S18" s="30"/>
      <c r="V18" s="27"/>
      <c r="W18" s="27"/>
      <c r="X18" s="27"/>
      <c r="Y18" s="27"/>
      <c r="Z18" s="30"/>
      <c r="AA18" s="27"/>
      <c r="AB18" s="30"/>
      <c r="AE18" s="27"/>
      <c r="AF18" s="27"/>
      <c r="AG18" s="27"/>
      <c r="AJ18" s="27">
        <f t="shared" si="0"/>
        <v>0</v>
      </c>
      <c r="AK18" s="27">
        <f t="shared" si="1"/>
        <v>0</v>
      </c>
    </row>
    <row r="19" spans="1:37">
      <c r="A19" s="29"/>
      <c r="H19" s="30"/>
      <c r="I19" s="30"/>
      <c r="L19" s="27"/>
      <c r="M19" s="27"/>
      <c r="N19" s="27"/>
      <c r="O19" s="30"/>
      <c r="P19" s="30"/>
      <c r="Q19" s="30"/>
      <c r="R19" s="30"/>
      <c r="S19" s="30"/>
      <c r="V19" s="27"/>
      <c r="W19" s="27"/>
      <c r="X19" s="27"/>
      <c r="Y19" s="27"/>
      <c r="Z19" s="30"/>
      <c r="AA19" s="27"/>
      <c r="AB19" s="30"/>
      <c r="AE19" s="27"/>
      <c r="AF19" s="27"/>
      <c r="AG19" s="27"/>
      <c r="AJ19" s="27">
        <f t="shared" si="0"/>
        <v>0</v>
      </c>
      <c r="AK19" s="27">
        <f t="shared" si="1"/>
        <v>0</v>
      </c>
    </row>
    <row r="20" spans="1:37">
      <c r="A20" s="29"/>
      <c r="H20" s="30"/>
      <c r="I20" s="30"/>
      <c r="L20" s="27"/>
      <c r="M20" s="27"/>
      <c r="N20" s="27"/>
      <c r="O20" s="30"/>
      <c r="P20" s="30"/>
      <c r="Q20" s="30"/>
      <c r="R20" s="30"/>
      <c r="S20" s="30"/>
      <c r="V20" s="27"/>
      <c r="W20" s="27"/>
      <c r="X20" s="27"/>
      <c r="Y20" s="27"/>
      <c r="Z20" s="30"/>
      <c r="AA20" s="27"/>
      <c r="AB20" s="30"/>
      <c r="AE20" s="27"/>
      <c r="AF20" s="27"/>
      <c r="AG20" s="27"/>
      <c r="AJ20" s="27">
        <f t="shared" si="0"/>
        <v>0</v>
      </c>
      <c r="AK20" s="27">
        <f t="shared" si="1"/>
        <v>0</v>
      </c>
    </row>
    <row r="21" spans="1:37">
      <c r="A21" s="29"/>
      <c r="H21" s="30"/>
      <c r="I21" s="30"/>
      <c r="L21" s="27"/>
      <c r="M21" s="27"/>
      <c r="N21" s="27"/>
      <c r="O21" s="30"/>
      <c r="P21" s="30"/>
      <c r="Q21" s="30"/>
      <c r="R21" s="30"/>
      <c r="S21" s="30"/>
      <c r="V21" s="27"/>
      <c r="W21" s="27"/>
      <c r="X21" s="27"/>
      <c r="Y21" s="27"/>
      <c r="Z21" s="30"/>
      <c r="AA21" s="27"/>
      <c r="AB21" s="30"/>
      <c r="AE21" s="27"/>
      <c r="AF21" s="27"/>
      <c r="AG21" s="27"/>
      <c r="AJ21" s="27">
        <f t="shared" si="0"/>
        <v>0</v>
      </c>
      <c r="AK21" s="27">
        <f t="shared" si="1"/>
        <v>0</v>
      </c>
    </row>
    <row r="22" spans="1:37">
      <c r="A22" s="29"/>
      <c r="H22" s="30"/>
      <c r="I22" s="30"/>
      <c r="L22" s="27"/>
      <c r="M22" s="27"/>
      <c r="N22" s="27"/>
      <c r="O22" s="30"/>
      <c r="P22" s="30"/>
      <c r="Q22" s="30"/>
      <c r="R22" s="30"/>
      <c r="S22" s="30"/>
      <c r="V22" s="27"/>
      <c r="W22" s="27"/>
      <c r="X22" s="27"/>
      <c r="Y22" s="27"/>
      <c r="Z22" s="30"/>
      <c r="AA22" s="27"/>
      <c r="AB22" s="30"/>
      <c r="AE22" s="27"/>
      <c r="AF22" s="27"/>
      <c r="AG22" s="27"/>
      <c r="AJ22" s="27">
        <f t="shared" si="0"/>
        <v>0</v>
      </c>
      <c r="AK22" s="27">
        <f t="shared" si="1"/>
        <v>0</v>
      </c>
    </row>
    <row r="23" spans="1:37">
      <c r="A23" s="29"/>
      <c r="H23" s="30"/>
      <c r="I23" s="30"/>
      <c r="L23" s="27"/>
      <c r="M23" s="27"/>
      <c r="N23" s="27"/>
      <c r="O23" s="30"/>
      <c r="P23" s="30"/>
      <c r="Q23" s="30"/>
      <c r="R23" s="30"/>
      <c r="S23" s="30"/>
      <c r="V23" s="27"/>
      <c r="W23" s="27"/>
      <c r="X23" s="27"/>
      <c r="Y23" s="27"/>
      <c r="Z23" s="30"/>
      <c r="AA23" s="27"/>
      <c r="AB23" s="30"/>
      <c r="AE23" s="27"/>
      <c r="AF23" s="27"/>
      <c r="AG23" s="27"/>
      <c r="AJ23" s="27">
        <f t="shared" si="0"/>
        <v>0</v>
      </c>
      <c r="AK23" s="27">
        <f t="shared" si="1"/>
        <v>0</v>
      </c>
    </row>
    <row r="24" spans="1:37">
      <c r="A24" s="29"/>
      <c r="H24" s="30"/>
      <c r="I24" s="30"/>
      <c r="L24" s="27"/>
      <c r="M24" s="27"/>
      <c r="N24" s="27"/>
      <c r="O24" s="30"/>
      <c r="P24" s="30"/>
      <c r="Q24" s="30"/>
      <c r="R24" s="30"/>
      <c r="S24" s="30"/>
      <c r="V24" s="27"/>
      <c r="W24" s="27"/>
      <c r="X24" s="27"/>
      <c r="Y24" s="27"/>
      <c r="Z24" s="30"/>
      <c r="AA24" s="27"/>
      <c r="AB24" s="30"/>
      <c r="AE24" s="27"/>
      <c r="AF24" s="27"/>
      <c r="AG24" s="27"/>
      <c r="AJ24" s="27">
        <f t="shared" si="0"/>
        <v>0</v>
      </c>
      <c r="AK24" s="27">
        <f t="shared" si="1"/>
        <v>0</v>
      </c>
    </row>
    <row r="25" spans="1:37">
      <c r="A25" s="29"/>
      <c r="H25" s="30"/>
      <c r="I25" s="30"/>
      <c r="L25" s="27"/>
      <c r="M25" s="27"/>
      <c r="N25" s="27"/>
      <c r="O25" s="30"/>
      <c r="P25" s="30"/>
      <c r="Q25" s="30"/>
      <c r="R25" s="30"/>
      <c r="S25" s="30"/>
      <c r="V25" s="27"/>
      <c r="W25" s="27"/>
      <c r="X25" s="27"/>
      <c r="Y25" s="27"/>
      <c r="Z25" s="30"/>
      <c r="AA25" s="27"/>
      <c r="AB25" s="30"/>
      <c r="AE25" s="27"/>
      <c r="AF25" s="27"/>
      <c r="AG25" s="27"/>
      <c r="AJ25" s="27">
        <f t="shared" si="0"/>
        <v>0</v>
      </c>
      <c r="AK25" s="27">
        <f t="shared" si="1"/>
        <v>0</v>
      </c>
    </row>
    <row r="26" spans="1:37">
      <c r="A26" s="29"/>
      <c r="H26" s="30"/>
      <c r="I26" s="30"/>
      <c r="L26" s="27"/>
      <c r="M26" s="27"/>
      <c r="N26" s="27"/>
      <c r="O26" s="30"/>
      <c r="P26" s="30"/>
      <c r="Q26" s="30"/>
      <c r="R26" s="30"/>
      <c r="S26" s="30"/>
      <c r="V26" s="27"/>
      <c r="W26" s="27"/>
      <c r="X26" s="27"/>
      <c r="Y26" s="27"/>
      <c r="Z26" s="30"/>
      <c r="AA26" s="27"/>
      <c r="AB26" s="30"/>
      <c r="AE26" s="27"/>
      <c r="AF26" s="27"/>
      <c r="AG26" s="27"/>
      <c r="AJ26" s="27">
        <f t="shared" si="0"/>
        <v>0</v>
      </c>
      <c r="AK26" s="27">
        <f t="shared" si="1"/>
        <v>0</v>
      </c>
    </row>
    <row r="27" spans="1:37">
      <c r="A27" s="29"/>
      <c r="H27" s="30"/>
      <c r="I27" s="30"/>
      <c r="L27" s="27"/>
      <c r="M27" s="27"/>
      <c r="N27" s="27"/>
      <c r="O27" s="30"/>
      <c r="P27" s="30"/>
      <c r="Q27" s="30"/>
      <c r="R27" s="30"/>
      <c r="S27" s="30"/>
      <c r="V27" s="27"/>
      <c r="W27" s="27"/>
      <c r="X27" s="27"/>
      <c r="Y27" s="27"/>
      <c r="Z27" s="30"/>
      <c r="AA27" s="27"/>
      <c r="AB27" s="30"/>
      <c r="AE27" s="27"/>
      <c r="AF27" s="27"/>
      <c r="AG27" s="27"/>
      <c r="AJ27" s="27">
        <f t="shared" si="0"/>
        <v>0</v>
      </c>
      <c r="AK27" s="27">
        <f t="shared" si="1"/>
        <v>0</v>
      </c>
    </row>
    <row r="28" spans="1:37">
      <c r="A28" s="29"/>
      <c r="H28" s="30"/>
      <c r="I28" s="30"/>
      <c r="L28" s="27"/>
      <c r="M28" s="27"/>
      <c r="N28" s="27"/>
      <c r="O28" s="30"/>
      <c r="P28" s="30"/>
      <c r="Q28" s="30"/>
      <c r="R28" s="30"/>
      <c r="S28" s="30"/>
      <c r="V28" s="27"/>
      <c r="W28" s="27"/>
      <c r="X28" s="27"/>
      <c r="Y28" s="27"/>
      <c r="Z28" s="30"/>
      <c r="AA28" s="27"/>
      <c r="AB28" s="30"/>
      <c r="AE28" s="27"/>
      <c r="AF28" s="27"/>
      <c r="AG28" s="27"/>
      <c r="AJ28" s="27">
        <f t="shared" si="0"/>
        <v>0</v>
      </c>
      <c r="AK28" s="27">
        <f t="shared" si="1"/>
        <v>0</v>
      </c>
    </row>
    <row r="29" spans="1:37">
      <c r="A29" s="29"/>
      <c r="H29" s="30"/>
      <c r="I29" s="30"/>
      <c r="L29" s="27"/>
      <c r="M29" s="27"/>
      <c r="N29" s="27"/>
      <c r="O29" s="30"/>
      <c r="P29" s="30"/>
      <c r="Q29" s="30"/>
      <c r="R29" s="30"/>
      <c r="S29" s="30"/>
      <c r="V29" s="27"/>
      <c r="W29" s="27"/>
      <c r="X29" s="27"/>
      <c r="Y29" s="27"/>
      <c r="Z29" s="30"/>
      <c r="AA29" s="27"/>
      <c r="AB29" s="30"/>
      <c r="AE29" s="27"/>
      <c r="AF29" s="27"/>
      <c r="AG29" s="27"/>
      <c r="AJ29" s="27">
        <f t="shared" si="0"/>
        <v>0</v>
      </c>
      <c r="AK29" s="27">
        <f t="shared" si="1"/>
        <v>0</v>
      </c>
    </row>
    <row r="30" spans="1:37">
      <c r="A30" s="29"/>
      <c r="H30" s="30"/>
      <c r="I30" s="30"/>
      <c r="L30" s="27"/>
      <c r="M30" s="27"/>
      <c r="N30" s="27"/>
      <c r="O30" s="30"/>
      <c r="P30" s="30"/>
      <c r="Q30" s="30"/>
      <c r="R30" s="30"/>
      <c r="S30" s="30"/>
      <c r="V30" s="27"/>
      <c r="W30" s="27"/>
      <c r="X30" s="27"/>
      <c r="Y30" s="27"/>
      <c r="Z30" s="30"/>
      <c r="AA30" s="27"/>
      <c r="AB30" s="30"/>
      <c r="AE30" s="27"/>
      <c r="AF30" s="27"/>
      <c r="AG30" s="27"/>
      <c r="AJ30" s="27">
        <f t="shared" si="0"/>
        <v>0</v>
      </c>
      <c r="AK30" s="27">
        <f t="shared" si="1"/>
        <v>0</v>
      </c>
    </row>
    <row r="31" spans="1:37">
      <c r="A31" s="29"/>
      <c r="H31" s="30"/>
      <c r="I31" s="30"/>
      <c r="L31" s="27"/>
      <c r="M31" s="27"/>
      <c r="N31" s="27"/>
      <c r="O31" s="30"/>
      <c r="P31" s="30"/>
      <c r="Q31" s="30"/>
      <c r="R31" s="30"/>
      <c r="S31" s="30"/>
      <c r="V31" s="27"/>
      <c r="W31" s="27"/>
      <c r="X31" s="27"/>
      <c r="Y31" s="27"/>
      <c r="Z31" s="30"/>
      <c r="AA31" s="27"/>
      <c r="AB31" s="30"/>
      <c r="AE31" s="27"/>
      <c r="AF31" s="27"/>
      <c r="AG31" s="27"/>
      <c r="AJ31" s="27">
        <f t="shared" si="0"/>
        <v>0</v>
      </c>
      <c r="AK31" s="27">
        <f t="shared" si="1"/>
        <v>0</v>
      </c>
    </row>
    <row r="32" spans="1:37">
      <c r="A32" s="29"/>
      <c r="H32" s="30"/>
      <c r="I32" s="30"/>
      <c r="L32" s="27"/>
      <c r="M32" s="27"/>
      <c r="N32" s="27"/>
      <c r="O32" s="30"/>
      <c r="P32" s="30"/>
      <c r="Q32" s="30"/>
      <c r="R32" s="30"/>
      <c r="S32" s="30"/>
      <c r="V32" s="27"/>
      <c r="W32" s="27"/>
      <c r="X32" s="27"/>
      <c r="Y32" s="27"/>
      <c r="Z32" s="30"/>
      <c r="AA32" s="27"/>
      <c r="AB32" s="30"/>
      <c r="AE32" s="27"/>
      <c r="AF32" s="27"/>
      <c r="AG32" s="27"/>
      <c r="AJ32" s="27">
        <f t="shared" si="0"/>
        <v>0</v>
      </c>
      <c r="AK32" s="27">
        <f t="shared" si="1"/>
        <v>0</v>
      </c>
    </row>
    <row r="33" spans="1:37">
      <c r="A33" s="29"/>
      <c r="H33" s="30"/>
      <c r="I33" s="30"/>
      <c r="L33" s="27"/>
      <c r="M33" s="27"/>
      <c r="N33" s="27"/>
      <c r="O33" s="30"/>
      <c r="P33" s="30"/>
      <c r="Q33" s="30"/>
      <c r="R33" s="30"/>
      <c r="S33" s="30"/>
      <c r="V33" s="27"/>
      <c r="W33" s="27"/>
      <c r="X33" s="27"/>
      <c r="Y33" s="27"/>
      <c r="Z33" s="30"/>
      <c r="AA33" s="27"/>
      <c r="AB33" s="30"/>
      <c r="AE33" s="27"/>
      <c r="AF33" s="27"/>
      <c r="AG33" s="27"/>
      <c r="AJ33" s="27">
        <f t="shared" si="0"/>
        <v>0</v>
      </c>
      <c r="AK33" s="27">
        <f t="shared" si="1"/>
        <v>0</v>
      </c>
    </row>
    <row r="34" spans="1:37">
      <c r="A34" s="29"/>
      <c r="H34" s="30"/>
      <c r="I34" s="30"/>
      <c r="L34" s="27"/>
      <c r="M34" s="27"/>
      <c r="N34" s="27"/>
      <c r="O34" s="30"/>
      <c r="P34" s="30"/>
      <c r="Q34" s="30"/>
      <c r="R34" s="30"/>
      <c r="S34" s="30"/>
      <c r="V34" s="27"/>
      <c r="W34" s="27"/>
      <c r="X34" s="27"/>
      <c r="Y34" s="27"/>
      <c r="Z34" s="30"/>
      <c r="AA34" s="27"/>
      <c r="AB34" s="30"/>
      <c r="AE34" s="27"/>
      <c r="AF34" s="27"/>
      <c r="AG34" s="27"/>
      <c r="AJ34" s="27">
        <f t="shared" si="0"/>
        <v>0</v>
      </c>
      <c r="AK34" s="27">
        <f t="shared" si="1"/>
        <v>0</v>
      </c>
    </row>
    <row r="35" spans="1:37">
      <c r="A35" s="29"/>
      <c r="H35" s="30"/>
      <c r="I35" s="30"/>
      <c r="L35" s="27"/>
      <c r="M35" s="27"/>
      <c r="N35" s="27"/>
      <c r="O35" s="30"/>
      <c r="P35" s="30"/>
      <c r="Q35" s="30"/>
      <c r="R35" s="30"/>
      <c r="S35" s="30"/>
      <c r="V35" s="27"/>
      <c r="W35" s="27"/>
      <c r="X35" s="27"/>
      <c r="Y35" s="27"/>
      <c r="Z35" s="30"/>
      <c r="AA35" s="27"/>
      <c r="AB35" s="30"/>
      <c r="AE35" s="27"/>
      <c r="AF35" s="27"/>
      <c r="AG35" s="27"/>
      <c r="AJ35" s="27">
        <f t="shared" si="0"/>
        <v>0</v>
      </c>
      <c r="AK35" s="27">
        <f t="shared" si="1"/>
        <v>0</v>
      </c>
    </row>
    <row r="36" spans="1:37">
      <c r="A36" s="29"/>
      <c r="H36" s="30"/>
      <c r="I36" s="30"/>
      <c r="L36" s="27"/>
      <c r="M36" s="27"/>
      <c r="N36" s="27"/>
      <c r="O36" s="30"/>
      <c r="P36" s="30"/>
      <c r="Q36" s="30"/>
      <c r="R36" s="30"/>
      <c r="S36" s="30"/>
      <c r="V36" s="27"/>
      <c r="W36" s="27"/>
      <c r="X36" s="27"/>
      <c r="Y36" s="27"/>
      <c r="Z36" s="30"/>
      <c r="AA36" s="27"/>
      <c r="AB36" s="30"/>
      <c r="AE36" s="27"/>
      <c r="AF36" s="27"/>
      <c r="AG36" s="27"/>
      <c r="AJ36" s="27">
        <f t="shared" si="0"/>
        <v>0</v>
      </c>
      <c r="AK36" s="27">
        <f t="shared" si="1"/>
        <v>0</v>
      </c>
    </row>
    <row r="37" spans="1:37">
      <c r="A37" s="29"/>
      <c r="H37" s="30"/>
      <c r="I37" s="30"/>
      <c r="L37" s="27"/>
      <c r="M37" s="27"/>
      <c r="N37" s="27"/>
      <c r="O37" s="30"/>
      <c r="P37" s="30"/>
      <c r="Q37" s="30"/>
      <c r="R37" s="30"/>
      <c r="S37" s="30"/>
      <c r="V37" s="27"/>
      <c r="W37" s="27"/>
      <c r="X37" s="27"/>
      <c r="Y37" s="27"/>
      <c r="Z37" s="30"/>
      <c r="AA37" s="27"/>
      <c r="AB37" s="30"/>
      <c r="AE37" s="27"/>
      <c r="AF37" s="27"/>
      <c r="AG37" s="27"/>
      <c r="AJ37" s="27">
        <f t="shared" si="0"/>
        <v>0</v>
      </c>
      <c r="AK37" s="27">
        <f t="shared" si="1"/>
        <v>0</v>
      </c>
    </row>
    <row r="38" spans="1:37">
      <c r="A38" s="29"/>
      <c r="H38" s="30"/>
      <c r="I38" s="30"/>
      <c r="L38" s="27"/>
      <c r="M38" s="27"/>
      <c r="N38" s="27"/>
      <c r="O38" s="30"/>
      <c r="P38" s="30"/>
      <c r="Q38" s="30"/>
      <c r="R38" s="30"/>
      <c r="S38" s="30"/>
      <c r="V38" s="27"/>
      <c r="W38" s="27"/>
      <c r="X38" s="27"/>
      <c r="Y38" s="27"/>
      <c r="Z38" s="30"/>
      <c r="AA38" s="27"/>
      <c r="AB38" s="30"/>
      <c r="AE38" s="27"/>
      <c r="AF38" s="27"/>
      <c r="AG38" s="27"/>
      <c r="AJ38" s="27">
        <f t="shared" si="0"/>
        <v>0</v>
      </c>
      <c r="AK38" s="27">
        <f t="shared" si="1"/>
        <v>0</v>
      </c>
    </row>
    <row r="39" spans="1:37">
      <c r="A39" s="29"/>
      <c r="H39" s="30"/>
      <c r="I39" s="30"/>
      <c r="L39" s="27"/>
      <c r="M39" s="27"/>
      <c r="N39" s="27"/>
      <c r="O39" s="30"/>
      <c r="P39" s="30"/>
      <c r="Q39" s="30"/>
      <c r="R39" s="30"/>
      <c r="S39" s="30"/>
      <c r="V39" s="27"/>
      <c r="W39" s="27"/>
      <c r="X39" s="27"/>
      <c r="Y39" s="27"/>
      <c r="Z39" s="30"/>
      <c r="AA39" s="27"/>
      <c r="AB39" s="30"/>
      <c r="AE39" s="27"/>
      <c r="AF39" s="27"/>
      <c r="AG39" s="27"/>
      <c r="AJ39" s="27">
        <f t="shared" si="0"/>
        <v>0</v>
      </c>
      <c r="AK39" s="27">
        <f t="shared" si="1"/>
        <v>0</v>
      </c>
    </row>
    <row r="40" spans="1:37">
      <c r="A40" s="29"/>
      <c r="H40" s="30"/>
      <c r="I40" s="30"/>
      <c r="L40" s="27"/>
      <c r="M40" s="27"/>
      <c r="N40" s="27"/>
      <c r="O40" s="30"/>
      <c r="P40" s="30"/>
      <c r="Q40" s="30"/>
      <c r="R40" s="30"/>
      <c r="S40" s="30"/>
      <c r="V40" s="27"/>
      <c r="W40" s="27"/>
      <c r="X40" s="27"/>
      <c r="Y40" s="27"/>
      <c r="Z40" s="30"/>
      <c r="AA40" s="27"/>
      <c r="AB40" s="30"/>
      <c r="AE40" s="27"/>
      <c r="AF40" s="27"/>
      <c r="AG40" s="27"/>
      <c r="AJ40" s="27">
        <f t="shared" si="0"/>
        <v>0</v>
      </c>
      <c r="AK40" s="27">
        <f t="shared" si="1"/>
        <v>0</v>
      </c>
    </row>
    <row r="41" spans="1:37">
      <c r="A41" s="29"/>
      <c r="H41" s="30"/>
      <c r="I41" s="30"/>
      <c r="L41" s="27"/>
      <c r="M41" s="27"/>
      <c r="N41" s="27"/>
      <c r="O41" s="30"/>
      <c r="P41" s="30"/>
      <c r="Q41" s="30"/>
      <c r="R41" s="30"/>
      <c r="S41" s="30"/>
      <c r="V41" s="27"/>
      <c r="W41" s="27"/>
      <c r="X41" s="27"/>
      <c r="Y41" s="27"/>
      <c r="Z41" s="30"/>
      <c r="AA41" s="27"/>
      <c r="AB41" s="30"/>
      <c r="AE41" s="27"/>
      <c r="AF41" s="27"/>
      <c r="AG41" s="27"/>
      <c r="AJ41" s="27">
        <f t="shared" si="0"/>
        <v>0</v>
      </c>
      <c r="AK41" s="27">
        <f t="shared" si="1"/>
        <v>0</v>
      </c>
    </row>
    <row r="42" spans="1:37">
      <c r="A42" s="29"/>
      <c r="H42" s="30"/>
      <c r="I42" s="30"/>
      <c r="L42" s="27"/>
      <c r="M42" s="27"/>
      <c r="N42" s="27"/>
      <c r="O42" s="30"/>
      <c r="P42" s="30"/>
      <c r="Q42" s="30"/>
      <c r="R42" s="30"/>
      <c r="S42" s="30"/>
      <c r="V42" s="27"/>
      <c r="W42" s="27"/>
      <c r="X42" s="27"/>
      <c r="Y42" s="27"/>
      <c r="Z42" s="30"/>
      <c r="AA42" s="27"/>
      <c r="AB42" s="30"/>
      <c r="AE42" s="27"/>
      <c r="AF42" s="27"/>
      <c r="AG42" s="27"/>
      <c r="AJ42" s="27">
        <f t="shared" si="0"/>
        <v>0</v>
      </c>
      <c r="AK42" s="27">
        <f t="shared" si="1"/>
        <v>0</v>
      </c>
    </row>
    <row r="43" spans="1:37">
      <c r="A43" s="29"/>
      <c r="H43" s="30"/>
      <c r="I43" s="30"/>
      <c r="L43" s="27"/>
      <c r="M43" s="27"/>
      <c r="N43" s="27"/>
      <c r="O43" s="30"/>
      <c r="P43" s="30"/>
      <c r="Q43" s="30"/>
      <c r="R43" s="30"/>
      <c r="S43" s="30"/>
      <c r="V43" s="27"/>
      <c r="W43" s="27"/>
      <c r="X43" s="27"/>
      <c r="Y43" s="27"/>
      <c r="Z43" s="30"/>
      <c r="AA43" s="27"/>
      <c r="AB43" s="30"/>
      <c r="AE43" s="27"/>
      <c r="AF43" s="27"/>
      <c r="AG43" s="27"/>
      <c r="AJ43" s="27">
        <f t="shared" si="0"/>
        <v>0</v>
      </c>
      <c r="AK43" s="27">
        <f t="shared" si="1"/>
        <v>0</v>
      </c>
    </row>
    <row r="44" spans="1:37">
      <c r="A44" s="29"/>
      <c r="H44" s="30"/>
      <c r="I44" s="30"/>
      <c r="L44" s="27"/>
      <c r="M44" s="27"/>
      <c r="N44" s="27"/>
      <c r="O44" s="30"/>
      <c r="P44" s="30"/>
      <c r="Q44" s="30"/>
      <c r="R44" s="30"/>
      <c r="S44" s="30"/>
      <c r="V44" s="27"/>
      <c r="W44" s="27"/>
      <c r="X44" s="27"/>
      <c r="Y44" s="27"/>
      <c r="Z44" s="30"/>
      <c r="AA44" s="27"/>
      <c r="AB44" s="30"/>
      <c r="AE44" s="27"/>
      <c r="AF44" s="27"/>
      <c r="AG44" s="27"/>
      <c r="AJ44" s="27">
        <f t="shared" si="0"/>
        <v>0</v>
      </c>
      <c r="AK44" s="27">
        <f t="shared" si="1"/>
        <v>0</v>
      </c>
    </row>
    <row r="45" spans="1:37">
      <c r="A45" s="29"/>
      <c r="H45" s="30"/>
      <c r="I45" s="30"/>
      <c r="L45" s="27"/>
      <c r="M45" s="27"/>
      <c r="N45" s="27"/>
      <c r="O45" s="30"/>
      <c r="P45" s="30"/>
      <c r="Q45" s="30"/>
      <c r="R45" s="30"/>
      <c r="S45" s="30"/>
      <c r="V45" s="27"/>
      <c r="W45" s="27"/>
      <c r="X45" s="27"/>
      <c r="Y45" s="27"/>
      <c r="Z45" s="30"/>
      <c r="AA45" s="27"/>
      <c r="AB45" s="30"/>
      <c r="AE45" s="27"/>
      <c r="AF45" s="27"/>
      <c r="AG45" s="27"/>
      <c r="AJ45" s="27">
        <f t="shared" si="0"/>
        <v>0</v>
      </c>
      <c r="AK45" s="27">
        <f t="shared" si="1"/>
        <v>0</v>
      </c>
    </row>
    <row r="46" spans="1:37">
      <c r="A46" s="29"/>
      <c r="H46" s="30"/>
      <c r="I46" s="30"/>
      <c r="L46" s="27"/>
      <c r="M46" s="27"/>
      <c r="N46" s="27"/>
      <c r="O46" s="30"/>
      <c r="P46" s="30"/>
      <c r="Q46" s="30"/>
      <c r="R46" s="30"/>
      <c r="S46" s="30"/>
      <c r="V46" s="27"/>
      <c r="W46" s="27"/>
      <c r="X46" s="27"/>
      <c r="Y46" s="27"/>
      <c r="Z46" s="30"/>
      <c r="AA46" s="27"/>
      <c r="AB46" s="30"/>
      <c r="AE46" s="27"/>
      <c r="AF46" s="27"/>
      <c r="AG46" s="27"/>
      <c r="AJ46" s="27">
        <f t="shared" si="0"/>
        <v>0</v>
      </c>
      <c r="AK46" s="27">
        <f t="shared" si="1"/>
        <v>0</v>
      </c>
    </row>
    <row r="47" spans="1:37">
      <c r="A47" s="29"/>
      <c r="H47" s="30"/>
      <c r="I47" s="30"/>
      <c r="L47" s="27"/>
      <c r="M47" s="27"/>
      <c r="N47" s="27"/>
      <c r="O47" s="30"/>
      <c r="P47" s="30"/>
      <c r="Q47" s="30"/>
      <c r="R47" s="30"/>
      <c r="S47" s="30"/>
      <c r="V47" s="27"/>
      <c r="W47" s="27"/>
      <c r="X47" s="27"/>
      <c r="Y47" s="27"/>
      <c r="Z47" s="30"/>
      <c r="AA47" s="27"/>
      <c r="AB47" s="30"/>
      <c r="AE47" s="27"/>
      <c r="AF47" s="27"/>
      <c r="AG47" s="27"/>
      <c r="AJ47" s="27">
        <f t="shared" si="0"/>
        <v>0</v>
      </c>
      <c r="AK47" s="27">
        <f t="shared" si="1"/>
        <v>0</v>
      </c>
    </row>
    <row r="48" spans="1:37">
      <c r="A48" s="29"/>
      <c r="H48" s="30"/>
      <c r="I48" s="30"/>
      <c r="L48" s="27"/>
      <c r="M48" s="27"/>
      <c r="N48" s="27"/>
      <c r="O48" s="30"/>
      <c r="P48" s="30"/>
      <c r="Q48" s="30"/>
      <c r="R48" s="30"/>
      <c r="S48" s="30"/>
      <c r="V48" s="27"/>
      <c r="W48" s="27"/>
      <c r="X48" s="27"/>
      <c r="Y48" s="27"/>
      <c r="Z48" s="30"/>
      <c r="AA48" s="27"/>
      <c r="AB48" s="30"/>
      <c r="AE48" s="27"/>
      <c r="AF48" s="27"/>
      <c r="AG48" s="27"/>
      <c r="AJ48" s="27">
        <f t="shared" si="0"/>
        <v>0</v>
      </c>
      <c r="AK48" s="27">
        <f t="shared" si="1"/>
        <v>0</v>
      </c>
    </row>
    <row r="49" spans="1:37">
      <c r="A49" s="29"/>
      <c r="H49" s="30"/>
      <c r="I49" s="30"/>
      <c r="L49" s="27"/>
      <c r="M49" s="27"/>
      <c r="N49" s="27"/>
      <c r="O49" s="30"/>
      <c r="P49" s="30"/>
      <c r="Q49" s="30"/>
      <c r="R49" s="30"/>
      <c r="S49" s="30"/>
      <c r="V49" s="27"/>
      <c r="W49" s="27"/>
      <c r="X49" s="27"/>
      <c r="Y49" s="27"/>
      <c r="Z49" s="30"/>
      <c r="AA49" s="27"/>
      <c r="AB49" s="30"/>
      <c r="AE49" s="27"/>
      <c r="AF49" s="27"/>
      <c r="AG49" s="27"/>
      <c r="AJ49" s="27">
        <f t="shared" si="0"/>
        <v>0</v>
      </c>
      <c r="AK49" s="27">
        <f t="shared" si="1"/>
        <v>0</v>
      </c>
    </row>
    <row r="50" spans="1:37">
      <c r="A50" s="29"/>
      <c r="H50" s="30"/>
      <c r="I50" s="30"/>
      <c r="L50" s="27"/>
      <c r="M50" s="27"/>
      <c r="N50" s="27"/>
      <c r="O50" s="30"/>
      <c r="P50" s="30"/>
      <c r="Q50" s="30"/>
      <c r="R50" s="30"/>
      <c r="S50" s="30"/>
      <c r="V50" s="27"/>
      <c r="W50" s="27"/>
      <c r="X50" s="27"/>
      <c r="Y50" s="27"/>
      <c r="Z50" s="30"/>
      <c r="AA50" s="27"/>
      <c r="AB50" s="30"/>
      <c r="AE50" s="27"/>
      <c r="AF50" s="27"/>
      <c r="AG50" s="27"/>
      <c r="AJ50" s="27">
        <f t="shared" si="0"/>
        <v>0</v>
      </c>
      <c r="AK50" s="27">
        <f t="shared" si="1"/>
        <v>0</v>
      </c>
    </row>
    <row r="51" spans="1:37">
      <c r="A51" s="29"/>
      <c r="H51" s="30"/>
      <c r="I51" s="30"/>
      <c r="L51" s="27"/>
      <c r="M51" s="27"/>
      <c r="N51" s="27"/>
      <c r="O51" s="30"/>
      <c r="P51" s="30"/>
      <c r="Q51" s="30"/>
      <c r="R51" s="30"/>
      <c r="S51" s="30"/>
      <c r="V51" s="27"/>
      <c r="W51" s="27"/>
      <c r="X51" s="27"/>
      <c r="Y51" s="27"/>
      <c r="Z51" s="30"/>
      <c r="AA51" s="27"/>
      <c r="AB51" s="30"/>
      <c r="AE51" s="27"/>
      <c r="AF51" s="27"/>
      <c r="AG51" s="27"/>
      <c r="AJ51" s="27">
        <f t="shared" si="0"/>
        <v>0</v>
      </c>
      <c r="AK51" s="27">
        <f t="shared" si="1"/>
        <v>0</v>
      </c>
    </row>
    <row r="52" spans="1:37">
      <c r="A52" s="29"/>
      <c r="H52" s="30"/>
      <c r="I52" s="30"/>
      <c r="L52" s="27"/>
      <c r="M52" s="27"/>
      <c r="N52" s="27"/>
      <c r="O52" s="30"/>
      <c r="P52" s="30"/>
      <c r="Q52" s="30"/>
      <c r="R52" s="30"/>
      <c r="S52" s="30"/>
      <c r="V52" s="27"/>
      <c r="W52" s="27"/>
      <c r="X52" s="27"/>
      <c r="Y52" s="27"/>
      <c r="Z52" s="30"/>
      <c r="AA52" s="27"/>
      <c r="AB52" s="30"/>
      <c r="AE52" s="27"/>
      <c r="AF52" s="27"/>
      <c r="AG52" s="27"/>
      <c r="AJ52" s="27">
        <f t="shared" si="0"/>
        <v>0</v>
      </c>
      <c r="AK52" s="27">
        <f t="shared" si="1"/>
        <v>0</v>
      </c>
    </row>
    <row r="53" spans="1:37">
      <c r="A53" s="29"/>
      <c r="H53" s="30"/>
      <c r="I53" s="30"/>
      <c r="L53" s="27"/>
      <c r="M53" s="27"/>
      <c r="N53" s="27"/>
      <c r="O53" s="30"/>
      <c r="P53" s="30"/>
      <c r="Q53" s="30"/>
      <c r="R53" s="30"/>
      <c r="S53" s="30"/>
      <c r="V53" s="27"/>
      <c r="W53" s="27"/>
      <c r="X53" s="27"/>
      <c r="Y53" s="27"/>
      <c r="Z53" s="30"/>
      <c r="AA53" s="27"/>
      <c r="AB53" s="30"/>
      <c r="AE53" s="27"/>
      <c r="AF53" s="27"/>
      <c r="AG53" s="27"/>
      <c r="AJ53" s="27">
        <f t="shared" si="0"/>
        <v>0</v>
      </c>
      <c r="AK53" s="27">
        <f t="shared" si="1"/>
        <v>0</v>
      </c>
    </row>
    <row r="54" spans="1:37">
      <c r="A54" s="29"/>
      <c r="H54" s="30"/>
      <c r="I54" s="30"/>
      <c r="L54" s="27"/>
      <c r="M54" s="27"/>
      <c r="N54" s="27"/>
      <c r="O54" s="30"/>
      <c r="P54" s="30"/>
      <c r="Q54" s="30"/>
      <c r="R54" s="30"/>
      <c r="S54" s="30"/>
      <c r="V54" s="27"/>
      <c r="W54" s="27"/>
      <c r="X54" s="27"/>
      <c r="Y54" s="27"/>
      <c r="Z54" s="30"/>
      <c r="AA54" s="27"/>
      <c r="AB54" s="30"/>
      <c r="AE54" s="27"/>
      <c r="AF54" s="27"/>
      <c r="AG54" s="27"/>
      <c r="AJ54" s="27">
        <f t="shared" si="0"/>
        <v>0</v>
      </c>
      <c r="AK54" s="27">
        <f t="shared" si="1"/>
        <v>0</v>
      </c>
    </row>
    <row r="55" spans="1:37">
      <c r="A55" s="29"/>
      <c r="H55" s="30"/>
      <c r="I55" s="30"/>
      <c r="L55" s="27"/>
      <c r="M55" s="27"/>
      <c r="N55" s="27"/>
      <c r="O55" s="30"/>
      <c r="P55" s="30"/>
      <c r="Q55" s="30"/>
      <c r="R55" s="30"/>
      <c r="S55" s="30"/>
      <c r="V55" s="27"/>
      <c r="W55" s="27"/>
      <c r="X55" s="27"/>
      <c r="Y55" s="27"/>
      <c r="Z55" s="30"/>
      <c r="AA55" s="27"/>
      <c r="AB55" s="30"/>
      <c r="AE55" s="27"/>
      <c r="AF55" s="27"/>
      <c r="AG55" s="27"/>
      <c r="AJ55" s="27">
        <f t="shared" si="0"/>
        <v>0</v>
      </c>
      <c r="AK55" s="27">
        <f t="shared" si="1"/>
        <v>0</v>
      </c>
    </row>
    <row r="56" spans="1:37">
      <c r="A56" s="29"/>
      <c r="H56" s="30"/>
      <c r="I56" s="30"/>
      <c r="L56" s="27"/>
      <c r="M56" s="27"/>
      <c r="N56" s="27"/>
      <c r="O56" s="30"/>
      <c r="P56" s="30"/>
      <c r="Q56" s="30"/>
      <c r="R56" s="30"/>
      <c r="S56" s="30"/>
      <c r="V56" s="27"/>
      <c r="W56" s="27"/>
      <c r="X56" s="27"/>
      <c r="Y56" s="27"/>
      <c r="Z56" s="30"/>
      <c r="AA56" s="27"/>
      <c r="AB56" s="30"/>
      <c r="AE56" s="27"/>
      <c r="AF56" s="27"/>
      <c r="AG56" s="27"/>
      <c r="AJ56" s="27">
        <f t="shared" si="0"/>
        <v>0</v>
      </c>
      <c r="AK56" s="27">
        <f t="shared" si="1"/>
        <v>0</v>
      </c>
    </row>
    <row r="57" spans="1:37">
      <c r="A57" s="29"/>
      <c r="H57" s="30"/>
      <c r="I57" s="30"/>
      <c r="L57" s="27"/>
      <c r="M57" s="27"/>
      <c r="N57" s="27"/>
      <c r="O57" s="30"/>
      <c r="P57" s="30"/>
      <c r="Q57" s="30"/>
      <c r="R57" s="30"/>
      <c r="S57" s="30"/>
      <c r="V57" s="27"/>
      <c r="W57" s="27"/>
      <c r="X57" s="27"/>
      <c r="Y57" s="27"/>
      <c r="Z57" s="30"/>
      <c r="AA57" s="27"/>
      <c r="AB57" s="30"/>
      <c r="AE57" s="27"/>
      <c r="AF57" s="27"/>
      <c r="AG57" s="27"/>
      <c r="AJ57" s="27">
        <f t="shared" si="0"/>
        <v>0</v>
      </c>
      <c r="AK57" s="27">
        <f t="shared" si="1"/>
        <v>0</v>
      </c>
    </row>
    <row r="58" spans="1:37">
      <c r="A58" s="29"/>
      <c r="H58" s="30"/>
      <c r="I58" s="30"/>
      <c r="L58" s="27"/>
      <c r="M58" s="27"/>
      <c r="N58" s="27"/>
      <c r="O58" s="30"/>
      <c r="P58" s="30"/>
      <c r="Q58" s="30"/>
      <c r="R58" s="30"/>
      <c r="S58" s="30"/>
      <c r="V58" s="27"/>
      <c r="W58" s="27"/>
      <c r="X58" s="27"/>
      <c r="Y58" s="27"/>
      <c r="Z58" s="30"/>
      <c r="AA58" s="27"/>
      <c r="AB58" s="30"/>
      <c r="AE58" s="27"/>
      <c r="AF58" s="27"/>
      <c r="AG58" s="27"/>
      <c r="AJ58" s="27">
        <f t="shared" si="0"/>
        <v>0</v>
      </c>
      <c r="AK58" s="27">
        <f t="shared" si="1"/>
        <v>0</v>
      </c>
    </row>
    <row r="59" spans="1:37">
      <c r="A59" s="29"/>
      <c r="H59" s="30"/>
      <c r="I59" s="30"/>
      <c r="L59" s="27"/>
      <c r="M59" s="27"/>
      <c r="N59" s="27"/>
      <c r="O59" s="30"/>
      <c r="P59" s="30"/>
      <c r="Q59" s="30"/>
      <c r="R59" s="30"/>
      <c r="S59" s="30"/>
      <c r="V59" s="27"/>
      <c r="W59" s="27"/>
      <c r="X59" s="27"/>
      <c r="Y59" s="27"/>
      <c r="Z59" s="30"/>
      <c r="AA59" s="27"/>
      <c r="AB59" s="30"/>
      <c r="AE59" s="27"/>
      <c r="AF59" s="27"/>
      <c r="AG59" s="27"/>
      <c r="AJ59" s="27">
        <f t="shared" si="0"/>
        <v>0</v>
      </c>
      <c r="AK59" s="27">
        <f t="shared" si="1"/>
        <v>0</v>
      </c>
    </row>
    <row r="60" spans="1:37">
      <c r="A60" s="29"/>
      <c r="H60" s="30"/>
      <c r="I60" s="30"/>
      <c r="L60" s="27"/>
      <c r="M60" s="27"/>
      <c r="N60" s="27"/>
      <c r="O60" s="30"/>
      <c r="P60" s="30"/>
      <c r="Q60" s="30"/>
      <c r="R60" s="30"/>
      <c r="S60" s="30"/>
      <c r="V60" s="27"/>
      <c r="W60" s="27"/>
      <c r="X60" s="27"/>
      <c r="Y60" s="27"/>
      <c r="Z60" s="30"/>
      <c r="AA60" s="27"/>
      <c r="AB60" s="30"/>
      <c r="AE60" s="27"/>
      <c r="AF60" s="27"/>
      <c r="AG60" s="27"/>
      <c r="AJ60" s="27">
        <f t="shared" si="0"/>
        <v>0</v>
      </c>
      <c r="AK60" s="27">
        <f t="shared" si="1"/>
        <v>0</v>
      </c>
    </row>
    <row r="61" spans="1:37">
      <c r="A61" s="29"/>
      <c r="H61" s="30"/>
      <c r="I61" s="30"/>
      <c r="L61" s="27"/>
      <c r="M61" s="27"/>
      <c r="N61" s="27"/>
      <c r="O61" s="30"/>
      <c r="P61" s="30"/>
      <c r="Q61" s="30"/>
      <c r="R61" s="30"/>
      <c r="S61" s="30"/>
      <c r="V61" s="27"/>
      <c r="W61" s="27"/>
      <c r="X61" s="27"/>
      <c r="Y61" s="27"/>
      <c r="Z61" s="30"/>
      <c r="AA61" s="27"/>
      <c r="AB61" s="30"/>
      <c r="AE61" s="27"/>
      <c r="AF61" s="27"/>
      <c r="AG61" s="27"/>
      <c r="AJ61" s="27">
        <f t="shared" si="0"/>
        <v>0</v>
      </c>
      <c r="AK61" s="27">
        <f t="shared" si="1"/>
        <v>0</v>
      </c>
    </row>
    <row r="62" spans="1:37">
      <c r="A62" s="29"/>
      <c r="H62" s="30"/>
      <c r="I62" s="30"/>
      <c r="L62" s="27"/>
      <c r="M62" s="27"/>
      <c r="N62" s="27"/>
      <c r="O62" s="30"/>
      <c r="P62" s="30"/>
      <c r="Q62" s="30"/>
      <c r="R62" s="30"/>
      <c r="S62" s="30"/>
      <c r="V62" s="27"/>
      <c r="W62" s="27"/>
      <c r="X62" s="27"/>
      <c r="Y62" s="27"/>
      <c r="Z62" s="30"/>
      <c r="AA62" s="27"/>
      <c r="AB62" s="30"/>
      <c r="AE62" s="27"/>
      <c r="AF62" s="27"/>
      <c r="AG62" s="27"/>
      <c r="AJ62" s="27">
        <f t="shared" si="0"/>
        <v>0</v>
      </c>
      <c r="AK62" s="27">
        <f t="shared" si="1"/>
        <v>0</v>
      </c>
    </row>
    <row r="63" spans="1:37">
      <c r="A63" s="29"/>
      <c r="H63" s="30"/>
      <c r="I63" s="30"/>
      <c r="L63" s="27"/>
      <c r="M63" s="27"/>
      <c r="N63" s="27"/>
      <c r="O63" s="30"/>
      <c r="P63" s="30"/>
      <c r="Q63" s="30"/>
      <c r="R63" s="30"/>
      <c r="S63" s="30"/>
      <c r="V63" s="27"/>
      <c r="W63" s="27"/>
      <c r="X63" s="27"/>
      <c r="Y63" s="27"/>
      <c r="Z63" s="30"/>
      <c r="AA63" s="27"/>
      <c r="AB63" s="30"/>
      <c r="AE63" s="27"/>
      <c r="AF63" s="27"/>
      <c r="AG63" s="27"/>
      <c r="AJ63" s="27">
        <f t="shared" si="0"/>
        <v>0</v>
      </c>
      <c r="AK63" s="27">
        <f t="shared" si="1"/>
        <v>0</v>
      </c>
    </row>
    <row r="64" spans="1:37">
      <c r="A64" s="29"/>
      <c r="H64" s="30"/>
      <c r="I64" s="30"/>
      <c r="L64" s="27"/>
      <c r="M64" s="27"/>
      <c r="N64" s="27"/>
      <c r="O64" s="30"/>
      <c r="P64" s="30"/>
      <c r="Q64" s="30"/>
      <c r="R64" s="30"/>
      <c r="S64" s="30"/>
      <c r="V64" s="27"/>
      <c r="W64" s="27"/>
      <c r="X64" s="27"/>
      <c r="Y64" s="27"/>
      <c r="Z64" s="30"/>
      <c r="AA64" s="27"/>
      <c r="AB64" s="30"/>
      <c r="AE64" s="27"/>
      <c r="AF64" s="27"/>
      <c r="AG64" s="27"/>
      <c r="AJ64" s="27">
        <f t="shared" si="0"/>
        <v>0</v>
      </c>
      <c r="AK64" s="27">
        <f t="shared" si="1"/>
        <v>0</v>
      </c>
    </row>
    <row r="65" spans="1:37">
      <c r="A65" s="29"/>
      <c r="H65" s="30"/>
      <c r="I65" s="30"/>
      <c r="L65" s="27"/>
      <c r="M65" s="27"/>
      <c r="N65" s="27"/>
      <c r="O65" s="30"/>
      <c r="P65" s="30"/>
      <c r="Q65" s="30"/>
      <c r="R65" s="30"/>
      <c r="S65" s="30"/>
      <c r="V65" s="27"/>
      <c r="W65" s="27"/>
      <c r="X65" s="27"/>
      <c r="Y65" s="27"/>
      <c r="Z65" s="30"/>
      <c r="AA65" s="27"/>
      <c r="AB65" s="30"/>
      <c r="AE65" s="27"/>
      <c r="AF65" s="27"/>
      <c r="AG65" s="27"/>
      <c r="AJ65" s="27">
        <f t="shared" si="0"/>
        <v>0</v>
      </c>
      <c r="AK65" s="27">
        <f t="shared" si="1"/>
        <v>0</v>
      </c>
    </row>
    <row r="66" spans="1:37">
      <c r="A66" s="29"/>
      <c r="H66" s="30"/>
      <c r="I66" s="30"/>
      <c r="L66" s="27"/>
      <c r="M66" s="27"/>
      <c r="N66" s="27"/>
      <c r="O66" s="30"/>
      <c r="P66" s="30"/>
      <c r="Q66" s="30"/>
      <c r="R66" s="30"/>
      <c r="S66" s="30"/>
      <c r="V66" s="27"/>
      <c r="W66" s="27"/>
      <c r="X66" s="27"/>
      <c r="Y66" s="27"/>
      <c r="Z66" s="30"/>
      <c r="AA66" s="27"/>
      <c r="AB66" s="30"/>
      <c r="AE66" s="27"/>
      <c r="AF66" s="27"/>
      <c r="AG66" s="27"/>
      <c r="AJ66" s="27">
        <f t="shared" ref="AJ66:AJ129" si="2">SUM(V66:Y66)+AG66</f>
        <v>0</v>
      </c>
      <c r="AK66" s="27">
        <f t="shared" ref="AK66:AK129" si="3">MAX(M66-N66,0)+MAX(AJ66-AA66,0)+AE66+AF66</f>
        <v>0</v>
      </c>
    </row>
    <row r="67" spans="1:37">
      <c r="A67" s="29"/>
      <c r="H67" s="30"/>
      <c r="I67" s="30"/>
      <c r="L67" s="27"/>
      <c r="M67" s="27"/>
      <c r="N67" s="27"/>
      <c r="O67" s="30"/>
      <c r="P67" s="30"/>
      <c r="Q67" s="30"/>
      <c r="R67" s="30"/>
      <c r="S67" s="30"/>
      <c r="V67" s="27"/>
      <c r="W67" s="27"/>
      <c r="X67" s="27"/>
      <c r="Y67" s="27"/>
      <c r="Z67" s="30"/>
      <c r="AA67" s="27"/>
      <c r="AB67" s="30"/>
      <c r="AE67" s="27"/>
      <c r="AF67" s="27"/>
      <c r="AG67" s="27"/>
      <c r="AJ67" s="27">
        <f t="shared" si="2"/>
        <v>0</v>
      </c>
      <c r="AK67" s="27">
        <f t="shared" si="3"/>
        <v>0</v>
      </c>
    </row>
    <row r="68" spans="1:37">
      <c r="A68" s="29"/>
      <c r="H68" s="30"/>
      <c r="I68" s="30"/>
      <c r="L68" s="27"/>
      <c r="M68" s="27"/>
      <c r="N68" s="27"/>
      <c r="O68" s="30"/>
      <c r="P68" s="30"/>
      <c r="Q68" s="30"/>
      <c r="R68" s="30"/>
      <c r="S68" s="30"/>
      <c r="V68" s="27"/>
      <c r="W68" s="27"/>
      <c r="X68" s="27"/>
      <c r="Y68" s="27"/>
      <c r="Z68" s="30"/>
      <c r="AA68" s="27"/>
      <c r="AB68" s="30"/>
      <c r="AE68" s="27"/>
      <c r="AF68" s="27"/>
      <c r="AG68" s="27"/>
      <c r="AJ68" s="27">
        <f t="shared" si="2"/>
        <v>0</v>
      </c>
      <c r="AK68" s="27">
        <f t="shared" si="3"/>
        <v>0</v>
      </c>
    </row>
    <row r="69" spans="1:37">
      <c r="A69" s="29"/>
      <c r="H69" s="30"/>
      <c r="I69" s="30"/>
      <c r="L69" s="27"/>
      <c r="M69" s="27"/>
      <c r="N69" s="27"/>
      <c r="O69" s="30"/>
      <c r="P69" s="30"/>
      <c r="Q69" s="30"/>
      <c r="R69" s="30"/>
      <c r="S69" s="30"/>
      <c r="V69" s="27"/>
      <c r="W69" s="27"/>
      <c r="X69" s="27"/>
      <c r="Y69" s="27"/>
      <c r="Z69" s="30"/>
      <c r="AA69" s="27"/>
      <c r="AB69" s="30"/>
      <c r="AE69" s="27"/>
      <c r="AF69" s="27"/>
      <c r="AG69" s="27"/>
      <c r="AJ69" s="27">
        <f t="shared" si="2"/>
        <v>0</v>
      </c>
      <c r="AK69" s="27">
        <f t="shared" si="3"/>
        <v>0</v>
      </c>
    </row>
    <row r="70" spans="1:37">
      <c r="A70" s="29"/>
      <c r="H70" s="30"/>
      <c r="I70" s="30"/>
      <c r="L70" s="27"/>
      <c r="M70" s="27"/>
      <c r="N70" s="27"/>
      <c r="O70" s="30"/>
      <c r="P70" s="30"/>
      <c r="Q70" s="30"/>
      <c r="R70" s="30"/>
      <c r="S70" s="30"/>
      <c r="V70" s="27"/>
      <c r="W70" s="27"/>
      <c r="X70" s="27"/>
      <c r="Y70" s="27"/>
      <c r="Z70" s="30"/>
      <c r="AA70" s="27"/>
      <c r="AB70" s="30"/>
      <c r="AE70" s="27"/>
      <c r="AF70" s="27"/>
      <c r="AG70" s="27"/>
      <c r="AJ70" s="27">
        <f t="shared" si="2"/>
        <v>0</v>
      </c>
      <c r="AK70" s="27">
        <f t="shared" si="3"/>
        <v>0</v>
      </c>
    </row>
    <row r="71" spans="1:37">
      <c r="A71" s="29"/>
      <c r="H71" s="30"/>
      <c r="I71" s="30"/>
      <c r="L71" s="27"/>
      <c r="M71" s="27"/>
      <c r="N71" s="27"/>
      <c r="O71" s="30"/>
      <c r="P71" s="30"/>
      <c r="Q71" s="30"/>
      <c r="R71" s="30"/>
      <c r="S71" s="30"/>
      <c r="V71" s="27"/>
      <c r="W71" s="27"/>
      <c r="X71" s="27"/>
      <c r="Y71" s="27"/>
      <c r="Z71" s="30"/>
      <c r="AA71" s="27"/>
      <c r="AB71" s="30"/>
      <c r="AE71" s="27"/>
      <c r="AF71" s="27"/>
      <c r="AG71" s="27"/>
      <c r="AJ71" s="27">
        <f t="shared" si="2"/>
        <v>0</v>
      </c>
      <c r="AK71" s="27">
        <f t="shared" si="3"/>
        <v>0</v>
      </c>
    </row>
    <row r="72" spans="1:37">
      <c r="A72" s="29"/>
      <c r="H72" s="30"/>
      <c r="I72" s="30"/>
      <c r="L72" s="27"/>
      <c r="M72" s="27"/>
      <c r="N72" s="27"/>
      <c r="O72" s="30"/>
      <c r="P72" s="30"/>
      <c r="Q72" s="30"/>
      <c r="R72" s="30"/>
      <c r="S72" s="30"/>
      <c r="V72" s="27"/>
      <c r="W72" s="27"/>
      <c r="X72" s="27"/>
      <c r="Y72" s="27"/>
      <c r="Z72" s="30"/>
      <c r="AA72" s="27"/>
      <c r="AB72" s="30"/>
      <c r="AE72" s="27"/>
      <c r="AF72" s="27"/>
      <c r="AG72" s="27"/>
      <c r="AJ72" s="27">
        <f t="shared" si="2"/>
        <v>0</v>
      </c>
      <c r="AK72" s="27">
        <f t="shared" si="3"/>
        <v>0</v>
      </c>
    </row>
    <row r="73" spans="1:37">
      <c r="A73" s="29"/>
      <c r="H73" s="30"/>
      <c r="I73" s="30"/>
      <c r="L73" s="27"/>
      <c r="M73" s="27"/>
      <c r="N73" s="27"/>
      <c r="O73" s="30"/>
      <c r="P73" s="30"/>
      <c r="Q73" s="30"/>
      <c r="R73" s="30"/>
      <c r="S73" s="30"/>
      <c r="V73" s="27"/>
      <c r="W73" s="27"/>
      <c r="X73" s="27"/>
      <c r="Y73" s="27"/>
      <c r="Z73" s="30"/>
      <c r="AA73" s="27"/>
      <c r="AB73" s="30"/>
      <c r="AE73" s="27"/>
      <c r="AF73" s="27"/>
      <c r="AG73" s="27"/>
      <c r="AJ73" s="27">
        <f t="shared" si="2"/>
        <v>0</v>
      </c>
      <c r="AK73" s="27">
        <f t="shared" si="3"/>
        <v>0</v>
      </c>
    </row>
    <row r="74" spans="1:37">
      <c r="A74" s="29"/>
      <c r="H74" s="30"/>
      <c r="I74" s="30"/>
      <c r="L74" s="27"/>
      <c r="M74" s="27"/>
      <c r="N74" s="27"/>
      <c r="O74" s="30"/>
      <c r="P74" s="30"/>
      <c r="Q74" s="30"/>
      <c r="R74" s="30"/>
      <c r="S74" s="30"/>
      <c r="V74" s="27"/>
      <c r="W74" s="27"/>
      <c r="X74" s="27"/>
      <c r="Y74" s="27"/>
      <c r="Z74" s="30"/>
      <c r="AA74" s="27"/>
      <c r="AB74" s="30"/>
      <c r="AE74" s="27"/>
      <c r="AF74" s="27"/>
      <c r="AG74" s="27"/>
      <c r="AJ74" s="27">
        <f t="shared" si="2"/>
        <v>0</v>
      </c>
      <c r="AK74" s="27">
        <f t="shared" si="3"/>
        <v>0</v>
      </c>
    </row>
    <row r="75" spans="1:37">
      <c r="A75" s="29"/>
      <c r="H75" s="30"/>
      <c r="I75" s="30"/>
      <c r="L75" s="27"/>
      <c r="M75" s="27"/>
      <c r="N75" s="27"/>
      <c r="O75" s="30"/>
      <c r="P75" s="30"/>
      <c r="Q75" s="30"/>
      <c r="R75" s="30"/>
      <c r="S75" s="30"/>
      <c r="V75" s="27"/>
      <c r="W75" s="27"/>
      <c r="X75" s="27"/>
      <c r="Y75" s="27"/>
      <c r="Z75" s="30"/>
      <c r="AA75" s="27"/>
      <c r="AB75" s="30"/>
      <c r="AE75" s="27"/>
      <c r="AF75" s="27"/>
      <c r="AG75" s="27"/>
      <c r="AJ75" s="27">
        <f t="shared" si="2"/>
        <v>0</v>
      </c>
      <c r="AK75" s="27">
        <f t="shared" si="3"/>
        <v>0</v>
      </c>
    </row>
    <row r="76" spans="1:37">
      <c r="A76" s="29"/>
      <c r="H76" s="30"/>
      <c r="I76" s="30"/>
      <c r="L76" s="27"/>
      <c r="M76" s="27"/>
      <c r="N76" s="27"/>
      <c r="O76" s="30"/>
      <c r="P76" s="30"/>
      <c r="Q76" s="30"/>
      <c r="R76" s="30"/>
      <c r="S76" s="30"/>
      <c r="V76" s="27"/>
      <c r="W76" s="27"/>
      <c r="X76" s="27"/>
      <c r="Y76" s="27"/>
      <c r="Z76" s="30"/>
      <c r="AA76" s="27"/>
      <c r="AB76" s="30"/>
      <c r="AE76" s="27"/>
      <c r="AF76" s="27"/>
      <c r="AG76" s="27"/>
      <c r="AJ76" s="27">
        <f t="shared" si="2"/>
        <v>0</v>
      </c>
      <c r="AK76" s="27">
        <f t="shared" si="3"/>
        <v>0</v>
      </c>
    </row>
    <row r="77" spans="1:37">
      <c r="A77" s="29"/>
      <c r="H77" s="30"/>
      <c r="I77" s="30"/>
      <c r="L77" s="27"/>
      <c r="M77" s="27"/>
      <c r="N77" s="27"/>
      <c r="O77" s="30"/>
      <c r="P77" s="30"/>
      <c r="Q77" s="30"/>
      <c r="R77" s="30"/>
      <c r="S77" s="30"/>
      <c r="V77" s="27"/>
      <c r="W77" s="27"/>
      <c r="X77" s="27"/>
      <c r="Y77" s="27"/>
      <c r="Z77" s="30"/>
      <c r="AA77" s="27"/>
      <c r="AB77" s="30"/>
      <c r="AE77" s="27"/>
      <c r="AF77" s="27"/>
      <c r="AG77" s="27"/>
      <c r="AJ77" s="27">
        <f t="shared" si="2"/>
        <v>0</v>
      </c>
      <c r="AK77" s="27">
        <f t="shared" si="3"/>
        <v>0</v>
      </c>
    </row>
    <row r="78" spans="1:37">
      <c r="A78" s="29"/>
      <c r="H78" s="30"/>
      <c r="I78" s="30"/>
      <c r="L78" s="27"/>
      <c r="M78" s="27"/>
      <c r="N78" s="27"/>
      <c r="O78" s="30"/>
      <c r="P78" s="30"/>
      <c r="Q78" s="30"/>
      <c r="R78" s="30"/>
      <c r="S78" s="30"/>
      <c r="V78" s="27"/>
      <c r="W78" s="27"/>
      <c r="X78" s="27"/>
      <c r="Y78" s="27"/>
      <c r="Z78" s="30"/>
      <c r="AA78" s="27"/>
      <c r="AB78" s="30"/>
      <c r="AE78" s="27"/>
      <c r="AF78" s="27"/>
      <c r="AG78" s="27"/>
      <c r="AJ78" s="27">
        <f t="shared" si="2"/>
        <v>0</v>
      </c>
      <c r="AK78" s="27">
        <f t="shared" si="3"/>
        <v>0</v>
      </c>
    </row>
    <row r="79" spans="1:37">
      <c r="A79" s="29"/>
      <c r="H79" s="30"/>
      <c r="I79" s="30"/>
      <c r="L79" s="27"/>
      <c r="M79" s="27"/>
      <c r="N79" s="27"/>
      <c r="O79" s="30"/>
      <c r="P79" s="30"/>
      <c r="Q79" s="30"/>
      <c r="R79" s="30"/>
      <c r="S79" s="30"/>
      <c r="V79" s="27"/>
      <c r="W79" s="27"/>
      <c r="X79" s="27"/>
      <c r="Y79" s="27"/>
      <c r="Z79" s="30"/>
      <c r="AA79" s="27"/>
      <c r="AB79" s="30"/>
      <c r="AE79" s="27"/>
      <c r="AF79" s="27"/>
      <c r="AG79" s="27"/>
      <c r="AJ79" s="27">
        <f t="shared" si="2"/>
        <v>0</v>
      </c>
      <c r="AK79" s="27">
        <f t="shared" si="3"/>
        <v>0</v>
      </c>
    </row>
    <row r="80" spans="1:37">
      <c r="A80" s="29"/>
      <c r="H80" s="30"/>
      <c r="I80" s="30"/>
      <c r="L80" s="27"/>
      <c r="M80" s="27"/>
      <c r="N80" s="27"/>
      <c r="O80" s="30"/>
      <c r="P80" s="30"/>
      <c r="Q80" s="30"/>
      <c r="R80" s="30"/>
      <c r="S80" s="30"/>
      <c r="V80" s="27"/>
      <c r="W80" s="27"/>
      <c r="X80" s="27"/>
      <c r="Y80" s="27"/>
      <c r="Z80" s="30"/>
      <c r="AA80" s="27"/>
      <c r="AB80" s="30"/>
      <c r="AE80" s="27"/>
      <c r="AF80" s="27"/>
      <c r="AG80" s="27"/>
      <c r="AJ80" s="27">
        <f t="shared" si="2"/>
        <v>0</v>
      </c>
      <c r="AK80" s="27">
        <f t="shared" si="3"/>
        <v>0</v>
      </c>
    </row>
    <row r="81" spans="1:37">
      <c r="A81" s="29"/>
      <c r="H81" s="30"/>
      <c r="I81" s="30"/>
      <c r="L81" s="27"/>
      <c r="M81" s="27"/>
      <c r="N81" s="27"/>
      <c r="O81" s="30"/>
      <c r="P81" s="30"/>
      <c r="Q81" s="30"/>
      <c r="R81" s="30"/>
      <c r="S81" s="30"/>
      <c r="V81" s="27"/>
      <c r="W81" s="27"/>
      <c r="X81" s="27"/>
      <c r="Y81" s="27"/>
      <c r="Z81" s="30"/>
      <c r="AA81" s="27"/>
      <c r="AB81" s="30"/>
      <c r="AE81" s="27"/>
      <c r="AF81" s="27"/>
      <c r="AG81" s="27"/>
      <c r="AJ81" s="27">
        <f t="shared" si="2"/>
        <v>0</v>
      </c>
      <c r="AK81" s="27">
        <f t="shared" si="3"/>
        <v>0</v>
      </c>
    </row>
    <row r="82" spans="1:37">
      <c r="A82" s="29"/>
      <c r="H82" s="30"/>
      <c r="I82" s="30"/>
      <c r="L82" s="27"/>
      <c r="M82" s="27"/>
      <c r="N82" s="27"/>
      <c r="O82" s="30"/>
      <c r="P82" s="30"/>
      <c r="Q82" s="30"/>
      <c r="R82" s="30"/>
      <c r="S82" s="30"/>
      <c r="V82" s="27"/>
      <c r="W82" s="27"/>
      <c r="X82" s="27"/>
      <c r="Y82" s="27"/>
      <c r="Z82" s="30"/>
      <c r="AA82" s="27"/>
      <c r="AB82" s="30"/>
      <c r="AE82" s="27"/>
      <c r="AF82" s="27"/>
      <c r="AG82" s="27"/>
      <c r="AJ82" s="27">
        <f t="shared" si="2"/>
        <v>0</v>
      </c>
      <c r="AK82" s="27">
        <f t="shared" si="3"/>
        <v>0</v>
      </c>
    </row>
    <row r="83" spans="1:37">
      <c r="A83" s="29"/>
      <c r="H83" s="30"/>
      <c r="I83" s="30"/>
      <c r="L83" s="27"/>
      <c r="M83" s="27"/>
      <c r="N83" s="27"/>
      <c r="O83" s="30"/>
      <c r="P83" s="30"/>
      <c r="Q83" s="30"/>
      <c r="R83" s="30"/>
      <c r="S83" s="30"/>
      <c r="V83" s="27"/>
      <c r="W83" s="27"/>
      <c r="X83" s="27"/>
      <c r="Y83" s="27"/>
      <c r="Z83" s="30"/>
      <c r="AA83" s="27"/>
      <c r="AB83" s="30"/>
      <c r="AE83" s="27"/>
      <c r="AF83" s="27"/>
      <c r="AG83" s="27"/>
      <c r="AJ83" s="27">
        <f t="shared" si="2"/>
        <v>0</v>
      </c>
      <c r="AK83" s="27">
        <f t="shared" si="3"/>
        <v>0</v>
      </c>
    </row>
    <row r="84" spans="1:37">
      <c r="A84" s="29"/>
      <c r="H84" s="30"/>
      <c r="I84" s="30"/>
      <c r="L84" s="27"/>
      <c r="M84" s="27"/>
      <c r="N84" s="27"/>
      <c r="O84" s="30"/>
      <c r="P84" s="30"/>
      <c r="Q84" s="30"/>
      <c r="R84" s="30"/>
      <c r="S84" s="30"/>
      <c r="V84" s="27"/>
      <c r="W84" s="27"/>
      <c r="X84" s="27"/>
      <c r="Y84" s="27"/>
      <c r="Z84" s="30"/>
      <c r="AA84" s="27"/>
      <c r="AB84" s="30"/>
      <c r="AE84" s="27"/>
      <c r="AF84" s="27"/>
      <c r="AG84" s="27"/>
      <c r="AJ84" s="27">
        <f t="shared" si="2"/>
        <v>0</v>
      </c>
      <c r="AK84" s="27">
        <f t="shared" si="3"/>
        <v>0</v>
      </c>
    </row>
    <row r="85" spans="1:37">
      <c r="A85" s="29"/>
      <c r="H85" s="30"/>
      <c r="I85" s="30"/>
      <c r="L85" s="27"/>
      <c r="M85" s="27"/>
      <c r="N85" s="27"/>
      <c r="O85" s="30"/>
      <c r="P85" s="30"/>
      <c r="Q85" s="30"/>
      <c r="R85" s="30"/>
      <c r="S85" s="30"/>
      <c r="V85" s="27"/>
      <c r="W85" s="27"/>
      <c r="X85" s="27"/>
      <c r="Y85" s="27"/>
      <c r="Z85" s="30"/>
      <c r="AA85" s="27"/>
      <c r="AB85" s="30"/>
      <c r="AE85" s="27"/>
      <c r="AF85" s="27"/>
      <c r="AG85" s="27"/>
      <c r="AJ85" s="27">
        <f t="shared" si="2"/>
        <v>0</v>
      </c>
      <c r="AK85" s="27">
        <f t="shared" si="3"/>
        <v>0</v>
      </c>
    </row>
    <row r="86" spans="1:37">
      <c r="A86" s="29"/>
      <c r="H86" s="30"/>
      <c r="I86" s="30"/>
      <c r="L86" s="27"/>
      <c r="M86" s="27"/>
      <c r="N86" s="27"/>
      <c r="O86" s="30"/>
      <c r="P86" s="30"/>
      <c r="Q86" s="30"/>
      <c r="R86" s="30"/>
      <c r="S86" s="30"/>
      <c r="V86" s="27"/>
      <c r="W86" s="27"/>
      <c r="X86" s="27"/>
      <c r="Y86" s="27"/>
      <c r="Z86" s="30"/>
      <c r="AA86" s="27"/>
      <c r="AB86" s="30"/>
      <c r="AE86" s="27"/>
      <c r="AF86" s="27"/>
      <c r="AG86" s="27"/>
      <c r="AJ86" s="27">
        <f t="shared" si="2"/>
        <v>0</v>
      </c>
      <c r="AK86" s="27">
        <f t="shared" si="3"/>
        <v>0</v>
      </c>
    </row>
    <row r="87" spans="1:37">
      <c r="A87" s="29"/>
      <c r="H87" s="30"/>
      <c r="I87" s="30"/>
      <c r="L87" s="27"/>
      <c r="M87" s="27"/>
      <c r="N87" s="27"/>
      <c r="O87" s="30"/>
      <c r="P87" s="30"/>
      <c r="Q87" s="30"/>
      <c r="R87" s="30"/>
      <c r="S87" s="30"/>
      <c r="V87" s="27"/>
      <c r="W87" s="27"/>
      <c r="X87" s="27"/>
      <c r="Y87" s="27"/>
      <c r="Z87" s="30"/>
      <c r="AA87" s="27"/>
      <c r="AB87" s="30"/>
      <c r="AE87" s="27"/>
      <c r="AF87" s="27"/>
      <c r="AG87" s="27"/>
      <c r="AJ87" s="27">
        <f t="shared" si="2"/>
        <v>0</v>
      </c>
      <c r="AK87" s="27">
        <f t="shared" si="3"/>
        <v>0</v>
      </c>
    </row>
    <row r="88" spans="1:37">
      <c r="A88" s="29"/>
      <c r="H88" s="30"/>
      <c r="I88" s="30"/>
      <c r="L88" s="27"/>
      <c r="M88" s="27"/>
      <c r="N88" s="27"/>
      <c r="O88" s="30"/>
      <c r="P88" s="30"/>
      <c r="Q88" s="30"/>
      <c r="R88" s="30"/>
      <c r="S88" s="30"/>
      <c r="V88" s="27"/>
      <c r="W88" s="27"/>
      <c r="X88" s="27"/>
      <c r="Y88" s="27"/>
      <c r="Z88" s="30"/>
      <c r="AA88" s="27"/>
      <c r="AB88" s="30"/>
      <c r="AE88" s="27"/>
      <c r="AF88" s="27"/>
      <c r="AG88" s="27"/>
      <c r="AJ88" s="27">
        <f t="shared" si="2"/>
        <v>0</v>
      </c>
      <c r="AK88" s="27">
        <f t="shared" si="3"/>
        <v>0</v>
      </c>
    </row>
    <row r="89" spans="1:37">
      <c r="A89" s="29"/>
      <c r="H89" s="30"/>
      <c r="I89" s="30"/>
      <c r="L89" s="27"/>
      <c r="M89" s="27"/>
      <c r="N89" s="27"/>
      <c r="O89" s="30"/>
      <c r="P89" s="30"/>
      <c r="Q89" s="30"/>
      <c r="R89" s="30"/>
      <c r="S89" s="30"/>
      <c r="V89" s="27"/>
      <c r="W89" s="27"/>
      <c r="X89" s="27"/>
      <c r="Y89" s="27"/>
      <c r="Z89" s="30"/>
      <c r="AA89" s="27"/>
      <c r="AB89" s="30"/>
      <c r="AE89" s="27"/>
      <c r="AF89" s="27"/>
      <c r="AG89" s="27"/>
      <c r="AJ89" s="27">
        <f t="shared" si="2"/>
        <v>0</v>
      </c>
      <c r="AK89" s="27">
        <f t="shared" si="3"/>
        <v>0</v>
      </c>
    </row>
    <row r="90" spans="1:37">
      <c r="A90" s="29"/>
      <c r="H90" s="30"/>
      <c r="I90" s="30"/>
      <c r="L90" s="27"/>
      <c r="M90" s="27"/>
      <c r="N90" s="27"/>
      <c r="O90" s="30"/>
      <c r="P90" s="30"/>
      <c r="Q90" s="30"/>
      <c r="R90" s="30"/>
      <c r="S90" s="30"/>
      <c r="V90" s="27"/>
      <c r="W90" s="27"/>
      <c r="X90" s="27"/>
      <c r="Y90" s="27"/>
      <c r="Z90" s="30"/>
      <c r="AA90" s="27"/>
      <c r="AB90" s="30"/>
      <c r="AE90" s="27"/>
      <c r="AF90" s="27"/>
      <c r="AG90" s="27"/>
      <c r="AJ90" s="27">
        <f t="shared" si="2"/>
        <v>0</v>
      </c>
      <c r="AK90" s="27">
        <f t="shared" si="3"/>
        <v>0</v>
      </c>
    </row>
    <row r="91" spans="1:37">
      <c r="A91" s="29"/>
      <c r="H91" s="30"/>
      <c r="I91" s="30"/>
      <c r="L91" s="27"/>
      <c r="M91" s="27"/>
      <c r="N91" s="27"/>
      <c r="O91" s="30"/>
      <c r="P91" s="30"/>
      <c r="Q91" s="30"/>
      <c r="R91" s="30"/>
      <c r="S91" s="30"/>
      <c r="V91" s="27"/>
      <c r="W91" s="27"/>
      <c r="X91" s="27"/>
      <c r="Y91" s="27"/>
      <c r="Z91" s="30"/>
      <c r="AA91" s="27"/>
      <c r="AB91" s="30"/>
      <c r="AE91" s="27"/>
      <c r="AF91" s="27"/>
      <c r="AG91" s="27"/>
      <c r="AJ91" s="27">
        <f t="shared" si="2"/>
        <v>0</v>
      </c>
      <c r="AK91" s="27">
        <f t="shared" si="3"/>
        <v>0</v>
      </c>
    </row>
    <row r="92" spans="1:37">
      <c r="A92" s="29"/>
      <c r="H92" s="30"/>
      <c r="I92" s="30"/>
      <c r="L92" s="27"/>
      <c r="M92" s="27"/>
      <c r="N92" s="27"/>
      <c r="O92" s="30"/>
      <c r="P92" s="30"/>
      <c r="Q92" s="30"/>
      <c r="R92" s="30"/>
      <c r="S92" s="30"/>
      <c r="V92" s="27"/>
      <c r="W92" s="27"/>
      <c r="X92" s="27"/>
      <c r="Y92" s="27"/>
      <c r="Z92" s="30"/>
      <c r="AA92" s="27"/>
      <c r="AB92" s="30"/>
      <c r="AE92" s="27"/>
      <c r="AF92" s="27"/>
      <c r="AG92" s="27"/>
      <c r="AJ92" s="27">
        <f t="shared" si="2"/>
        <v>0</v>
      </c>
      <c r="AK92" s="27">
        <f t="shared" si="3"/>
        <v>0</v>
      </c>
    </row>
    <row r="93" spans="1:37">
      <c r="A93" s="29"/>
      <c r="H93" s="30"/>
      <c r="I93" s="30"/>
      <c r="L93" s="27"/>
      <c r="M93" s="27"/>
      <c r="N93" s="27"/>
      <c r="O93" s="30"/>
      <c r="P93" s="30"/>
      <c r="Q93" s="30"/>
      <c r="R93" s="30"/>
      <c r="S93" s="30"/>
      <c r="V93" s="27"/>
      <c r="W93" s="27"/>
      <c r="X93" s="27"/>
      <c r="Y93" s="27"/>
      <c r="Z93" s="30"/>
      <c r="AA93" s="27"/>
      <c r="AB93" s="30"/>
      <c r="AE93" s="27"/>
      <c r="AF93" s="27"/>
      <c r="AG93" s="27"/>
      <c r="AJ93" s="27">
        <f t="shared" si="2"/>
        <v>0</v>
      </c>
      <c r="AK93" s="27">
        <f t="shared" si="3"/>
        <v>0</v>
      </c>
    </row>
    <row r="94" spans="1:37">
      <c r="A94" s="29"/>
      <c r="H94" s="30"/>
      <c r="I94" s="30"/>
      <c r="L94" s="27"/>
      <c r="M94" s="27"/>
      <c r="N94" s="27"/>
      <c r="O94" s="30"/>
      <c r="P94" s="30"/>
      <c r="Q94" s="30"/>
      <c r="R94" s="30"/>
      <c r="S94" s="30"/>
      <c r="V94" s="27"/>
      <c r="W94" s="27"/>
      <c r="X94" s="27"/>
      <c r="Y94" s="27"/>
      <c r="Z94" s="30"/>
      <c r="AA94" s="27"/>
      <c r="AB94" s="30"/>
      <c r="AE94" s="27"/>
      <c r="AF94" s="27"/>
      <c r="AG94" s="27"/>
      <c r="AJ94" s="27">
        <f t="shared" si="2"/>
        <v>0</v>
      </c>
      <c r="AK94" s="27">
        <f t="shared" si="3"/>
        <v>0</v>
      </c>
    </row>
    <row r="95" spans="1:37">
      <c r="A95" s="29"/>
      <c r="H95" s="30"/>
      <c r="I95" s="30"/>
      <c r="L95" s="27"/>
      <c r="M95" s="27"/>
      <c r="N95" s="27"/>
      <c r="O95" s="30"/>
      <c r="P95" s="30"/>
      <c r="Q95" s="30"/>
      <c r="R95" s="30"/>
      <c r="S95" s="30"/>
      <c r="V95" s="27"/>
      <c r="W95" s="27"/>
      <c r="X95" s="27"/>
      <c r="Y95" s="27"/>
      <c r="Z95" s="30"/>
      <c r="AA95" s="27"/>
      <c r="AB95" s="30"/>
      <c r="AE95" s="27"/>
      <c r="AF95" s="27"/>
      <c r="AG95" s="27"/>
      <c r="AJ95" s="27">
        <f t="shared" si="2"/>
        <v>0</v>
      </c>
      <c r="AK95" s="27">
        <f t="shared" si="3"/>
        <v>0</v>
      </c>
    </row>
    <row r="96" spans="1:37">
      <c r="A96" s="29"/>
      <c r="H96" s="30"/>
      <c r="I96" s="30"/>
      <c r="L96" s="27"/>
      <c r="M96" s="27"/>
      <c r="N96" s="27"/>
      <c r="O96" s="30"/>
      <c r="P96" s="30"/>
      <c r="Q96" s="30"/>
      <c r="R96" s="30"/>
      <c r="S96" s="30"/>
      <c r="V96" s="27"/>
      <c r="W96" s="27"/>
      <c r="X96" s="27"/>
      <c r="Y96" s="27"/>
      <c r="Z96" s="30"/>
      <c r="AA96" s="27"/>
      <c r="AB96" s="30"/>
      <c r="AE96" s="27"/>
      <c r="AF96" s="27"/>
      <c r="AG96" s="27"/>
      <c r="AJ96" s="27">
        <f t="shared" si="2"/>
        <v>0</v>
      </c>
      <c r="AK96" s="27">
        <f t="shared" si="3"/>
        <v>0</v>
      </c>
    </row>
    <row r="97" spans="1:37">
      <c r="A97" s="29"/>
      <c r="H97" s="30"/>
      <c r="I97" s="30"/>
      <c r="L97" s="27"/>
      <c r="M97" s="27"/>
      <c r="N97" s="27"/>
      <c r="O97" s="30"/>
      <c r="P97" s="30"/>
      <c r="Q97" s="30"/>
      <c r="R97" s="30"/>
      <c r="S97" s="30"/>
      <c r="V97" s="27"/>
      <c r="W97" s="27"/>
      <c r="X97" s="27"/>
      <c r="Y97" s="27"/>
      <c r="Z97" s="30"/>
      <c r="AA97" s="27"/>
      <c r="AB97" s="30"/>
      <c r="AE97" s="27"/>
      <c r="AF97" s="27"/>
      <c r="AG97" s="27"/>
      <c r="AJ97" s="27">
        <f t="shared" si="2"/>
        <v>0</v>
      </c>
      <c r="AK97" s="27">
        <f t="shared" si="3"/>
        <v>0</v>
      </c>
    </row>
    <row r="98" spans="1:37">
      <c r="A98" s="29"/>
      <c r="H98" s="30"/>
      <c r="I98" s="30"/>
      <c r="L98" s="27"/>
      <c r="M98" s="27"/>
      <c r="N98" s="27"/>
      <c r="O98" s="30"/>
      <c r="P98" s="30"/>
      <c r="Q98" s="30"/>
      <c r="R98" s="30"/>
      <c r="S98" s="30"/>
      <c r="V98" s="27"/>
      <c r="W98" s="27"/>
      <c r="X98" s="27"/>
      <c r="Y98" s="27"/>
      <c r="Z98" s="30"/>
      <c r="AA98" s="27"/>
      <c r="AB98" s="30"/>
      <c r="AE98" s="27"/>
      <c r="AF98" s="27"/>
      <c r="AG98" s="27"/>
      <c r="AJ98" s="27">
        <f t="shared" si="2"/>
        <v>0</v>
      </c>
      <c r="AK98" s="27">
        <f t="shared" si="3"/>
        <v>0</v>
      </c>
    </row>
    <row r="99" spans="1:37">
      <c r="A99" s="29"/>
      <c r="H99" s="30"/>
      <c r="I99" s="30"/>
      <c r="L99" s="27"/>
      <c r="M99" s="27"/>
      <c r="N99" s="27"/>
      <c r="O99" s="30"/>
      <c r="P99" s="30"/>
      <c r="Q99" s="30"/>
      <c r="R99" s="30"/>
      <c r="S99" s="30"/>
      <c r="V99" s="27"/>
      <c r="W99" s="27"/>
      <c r="X99" s="27"/>
      <c r="Y99" s="27"/>
      <c r="Z99" s="30"/>
      <c r="AA99" s="27"/>
      <c r="AB99" s="30"/>
      <c r="AE99" s="27"/>
      <c r="AF99" s="27"/>
      <c r="AG99" s="27"/>
      <c r="AJ99" s="27">
        <f t="shared" si="2"/>
        <v>0</v>
      </c>
      <c r="AK99" s="27">
        <f t="shared" si="3"/>
        <v>0</v>
      </c>
    </row>
    <row r="100" spans="1:37">
      <c r="A100" s="29"/>
      <c r="H100" s="30"/>
      <c r="I100" s="30"/>
      <c r="L100" s="27"/>
      <c r="M100" s="27"/>
      <c r="N100" s="27"/>
      <c r="O100" s="30"/>
      <c r="P100" s="30"/>
      <c r="Q100" s="30"/>
      <c r="R100" s="30"/>
      <c r="S100" s="30"/>
      <c r="V100" s="27"/>
      <c r="W100" s="27"/>
      <c r="X100" s="27"/>
      <c r="Y100" s="27"/>
      <c r="Z100" s="30"/>
      <c r="AA100" s="27"/>
      <c r="AB100" s="30"/>
      <c r="AE100" s="27"/>
      <c r="AF100" s="27"/>
      <c r="AG100" s="27"/>
      <c r="AJ100" s="27">
        <f t="shared" si="2"/>
        <v>0</v>
      </c>
      <c r="AK100" s="27">
        <f t="shared" si="3"/>
        <v>0</v>
      </c>
    </row>
    <row r="101" spans="1:37">
      <c r="A101" s="29"/>
      <c r="H101" s="30"/>
      <c r="I101" s="30"/>
      <c r="L101" s="27"/>
      <c r="M101" s="27"/>
      <c r="N101" s="27"/>
      <c r="O101" s="30"/>
      <c r="P101" s="30"/>
      <c r="Q101" s="30"/>
      <c r="R101" s="30"/>
      <c r="S101" s="30"/>
      <c r="V101" s="27"/>
      <c r="W101" s="27"/>
      <c r="X101" s="27"/>
      <c r="Y101" s="27"/>
      <c r="Z101" s="30"/>
      <c r="AA101" s="27"/>
      <c r="AB101" s="30"/>
      <c r="AE101" s="27"/>
      <c r="AF101" s="27"/>
      <c r="AG101" s="27"/>
      <c r="AJ101" s="27">
        <f t="shared" si="2"/>
        <v>0</v>
      </c>
      <c r="AK101" s="27">
        <f t="shared" si="3"/>
        <v>0</v>
      </c>
    </row>
    <row r="102" spans="1:37">
      <c r="A102" s="29"/>
      <c r="H102" s="30"/>
      <c r="I102" s="30"/>
      <c r="L102" s="27"/>
      <c r="M102" s="27"/>
      <c r="N102" s="27"/>
      <c r="O102" s="30"/>
      <c r="P102" s="30"/>
      <c r="Q102" s="30"/>
      <c r="R102" s="30"/>
      <c r="S102" s="30"/>
      <c r="V102" s="27"/>
      <c r="W102" s="27"/>
      <c r="X102" s="27"/>
      <c r="Y102" s="27"/>
      <c r="Z102" s="30"/>
      <c r="AA102" s="27"/>
      <c r="AB102" s="30"/>
      <c r="AE102" s="27"/>
      <c r="AF102" s="27"/>
      <c r="AG102" s="27"/>
      <c r="AJ102" s="27">
        <f t="shared" si="2"/>
        <v>0</v>
      </c>
      <c r="AK102" s="27">
        <f t="shared" si="3"/>
        <v>0</v>
      </c>
    </row>
    <row r="103" spans="1:37">
      <c r="A103" s="29"/>
      <c r="H103" s="30"/>
      <c r="I103" s="30"/>
      <c r="L103" s="27"/>
      <c r="M103" s="27"/>
      <c r="N103" s="27"/>
      <c r="O103" s="30"/>
      <c r="P103" s="30"/>
      <c r="Q103" s="30"/>
      <c r="R103" s="30"/>
      <c r="S103" s="30"/>
      <c r="V103" s="27"/>
      <c r="W103" s="27"/>
      <c r="X103" s="27"/>
      <c r="Y103" s="27"/>
      <c r="Z103" s="30"/>
      <c r="AA103" s="27"/>
      <c r="AB103" s="30"/>
      <c r="AE103" s="27"/>
      <c r="AF103" s="27"/>
      <c r="AG103" s="27"/>
      <c r="AJ103" s="27">
        <f t="shared" si="2"/>
        <v>0</v>
      </c>
      <c r="AK103" s="27">
        <f t="shared" si="3"/>
        <v>0</v>
      </c>
    </row>
    <row r="104" spans="1:37">
      <c r="A104" s="29"/>
      <c r="H104" s="30"/>
      <c r="I104" s="30"/>
      <c r="L104" s="27"/>
      <c r="M104" s="27"/>
      <c r="N104" s="27"/>
      <c r="O104" s="30"/>
      <c r="P104" s="30"/>
      <c r="Q104" s="30"/>
      <c r="R104" s="30"/>
      <c r="S104" s="30"/>
      <c r="V104" s="27"/>
      <c r="W104" s="27"/>
      <c r="X104" s="27"/>
      <c r="Y104" s="27"/>
      <c r="Z104" s="30"/>
      <c r="AA104" s="27"/>
      <c r="AB104" s="30"/>
      <c r="AE104" s="27"/>
      <c r="AF104" s="27"/>
      <c r="AG104" s="27"/>
      <c r="AJ104" s="27">
        <f t="shared" si="2"/>
        <v>0</v>
      </c>
      <c r="AK104" s="27">
        <f t="shared" si="3"/>
        <v>0</v>
      </c>
    </row>
    <row r="105" spans="1:37">
      <c r="A105" s="29"/>
      <c r="H105" s="30"/>
      <c r="I105" s="30"/>
      <c r="L105" s="27"/>
      <c r="M105" s="27"/>
      <c r="N105" s="27"/>
      <c r="O105" s="30"/>
      <c r="P105" s="30"/>
      <c r="Q105" s="30"/>
      <c r="R105" s="30"/>
      <c r="S105" s="30"/>
      <c r="V105" s="27"/>
      <c r="W105" s="27"/>
      <c r="X105" s="27"/>
      <c r="Y105" s="27"/>
      <c r="Z105" s="30"/>
      <c r="AA105" s="27"/>
      <c r="AB105" s="30"/>
      <c r="AE105" s="27"/>
      <c r="AF105" s="27"/>
      <c r="AG105" s="27"/>
      <c r="AJ105" s="27">
        <f t="shared" si="2"/>
        <v>0</v>
      </c>
      <c r="AK105" s="27">
        <f t="shared" si="3"/>
        <v>0</v>
      </c>
    </row>
    <row r="106" spans="1:37">
      <c r="A106" s="29"/>
      <c r="H106" s="30"/>
      <c r="I106" s="30"/>
      <c r="L106" s="27"/>
      <c r="M106" s="27"/>
      <c r="N106" s="27"/>
      <c r="O106" s="30"/>
      <c r="P106" s="30"/>
      <c r="Q106" s="30"/>
      <c r="R106" s="30"/>
      <c r="S106" s="30"/>
      <c r="V106" s="27"/>
      <c r="W106" s="27"/>
      <c r="X106" s="27"/>
      <c r="Y106" s="27"/>
      <c r="Z106" s="30"/>
      <c r="AA106" s="27"/>
      <c r="AB106" s="30"/>
      <c r="AE106" s="27"/>
      <c r="AF106" s="27"/>
      <c r="AG106" s="27"/>
      <c r="AJ106" s="27">
        <f t="shared" si="2"/>
        <v>0</v>
      </c>
      <c r="AK106" s="27">
        <f t="shared" si="3"/>
        <v>0</v>
      </c>
    </row>
    <row r="107" spans="1:37">
      <c r="A107" s="29"/>
      <c r="H107" s="30"/>
      <c r="I107" s="30"/>
      <c r="L107" s="27"/>
      <c r="M107" s="27"/>
      <c r="N107" s="27"/>
      <c r="O107" s="30"/>
      <c r="P107" s="30"/>
      <c r="Q107" s="30"/>
      <c r="R107" s="30"/>
      <c r="S107" s="30"/>
      <c r="V107" s="27"/>
      <c r="W107" s="27"/>
      <c r="X107" s="27"/>
      <c r="Y107" s="27"/>
      <c r="Z107" s="30"/>
      <c r="AA107" s="27"/>
      <c r="AB107" s="30"/>
      <c r="AE107" s="27"/>
      <c r="AF107" s="27"/>
      <c r="AG107" s="27"/>
      <c r="AJ107" s="27">
        <f t="shared" si="2"/>
        <v>0</v>
      </c>
      <c r="AK107" s="27">
        <f t="shared" si="3"/>
        <v>0</v>
      </c>
    </row>
    <row r="108" spans="1:37">
      <c r="A108" s="29"/>
      <c r="H108" s="30"/>
      <c r="I108" s="30"/>
      <c r="L108" s="27"/>
      <c r="M108" s="27"/>
      <c r="N108" s="27"/>
      <c r="O108" s="30"/>
      <c r="P108" s="30"/>
      <c r="Q108" s="30"/>
      <c r="R108" s="30"/>
      <c r="S108" s="30"/>
      <c r="V108" s="27"/>
      <c r="W108" s="27"/>
      <c r="X108" s="27"/>
      <c r="Y108" s="27"/>
      <c r="Z108" s="30"/>
      <c r="AA108" s="27"/>
      <c r="AB108" s="30"/>
      <c r="AE108" s="27"/>
      <c r="AF108" s="27"/>
      <c r="AG108" s="27"/>
      <c r="AJ108" s="27">
        <f t="shared" si="2"/>
        <v>0</v>
      </c>
      <c r="AK108" s="27">
        <f t="shared" si="3"/>
        <v>0</v>
      </c>
    </row>
    <row r="109" spans="1:37">
      <c r="A109" s="29"/>
      <c r="H109" s="30"/>
      <c r="I109" s="30"/>
      <c r="L109" s="27"/>
      <c r="M109" s="27"/>
      <c r="N109" s="27"/>
      <c r="O109" s="30"/>
      <c r="P109" s="30"/>
      <c r="Q109" s="30"/>
      <c r="R109" s="30"/>
      <c r="S109" s="30"/>
      <c r="V109" s="27"/>
      <c r="W109" s="27"/>
      <c r="X109" s="27"/>
      <c r="Y109" s="27"/>
      <c r="Z109" s="30"/>
      <c r="AA109" s="27"/>
      <c r="AB109" s="30"/>
      <c r="AE109" s="27"/>
      <c r="AF109" s="27"/>
      <c r="AG109" s="27"/>
      <c r="AJ109" s="27">
        <f t="shared" si="2"/>
        <v>0</v>
      </c>
      <c r="AK109" s="27">
        <f t="shared" si="3"/>
        <v>0</v>
      </c>
    </row>
    <row r="110" spans="1:37">
      <c r="A110" s="29"/>
      <c r="H110" s="30"/>
      <c r="I110" s="30"/>
      <c r="L110" s="27"/>
      <c r="M110" s="27"/>
      <c r="N110" s="27"/>
      <c r="O110" s="30"/>
      <c r="P110" s="30"/>
      <c r="Q110" s="30"/>
      <c r="R110" s="30"/>
      <c r="S110" s="30"/>
      <c r="V110" s="27"/>
      <c r="W110" s="27"/>
      <c r="X110" s="27"/>
      <c r="Y110" s="27"/>
      <c r="Z110" s="30"/>
      <c r="AA110" s="27"/>
      <c r="AB110" s="30"/>
      <c r="AE110" s="27"/>
      <c r="AF110" s="27"/>
      <c r="AG110" s="27"/>
      <c r="AJ110" s="27">
        <f t="shared" si="2"/>
        <v>0</v>
      </c>
      <c r="AK110" s="27">
        <f t="shared" si="3"/>
        <v>0</v>
      </c>
    </row>
    <row r="111" spans="1:37">
      <c r="A111" s="29"/>
      <c r="H111" s="30"/>
      <c r="I111" s="30"/>
      <c r="L111" s="27"/>
      <c r="M111" s="27"/>
      <c r="N111" s="27"/>
      <c r="O111" s="30"/>
      <c r="P111" s="30"/>
      <c r="Q111" s="30"/>
      <c r="R111" s="30"/>
      <c r="S111" s="30"/>
      <c r="V111" s="27"/>
      <c r="W111" s="27"/>
      <c r="X111" s="27"/>
      <c r="Y111" s="27"/>
      <c r="Z111" s="30"/>
      <c r="AA111" s="27"/>
      <c r="AB111" s="30"/>
      <c r="AE111" s="27"/>
      <c r="AF111" s="27"/>
      <c r="AG111" s="27"/>
      <c r="AJ111" s="27">
        <f t="shared" si="2"/>
        <v>0</v>
      </c>
      <c r="AK111" s="27">
        <f t="shared" si="3"/>
        <v>0</v>
      </c>
    </row>
    <row r="112" spans="1:37">
      <c r="A112" s="29"/>
      <c r="H112" s="30"/>
      <c r="I112" s="30"/>
      <c r="L112" s="27"/>
      <c r="M112" s="27"/>
      <c r="N112" s="27"/>
      <c r="O112" s="30"/>
      <c r="P112" s="30"/>
      <c r="Q112" s="30"/>
      <c r="R112" s="30"/>
      <c r="S112" s="30"/>
      <c r="V112" s="27"/>
      <c r="W112" s="27"/>
      <c r="X112" s="27"/>
      <c r="Y112" s="27"/>
      <c r="Z112" s="30"/>
      <c r="AA112" s="27"/>
      <c r="AB112" s="30"/>
      <c r="AE112" s="27"/>
      <c r="AF112" s="27"/>
      <c r="AG112" s="27"/>
      <c r="AJ112" s="27">
        <f t="shared" si="2"/>
        <v>0</v>
      </c>
      <c r="AK112" s="27">
        <f t="shared" si="3"/>
        <v>0</v>
      </c>
    </row>
    <row r="113" spans="1:37">
      <c r="A113" s="29"/>
      <c r="H113" s="30"/>
      <c r="I113" s="30"/>
      <c r="L113" s="27"/>
      <c r="M113" s="27"/>
      <c r="N113" s="27"/>
      <c r="O113" s="30"/>
      <c r="P113" s="30"/>
      <c r="Q113" s="30"/>
      <c r="R113" s="30"/>
      <c r="S113" s="30"/>
      <c r="V113" s="27"/>
      <c r="W113" s="27"/>
      <c r="X113" s="27"/>
      <c r="Y113" s="27"/>
      <c r="Z113" s="30"/>
      <c r="AA113" s="27"/>
      <c r="AB113" s="30"/>
      <c r="AE113" s="27"/>
      <c r="AF113" s="27"/>
      <c r="AG113" s="27"/>
      <c r="AJ113" s="27">
        <f t="shared" si="2"/>
        <v>0</v>
      </c>
      <c r="AK113" s="27">
        <f t="shared" si="3"/>
        <v>0</v>
      </c>
    </row>
    <row r="114" spans="1:37">
      <c r="A114" s="29"/>
      <c r="H114" s="30"/>
      <c r="I114" s="30"/>
      <c r="L114" s="27"/>
      <c r="M114" s="27"/>
      <c r="N114" s="27"/>
      <c r="O114" s="30"/>
      <c r="P114" s="30"/>
      <c r="Q114" s="30"/>
      <c r="R114" s="30"/>
      <c r="S114" s="30"/>
      <c r="V114" s="27"/>
      <c r="W114" s="27"/>
      <c r="X114" s="27"/>
      <c r="Y114" s="27"/>
      <c r="Z114" s="30"/>
      <c r="AA114" s="27"/>
      <c r="AB114" s="30"/>
      <c r="AE114" s="27"/>
      <c r="AF114" s="27"/>
      <c r="AG114" s="27"/>
      <c r="AJ114" s="27">
        <f t="shared" si="2"/>
        <v>0</v>
      </c>
      <c r="AK114" s="27">
        <f t="shared" si="3"/>
        <v>0</v>
      </c>
    </row>
    <row r="115" spans="1:37">
      <c r="A115" s="29"/>
      <c r="H115" s="30"/>
      <c r="I115" s="30"/>
      <c r="L115" s="27"/>
      <c r="M115" s="27"/>
      <c r="N115" s="27"/>
      <c r="O115" s="30"/>
      <c r="P115" s="30"/>
      <c r="Q115" s="30"/>
      <c r="R115" s="30"/>
      <c r="S115" s="30"/>
      <c r="V115" s="27"/>
      <c r="W115" s="27"/>
      <c r="X115" s="27"/>
      <c r="Y115" s="27"/>
      <c r="Z115" s="30"/>
      <c r="AA115" s="27"/>
      <c r="AB115" s="30"/>
      <c r="AE115" s="27"/>
      <c r="AF115" s="27"/>
      <c r="AG115" s="27"/>
      <c r="AJ115" s="27">
        <f t="shared" si="2"/>
        <v>0</v>
      </c>
      <c r="AK115" s="27">
        <f t="shared" si="3"/>
        <v>0</v>
      </c>
    </row>
    <row r="116" spans="1:37">
      <c r="A116" s="29"/>
      <c r="H116" s="30"/>
      <c r="I116" s="30"/>
      <c r="L116" s="27"/>
      <c r="M116" s="27"/>
      <c r="N116" s="27"/>
      <c r="O116" s="30"/>
      <c r="P116" s="30"/>
      <c r="Q116" s="30"/>
      <c r="R116" s="30"/>
      <c r="S116" s="30"/>
      <c r="V116" s="27"/>
      <c r="W116" s="27"/>
      <c r="X116" s="27"/>
      <c r="Y116" s="27"/>
      <c r="Z116" s="30"/>
      <c r="AA116" s="27"/>
      <c r="AB116" s="30"/>
      <c r="AE116" s="27"/>
      <c r="AF116" s="27"/>
      <c r="AG116" s="27"/>
      <c r="AJ116" s="27">
        <f t="shared" si="2"/>
        <v>0</v>
      </c>
      <c r="AK116" s="27">
        <f t="shared" si="3"/>
        <v>0</v>
      </c>
    </row>
    <row r="117" spans="1:37">
      <c r="A117" s="29"/>
      <c r="H117" s="30"/>
      <c r="I117" s="30"/>
      <c r="L117" s="27"/>
      <c r="M117" s="27"/>
      <c r="N117" s="27"/>
      <c r="O117" s="30"/>
      <c r="P117" s="30"/>
      <c r="Q117" s="30"/>
      <c r="R117" s="30"/>
      <c r="S117" s="30"/>
      <c r="V117" s="27"/>
      <c r="W117" s="27"/>
      <c r="X117" s="27"/>
      <c r="Y117" s="27"/>
      <c r="Z117" s="30"/>
      <c r="AA117" s="27"/>
      <c r="AB117" s="30"/>
      <c r="AE117" s="27"/>
      <c r="AF117" s="27"/>
      <c r="AG117" s="27"/>
      <c r="AJ117" s="27">
        <f t="shared" si="2"/>
        <v>0</v>
      </c>
      <c r="AK117" s="27">
        <f t="shared" si="3"/>
        <v>0</v>
      </c>
    </row>
    <row r="118" spans="1:37">
      <c r="A118" s="29"/>
      <c r="H118" s="30"/>
      <c r="I118" s="30"/>
      <c r="L118" s="27"/>
      <c r="M118" s="27"/>
      <c r="N118" s="27"/>
      <c r="O118" s="30"/>
      <c r="P118" s="30"/>
      <c r="Q118" s="30"/>
      <c r="R118" s="30"/>
      <c r="S118" s="30"/>
      <c r="V118" s="27"/>
      <c r="W118" s="27"/>
      <c r="X118" s="27"/>
      <c r="Y118" s="27"/>
      <c r="Z118" s="30"/>
      <c r="AA118" s="27"/>
      <c r="AB118" s="30"/>
      <c r="AE118" s="27"/>
      <c r="AF118" s="27"/>
      <c r="AG118" s="27"/>
      <c r="AJ118" s="27">
        <f t="shared" si="2"/>
        <v>0</v>
      </c>
      <c r="AK118" s="27">
        <f t="shared" si="3"/>
        <v>0</v>
      </c>
    </row>
    <row r="119" spans="1:37">
      <c r="A119" s="29"/>
      <c r="H119" s="30"/>
      <c r="I119" s="30"/>
      <c r="L119" s="27"/>
      <c r="M119" s="27"/>
      <c r="N119" s="27"/>
      <c r="O119" s="30"/>
      <c r="P119" s="30"/>
      <c r="Q119" s="30"/>
      <c r="R119" s="30"/>
      <c r="S119" s="30"/>
      <c r="V119" s="27"/>
      <c r="W119" s="27"/>
      <c r="X119" s="27"/>
      <c r="Y119" s="27"/>
      <c r="Z119" s="30"/>
      <c r="AA119" s="27"/>
      <c r="AB119" s="30"/>
      <c r="AE119" s="27"/>
      <c r="AF119" s="27"/>
      <c r="AG119" s="27"/>
      <c r="AJ119" s="27">
        <f t="shared" si="2"/>
        <v>0</v>
      </c>
      <c r="AK119" s="27">
        <f t="shared" si="3"/>
        <v>0</v>
      </c>
    </row>
    <row r="120" spans="1:37">
      <c r="A120" s="29"/>
      <c r="H120" s="30"/>
      <c r="I120" s="30"/>
      <c r="L120" s="27"/>
      <c r="M120" s="27"/>
      <c r="N120" s="27"/>
      <c r="O120" s="30"/>
      <c r="P120" s="30"/>
      <c r="Q120" s="30"/>
      <c r="R120" s="30"/>
      <c r="S120" s="30"/>
      <c r="V120" s="27"/>
      <c r="W120" s="27"/>
      <c r="X120" s="27"/>
      <c r="Y120" s="27"/>
      <c r="Z120" s="30"/>
      <c r="AA120" s="27"/>
      <c r="AB120" s="30"/>
      <c r="AE120" s="27"/>
      <c r="AF120" s="27"/>
      <c r="AG120" s="27"/>
      <c r="AJ120" s="27">
        <f t="shared" si="2"/>
        <v>0</v>
      </c>
      <c r="AK120" s="27">
        <f t="shared" si="3"/>
        <v>0</v>
      </c>
    </row>
    <row r="121" spans="1:37">
      <c r="A121" s="29"/>
      <c r="H121" s="30"/>
      <c r="I121" s="30"/>
      <c r="L121" s="27"/>
      <c r="M121" s="27"/>
      <c r="N121" s="27"/>
      <c r="O121" s="30"/>
      <c r="P121" s="30"/>
      <c r="Q121" s="30"/>
      <c r="R121" s="30"/>
      <c r="S121" s="30"/>
      <c r="V121" s="27"/>
      <c r="W121" s="27"/>
      <c r="X121" s="27"/>
      <c r="Y121" s="27"/>
      <c r="Z121" s="30"/>
      <c r="AA121" s="27"/>
      <c r="AB121" s="30"/>
      <c r="AE121" s="27"/>
      <c r="AF121" s="27"/>
      <c r="AG121" s="27"/>
      <c r="AJ121" s="27">
        <f t="shared" si="2"/>
        <v>0</v>
      </c>
      <c r="AK121" s="27">
        <f t="shared" si="3"/>
        <v>0</v>
      </c>
    </row>
    <row r="122" spans="1:37">
      <c r="A122" s="29"/>
      <c r="H122" s="30"/>
      <c r="I122" s="30"/>
      <c r="L122" s="27"/>
      <c r="M122" s="27"/>
      <c r="N122" s="27"/>
      <c r="O122" s="30"/>
      <c r="P122" s="30"/>
      <c r="Q122" s="30"/>
      <c r="R122" s="30"/>
      <c r="S122" s="30"/>
      <c r="V122" s="27"/>
      <c r="W122" s="27"/>
      <c r="X122" s="27"/>
      <c r="Y122" s="27"/>
      <c r="Z122" s="30"/>
      <c r="AA122" s="27"/>
      <c r="AB122" s="30"/>
      <c r="AE122" s="27"/>
      <c r="AF122" s="27"/>
      <c r="AG122" s="27"/>
      <c r="AJ122" s="27">
        <f t="shared" si="2"/>
        <v>0</v>
      </c>
      <c r="AK122" s="27">
        <f t="shared" si="3"/>
        <v>0</v>
      </c>
    </row>
    <row r="123" spans="1:37">
      <c r="A123" s="29"/>
      <c r="H123" s="30"/>
      <c r="I123" s="30"/>
      <c r="L123" s="27"/>
      <c r="M123" s="27"/>
      <c r="N123" s="27"/>
      <c r="O123" s="30"/>
      <c r="P123" s="30"/>
      <c r="Q123" s="30"/>
      <c r="R123" s="30"/>
      <c r="S123" s="30"/>
      <c r="V123" s="27"/>
      <c r="W123" s="27"/>
      <c r="X123" s="27"/>
      <c r="Y123" s="27"/>
      <c r="Z123" s="30"/>
      <c r="AA123" s="27"/>
      <c r="AB123" s="30"/>
      <c r="AE123" s="27"/>
      <c r="AF123" s="27"/>
      <c r="AG123" s="27"/>
      <c r="AJ123" s="27">
        <f t="shared" si="2"/>
        <v>0</v>
      </c>
      <c r="AK123" s="27">
        <f t="shared" si="3"/>
        <v>0</v>
      </c>
    </row>
    <row r="124" spans="1:37">
      <c r="A124" s="29"/>
      <c r="H124" s="30"/>
      <c r="I124" s="30"/>
      <c r="L124" s="27"/>
      <c r="M124" s="27"/>
      <c r="N124" s="27"/>
      <c r="O124" s="30"/>
      <c r="P124" s="30"/>
      <c r="Q124" s="30"/>
      <c r="R124" s="30"/>
      <c r="S124" s="30"/>
      <c r="V124" s="27"/>
      <c r="W124" s="27"/>
      <c r="X124" s="27"/>
      <c r="Y124" s="27"/>
      <c r="Z124" s="30"/>
      <c r="AA124" s="27"/>
      <c r="AB124" s="30"/>
      <c r="AE124" s="27"/>
      <c r="AF124" s="27"/>
      <c r="AG124" s="27"/>
      <c r="AJ124" s="27">
        <f t="shared" si="2"/>
        <v>0</v>
      </c>
      <c r="AK124" s="27">
        <f t="shared" si="3"/>
        <v>0</v>
      </c>
    </row>
    <row r="125" spans="1:37">
      <c r="A125" s="29"/>
      <c r="H125" s="30"/>
      <c r="I125" s="30"/>
      <c r="L125" s="27"/>
      <c r="M125" s="27"/>
      <c r="N125" s="27"/>
      <c r="O125" s="30"/>
      <c r="P125" s="30"/>
      <c r="Q125" s="30"/>
      <c r="R125" s="30"/>
      <c r="S125" s="30"/>
      <c r="V125" s="27"/>
      <c r="W125" s="27"/>
      <c r="X125" s="27"/>
      <c r="Y125" s="27"/>
      <c r="Z125" s="30"/>
      <c r="AA125" s="27"/>
      <c r="AB125" s="30"/>
      <c r="AE125" s="27"/>
      <c r="AF125" s="27"/>
      <c r="AG125" s="27"/>
      <c r="AJ125" s="27">
        <f t="shared" si="2"/>
        <v>0</v>
      </c>
      <c r="AK125" s="27">
        <f t="shared" si="3"/>
        <v>0</v>
      </c>
    </row>
    <row r="126" spans="1:37">
      <c r="A126" s="29"/>
      <c r="H126" s="30"/>
      <c r="I126" s="30"/>
      <c r="L126" s="27"/>
      <c r="M126" s="27"/>
      <c r="N126" s="27"/>
      <c r="O126" s="30"/>
      <c r="P126" s="30"/>
      <c r="Q126" s="30"/>
      <c r="R126" s="30"/>
      <c r="S126" s="30"/>
      <c r="V126" s="27"/>
      <c r="W126" s="27"/>
      <c r="X126" s="27"/>
      <c r="Y126" s="27"/>
      <c r="Z126" s="30"/>
      <c r="AA126" s="27"/>
      <c r="AB126" s="30"/>
      <c r="AE126" s="27"/>
      <c r="AF126" s="27"/>
      <c r="AG126" s="27"/>
      <c r="AJ126" s="27">
        <f t="shared" si="2"/>
        <v>0</v>
      </c>
      <c r="AK126" s="27">
        <f t="shared" si="3"/>
        <v>0</v>
      </c>
    </row>
    <row r="127" spans="1:37">
      <c r="A127" s="29"/>
      <c r="H127" s="30"/>
      <c r="I127" s="30"/>
      <c r="L127" s="27"/>
      <c r="M127" s="27"/>
      <c r="N127" s="27"/>
      <c r="O127" s="30"/>
      <c r="P127" s="30"/>
      <c r="Q127" s="30"/>
      <c r="R127" s="30"/>
      <c r="S127" s="30"/>
      <c r="V127" s="27"/>
      <c r="W127" s="27"/>
      <c r="X127" s="27"/>
      <c r="Y127" s="27"/>
      <c r="Z127" s="30"/>
      <c r="AA127" s="27"/>
      <c r="AB127" s="30"/>
      <c r="AE127" s="27"/>
      <c r="AF127" s="27"/>
      <c r="AG127" s="27"/>
      <c r="AJ127" s="27">
        <f t="shared" si="2"/>
        <v>0</v>
      </c>
      <c r="AK127" s="27">
        <f t="shared" si="3"/>
        <v>0</v>
      </c>
    </row>
    <row r="128" spans="1:37">
      <c r="A128" s="29"/>
      <c r="H128" s="30"/>
      <c r="I128" s="30"/>
      <c r="L128" s="27"/>
      <c r="M128" s="27"/>
      <c r="N128" s="27"/>
      <c r="O128" s="30"/>
      <c r="P128" s="30"/>
      <c r="Q128" s="30"/>
      <c r="R128" s="30"/>
      <c r="S128" s="30"/>
      <c r="V128" s="27"/>
      <c r="W128" s="27"/>
      <c r="X128" s="27"/>
      <c r="Y128" s="27"/>
      <c r="Z128" s="30"/>
      <c r="AA128" s="27"/>
      <c r="AB128" s="30"/>
      <c r="AE128" s="27"/>
      <c r="AF128" s="27"/>
      <c r="AG128" s="27"/>
      <c r="AJ128" s="27">
        <f t="shared" si="2"/>
        <v>0</v>
      </c>
      <c r="AK128" s="27">
        <f t="shared" si="3"/>
        <v>0</v>
      </c>
    </row>
    <row r="129" spans="1:37">
      <c r="A129" s="29"/>
      <c r="H129" s="30"/>
      <c r="I129" s="30"/>
      <c r="L129" s="27"/>
      <c r="M129" s="27"/>
      <c r="N129" s="27"/>
      <c r="O129" s="30"/>
      <c r="P129" s="30"/>
      <c r="Q129" s="30"/>
      <c r="R129" s="30"/>
      <c r="S129" s="30"/>
      <c r="V129" s="27"/>
      <c r="W129" s="27"/>
      <c r="X129" s="27"/>
      <c r="Y129" s="27"/>
      <c r="Z129" s="30"/>
      <c r="AA129" s="27"/>
      <c r="AB129" s="30"/>
      <c r="AE129" s="27"/>
      <c r="AF129" s="27"/>
      <c r="AG129" s="27"/>
      <c r="AJ129" s="27">
        <f t="shared" si="2"/>
        <v>0</v>
      </c>
      <c r="AK129" s="27">
        <f t="shared" si="3"/>
        <v>0</v>
      </c>
    </row>
    <row r="130" spans="1:37">
      <c r="A130" s="29"/>
      <c r="H130" s="30"/>
      <c r="I130" s="30"/>
      <c r="L130" s="27"/>
      <c r="M130" s="27"/>
      <c r="N130" s="27"/>
      <c r="O130" s="30"/>
      <c r="P130" s="30"/>
      <c r="Q130" s="30"/>
      <c r="R130" s="30"/>
      <c r="S130" s="30"/>
      <c r="V130" s="27"/>
      <c r="W130" s="27"/>
      <c r="X130" s="27"/>
      <c r="Y130" s="27"/>
      <c r="Z130" s="30"/>
      <c r="AA130" s="27"/>
      <c r="AB130" s="30"/>
      <c r="AE130" s="27"/>
      <c r="AF130" s="27"/>
      <c r="AG130" s="27"/>
      <c r="AJ130" s="27">
        <f t="shared" ref="AJ130:AJ193" si="4">SUM(V130:Y130)+AG130</f>
        <v>0</v>
      </c>
      <c r="AK130" s="27">
        <f t="shared" ref="AK130:AK193" si="5">MAX(M130-N130,0)+MAX(AJ130-AA130,0)+AE130+AF130</f>
        <v>0</v>
      </c>
    </row>
    <row r="131" spans="1:37">
      <c r="A131" s="29"/>
      <c r="H131" s="30"/>
      <c r="I131" s="30"/>
      <c r="L131" s="27"/>
      <c r="M131" s="27"/>
      <c r="N131" s="27"/>
      <c r="O131" s="30"/>
      <c r="P131" s="30"/>
      <c r="Q131" s="30"/>
      <c r="R131" s="30"/>
      <c r="S131" s="30"/>
      <c r="V131" s="27"/>
      <c r="W131" s="27"/>
      <c r="X131" s="27"/>
      <c r="Y131" s="27"/>
      <c r="Z131" s="30"/>
      <c r="AA131" s="27"/>
      <c r="AB131" s="30"/>
      <c r="AE131" s="27"/>
      <c r="AF131" s="27"/>
      <c r="AG131" s="27"/>
      <c r="AJ131" s="27">
        <f t="shared" si="4"/>
        <v>0</v>
      </c>
      <c r="AK131" s="27">
        <f t="shared" si="5"/>
        <v>0</v>
      </c>
    </row>
    <row r="132" spans="1:37">
      <c r="A132" s="29"/>
      <c r="H132" s="30"/>
      <c r="I132" s="30"/>
      <c r="L132" s="27"/>
      <c r="M132" s="27"/>
      <c r="N132" s="27"/>
      <c r="O132" s="30"/>
      <c r="P132" s="30"/>
      <c r="Q132" s="30"/>
      <c r="R132" s="30"/>
      <c r="S132" s="30"/>
      <c r="V132" s="27"/>
      <c r="W132" s="27"/>
      <c r="X132" s="27"/>
      <c r="Y132" s="27"/>
      <c r="Z132" s="30"/>
      <c r="AA132" s="27"/>
      <c r="AB132" s="30"/>
      <c r="AE132" s="27"/>
      <c r="AF132" s="27"/>
      <c r="AG132" s="27"/>
      <c r="AJ132" s="27">
        <f t="shared" si="4"/>
        <v>0</v>
      </c>
      <c r="AK132" s="27">
        <f t="shared" si="5"/>
        <v>0</v>
      </c>
    </row>
    <row r="133" spans="1:37">
      <c r="A133" s="29"/>
      <c r="H133" s="30"/>
      <c r="I133" s="30"/>
      <c r="L133" s="27"/>
      <c r="M133" s="27"/>
      <c r="N133" s="27"/>
      <c r="O133" s="30"/>
      <c r="P133" s="30"/>
      <c r="Q133" s="30"/>
      <c r="R133" s="30"/>
      <c r="S133" s="30"/>
      <c r="V133" s="27"/>
      <c r="W133" s="27"/>
      <c r="X133" s="27"/>
      <c r="Y133" s="27"/>
      <c r="Z133" s="30"/>
      <c r="AA133" s="27"/>
      <c r="AB133" s="30"/>
      <c r="AE133" s="27"/>
      <c r="AF133" s="27"/>
      <c r="AG133" s="27"/>
      <c r="AJ133" s="27">
        <f t="shared" si="4"/>
        <v>0</v>
      </c>
      <c r="AK133" s="27">
        <f t="shared" si="5"/>
        <v>0</v>
      </c>
    </row>
    <row r="134" spans="1:37">
      <c r="A134" s="29"/>
      <c r="H134" s="30"/>
      <c r="I134" s="30"/>
      <c r="L134" s="27"/>
      <c r="M134" s="27"/>
      <c r="N134" s="27"/>
      <c r="O134" s="30"/>
      <c r="P134" s="30"/>
      <c r="Q134" s="30"/>
      <c r="R134" s="30"/>
      <c r="S134" s="30"/>
      <c r="V134" s="27"/>
      <c r="W134" s="27"/>
      <c r="X134" s="27"/>
      <c r="Y134" s="27"/>
      <c r="Z134" s="30"/>
      <c r="AA134" s="27"/>
      <c r="AB134" s="30"/>
      <c r="AE134" s="27"/>
      <c r="AF134" s="27"/>
      <c r="AG134" s="27"/>
      <c r="AJ134" s="27">
        <f t="shared" si="4"/>
        <v>0</v>
      </c>
      <c r="AK134" s="27">
        <f t="shared" si="5"/>
        <v>0</v>
      </c>
    </row>
    <row r="135" spans="1:37">
      <c r="A135" s="29"/>
      <c r="H135" s="30"/>
      <c r="I135" s="30"/>
      <c r="L135" s="27"/>
      <c r="M135" s="27"/>
      <c r="N135" s="27"/>
      <c r="O135" s="30"/>
      <c r="P135" s="30"/>
      <c r="Q135" s="30"/>
      <c r="R135" s="30"/>
      <c r="S135" s="30"/>
      <c r="V135" s="27"/>
      <c r="W135" s="27"/>
      <c r="X135" s="27"/>
      <c r="Y135" s="27"/>
      <c r="Z135" s="30"/>
      <c r="AA135" s="27"/>
      <c r="AB135" s="30"/>
      <c r="AE135" s="27"/>
      <c r="AF135" s="27"/>
      <c r="AG135" s="27"/>
      <c r="AJ135" s="27">
        <f t="shared" si="4"/>
        <v>0</v>
      </c>
      <c r="AK135" s="27">
        <f t="shared" si="5"/>
        <v>0</v>
      </c>
    </row>
    <row r="136" spans="1:37">
      <c r="A136" s="29"/>
      <c r="H136" s="30"/>
      <c r="I136" s="30"/>
      <c r="L136" s="27"/>
      <c r="M136" s="27"/>
      <c r="N136" s="27"/>
      <c r="O136" s="30"/>
      <c r="P136" s="30"/>
      <c r="Q136" s="30"/>
      <c r="R136" s="30"/>
      <c r="S136" s="30"/>
      <c r="V136" s="27"/>
      <c r="W136" s="27"/>
      <c r="X136" s="27"/>
      <c r="Y136" s="27"/>
      <c r="Z136" s="30"/>
      <c r="AA136" s="27"/>
      <c r="AB136" s="30"/>
      <c r="AE136" s="27"/>
      <c r="AF136" s="27"/>
      <c r="AG136" s="27"/>
      <c r="AJ136" s="27">
        <f t="shared" si="4"/>
        <v>0</v>
      </c>
      <c r="AK136" s="27">
        <f t="shared" si="5"/>
        <v>0</v>
      </c>
    </row>
    <row r="137" spans="1:37">
      <c r="A137" s="29"/>
      <c r="H137" s="30"/>
      <c r="I137" s="30"/>
      <c r="L137" s="27"/>
      <c r="M137" s="27"/>
      <c r="N137" s="27"/>
      <c r="O137" s="30"/>
      <c r="P137" s="30"/>
      <c r="Q137" s="30"/>
      <c r="R137" s="30"/>
      <c r="S137" s="30"/>
      <c r="V137" s="27"/>
      <c r="W137" s="27"/>
      <c r="X137" s="27"/>
      <c r="Y137" s="27"/>
      <c r="Z137" s="30"/>
      <c r="AA137" s="27"/>
      <c r="AB137" s="30"/>
      <c r="AE137" s="27"/>
      <c r="AF137" s="27"/>
      <c r="AG137" s="27"/>
      <c r="AJ137" s="27">
        <f t="shared" si="4"/>
        <v>0</v>
      </c>
      <c r="AK137" s="27">
        <f t="shared" si="5"/>
        <v>0</v>
      </c>
    </row>
    <row r="138" spans="1:37">
      <c r="A138" s="29"/>
      <c r="H138" s="30"/>
      <c r="I138" s="30"/>
      <c r="L138" s="27"/>
      <c r="M138" s="27"/>
      <c r="N138" s="27"/>
      <c r="O138" s="30"/>
      <c r="P138" s="30"/>
      <c r="Q138" s="30"/>
      <c r="R138" s="30"/>
      <c r="S138" s="30"/>
      <c r="V138" s="27"/>
      <c r="W138" s="27"/>
      <c r="X138" s="27"/>
      <c r="Y138" s="27"/>
      <c r="Z138" s="30"/>
      <c r="AA138" s="27"/>
      <c r="AB138" s="30"/>
      <c r="AE138" s="27"/>
      <c r="AF138" s="27"/>
      <c r="AG138" s="27"/>
      <c r="AJ138" s="27">
        <f t="shared" si="4"/>
        <v>0</v>
      </c>
      <c r="AK138" s="27">
        <f t="shared" si="5"/>
        <v>0</v>
      </c>
    </row>
    <row r="139" spans="1:37">
      <c r="A139" s="29"/>
      <c r="H139" s="30"/>
      <c r="I139" s="30"/>
      <c r="L139" s="27"/>
      <c r="M139" s="27"/>
      <c r="N139" s="27"/>
      <c r="O139" s="30"/>
      <c r="P139" s="30"/>
      <c r="Q139" s="30"/>
      <c r="R139" s="30"/>
      <c r="S139" s="30"/>
      <c r="V139" s="27"/>
      <c r="W139" s="27"/>
      <c r="X139" s="27"/>
      <c r="Y139" s="27"/>
      <c r="Z139" s="30"/>
      <c r="AA139" s="27"/>
      <c r="AB139" s="30"/>
      <c r="AE139" s="27"/>
      <c r="AF139" s="27"/>
      <c r="AG139" s="27"/>
      <c r="AJ139" s="27">
        <f t="shared" si="4"/>
        <v>0</v>
      </c>
      <c r="AK139" s="27">
        <f t="shared" si="5"/>
        <v>0</v>
      </c>
    </row>
    <row r="140" spans="1:37">
      <c r="A140" s="29"/>
      <c r="H140" s="30"/>
      <c r="I140" s="30"/>
      <c r="L140" s="27"/>
      <c r="M140" s="27"/>
      <c r="N140" s="27"/>
      <c r="O140" s="30"/>
      <c r="P140" s="30"/>
      <c r="Q140" s="30"/>
      <c r="R140" s="30"/>
      <c r="S140" s="30"/>
      <c r="V140" s="27"/>
      <c r="W140" s="27"/>
      <c r="X140" s="27"/>
      <c r="Y140" s="27"/>
      <c r="Z140" s="30"/>
      <c r="AA140" s="27"/>
      <c r="AB140" s="30"/>
      <c r="AE140" s="27"/>
      <c r="AF140" s="27"/>
      <c r="AG140" s="27"/>
      <c r="AJ140" s="27">
        <f t="shared" si="4"/>
        <v>0</v>
      </c>
      <c r="AK140" s="27">
        <f t="shared" si="5"/>
        <v>0</v>
      </c>
    </row>
    <row r="141" spans="1:37">
      <c r="A141" s="29"/>
      <c r="H141" s="30"/>
      <c r="I141" s="30"/>
      <c r="L141" s="27"/>
      <c r="M141" s="27"/>
      <c r="N141" s="27"/>
      <c r="O141" s="30"/>
      <c r="P141" s="30"/>
      <c r="Q141" s="30"/>
      <c r="R141" s="30"/>
      <c r="S141" s="30"/>
      <c r="V141" s="27"/>
      <c r="W141" s="27"/>
      <c r="X141" s="27"/>
      <c r="Y141" s="27"/>
      <c r="Z141" s="30"/>
      <c r="AA141" s="27"/>
      <c r="AB141" s="30"/>
      <c r="AE141" s="27"/>
      <c r="AF141" s="27"/>
      <c r="AG141" s="27"/>
      <c r="AJ141" s="27">
        <f t="shared" si="4"/>
        <v>0</v>
      </c>
      <c r="AK141" s="27">
        <f t="shared" si="5"/>
        <v>0</v>
      </c>
    </row>
    <row r="142" spans="1:37">
      <c r="A142" s="29"/>
      <c r="H142" s="30"/>
      <c r="I142" s="30"/>
      <c r="L142" s="27"/>
      <c r="M142" s="27"/>
      <c r="N142" s="27"/>
      <c r="O142" s="30"/>
      <c r="P142" s="30"/>
      <c r="Q142" s="30"/>
      <c r="R142" s="30"/>
      <c r="S142" s="30"/>
      <c r="V142" s="27"/>
      <c r="W142" s="27"/>
      <c r="X142" s="27"/>
      <c r="Y142" s="27"/>
      <c r="Z142" s="30"/>
      <c r="AA142" s="27"/>
      <c r="AB142" s="30"/>
      <c r="AE142" s="27"/>
      <c r="AF142" s="27"/>
      <c r="AG142" s="27"/>
      <c r="AJ142" s="27">
        <f t="shared" si="4"/>
        <v>0</v>
      </c>
      <c r="AK142" s="27">
        <f t="shared" si="5"/>
        <v>0</v>
      </c>
    </row>
    <row r="143" spans="1:37">
      <c r="A143" s="29"/>
      <c r="H143" s="30"/>
      <c r="I143" s="30"/>
      <c r="L143" s="27"/>
      <c r="M143" s="27"/>
      <c r="N143" s="27"/>
      <c r="O143" s="30"/>
      <c r="P143" s="30"/>
      <c r="Q143" s="30"/>
      <c r="R143" s="30"/>
      <c r="S143" s="30"/>
      <c r="V143" s="27"/>
      <c r="W143" s="27"/>
      <c r="X143" s="27"/>
      <c r="Y143" s="27"/>
      <c r="Z143" s="30"/>
      <c r="AA143" s="27"/>
      <c r="AB143" s="30"/>
      <c r="AE143" s="27"/>
      <c r="AF143" s="27"/>
      <c r="AG143" s="27"/>
      <c r="AJ143" s="27">
        <f t="shared" si="4"/>
        <v>0</v>
      </c>
      <c r="AK143" s="27">
        <f t="shared" si="5"/>
        <v>0</v>
      </c>
    </row>
    <row r="144" spans="1:37">
      <c r="A144" s="29"/>
      <c r="H144" s="30"/>
      <c r="I144" s="30"/>
      <c r="L144" s="27"/>
      <c r="M144" s="27"/>
      <c r="N144" s="27"/>
      <c r="O144" s="30"/>
      <c r="P144" s="30"/>
      <c r="Q144" s="30"/>
      <c r="R144" s="30"/>
      <c r="S144" s="30"/>
      <c r="V144" s="27"/>
      <c r="W144" s="27"/>
      <c r="X144" s="27"/>
      <c r="Y144" s="27"/>
      <c r="Z144" s="30"/>
      <c r="AA144" s="27"/>
      <c r="AB144" s="30"/>
      <c r="AE144" s="27"/>
      <c r="AF144" s="27"/>
      <c r="AG144" s="27"/>
      <c r="AJ144" s="27">
        <f t="shared" si="4"/>
        <v>0</v>
      </c>
      <c r="AK144" s="27">
        <f t="shared" si="5"/>
        <v>0</v>
      </c>
    </row>
    <row r="145" spans="1:37">
      <c r="A145" s="29"/>
      <c r="H145" s="30"/>
      <c r="I145" s="30"/>
      <c r="L145" s="27"/>
      <c r="M145" s="27"/>
      <c r="N145" s="27"/>
      <c r="O145" s="30"/>
      <c r="P145" s="30"/>
      <c r="Q145" s="30"/>
      <c r="R145" s="30"/>
      <c r="S145" s="30"/>
      <c r="V145" s="27"/>
      <c r="W145" s="27"/>
      <c r="X145" s="27"/>
      <c r="Y145" s="27"/>
      <c r="Z145" s="30"/>
      <c r="AA145" s="27"/>
      <c r="AB145" s="30"/>
      <c r="AE145" s="27"/>
      <c r="AF145" s="27"/>
      <c r="AG145" s="27"/>
      <c r="AJ145" s="27">
        <f t="shared" si="4"/>
        <v>0</v>
      </c>
      <c r="AK145" s="27">
        <f t="shared" si="5"/>
        <v>0</v>
      </c>
    </row>
    <row r="146" spans="1:37">
      <c r="A146" s="29"/>
      <c r="H146" s="30"/>
      <c r="I146" s="30"/>
      <c r="L146" s="27"/>
      <c r="M146" s="27"/>
      <c r="N146" s="27"/>
      <c r="O146" s="30"/>
      <c r="P146" s="30"/>
      <c r="Q146" s="30"/>
      <c r="R146" s="30"/>
      <c r="S146" s="30"/>
      <c r="V146" s="27"/>
      <c r="W146" s="27"/>
      <c r="X146" s="27"/>
      <c r="Y146" s="27"/>
      <c r="Z146" s="30"/>
      <c r="AA146" s="27"/>
      <c r="AB146" s="30"/>
      <c r="AE146" s="27"/>
      <c r="AF146" s="27"/>
      <c r="AG146" s="27"/>
      <c r="AJ146" s="27">
        <f t="shared" si="4"/>
        <v>0</v>
      </c>
      <c r="AK146" s="27">
        <f t="shared" si="5"/>
        <v>0</v>
      </c>
    </row>
    <row r="147" spans="1:37">
      <c r="A147" s="29"/>
      <c r="H147" s="30"/>
      <c r="I147" s="30"/>
      <c r="L147" s="27"/>
      <c r="M147" s="27"/>
      <c r="N147" s="27"/>
      <c r="O147" s="30"/>
      <c r="P147" s="30"/>
      <c r="Q147" s="30"/>
      <c r="R147" s="30"/>
      <c r="S147" s="30"/>
      <c r="V147" s="27"/>
      <c r="W147" s="27"/>
      <c r="X147" s="27"/>
      <c r="Y147" s="27"/>
      <c r="Z147" s="30"/>
      <c r="AA147" s="27"/>
      <c r="AB147" s="30"/>
      <c r="AE147" s="27"/>
      <c r="AF147" s="27"/>
      <c r="AG147" s="27"/>
      <c r="AJ147" s="27">
        <f t="shared" si="4"/>
        <v>0</v>
      </c>
      <c r="AK147" s="27">
        <f t="shared" si="5"/>
        <v>0</v>
      </c>
    </row>
    <row r="148" spans="1:37">
      <c r="A148" s="29"/>
      <c r="H148" s="30"/>
      <c r="I148" s="30"/>
      <c r="L148" s="27"/>
      <c r="M148" s="27"/>
      <c r="N148" s="27"/>
      <c r="O148" s="30"/>
      <c r="P148" s="30"/>
      <c r="Q148" s="30"/>
      <c r="R148" s="30"/>
      <c r="S148" s="30"/>
      <c r="V148" s="27"/>
      <c r="W148" s="27"/>
      <c r="X148" s="27"/>
      <c r="Y148" s="27"/>
      <c r="Z148" s="30"/>
      <c r="AA148" s="27"/>
      <c r="AB148" s="30"/>
      <c r="AE148" s="27"/>
      <c r="AF148" s="27"/>
      <c r="AG148" s="27"/>
      <c r="AJ148" s="27">
        <f t="shared" si="4"/>
        <v>0</v>
      </c>
      <c r="AK148" s="27">
        <f t="shared" si="5"/>
        <v>0</v>
      </c>
    </row>
    <row r="149" spans="1:37">
      <c r="A149" s="29"/>
      <c r="H149" s="30"/>
      <c r="I149" s="30"/>
      <c r="L149" s="27"/>
      <c r="M149" s="27"/>
      <c r="N149" s="27"/>
      <c r="O149" s="30"/>
      <c r="P149" s="30"/>
      <c r="Q149" s="30"/>
      <c r="R149" s="30"/>
      <c r="S149" s="30"/>
      <c r="V149" s="27"/>
      <c r="W149" s="27"/>
      <c r="X149" s="27"/>
      <c r="Y149" s="27"/>
      <c r="Z149" s="30"/>
      <c r="AA149" s="27"/>
      <c r="AB149" s="30"/>
      <c r="AE149" s="27"/>
      <c r="AF149" s="27"/>
      <c r="AG149" s="27"/>
      <c r="AJ149" s="27">
        <f t="shared" si="4"/>
        <v>0</v>
      </c>
      <c r="AK149" s="27">
        <f t="shared" si="5"/>
        <v>0</v>
      </c>
    </row>
    <row r="150" spans="1:37">
      <c r="A150" s="29"/>
      <c r="H150" s="30"/>
      <c r="I150" s="30"/>
      <c r="L150" s="27"/>
      <c r="M150" s="27"/>
      <c r="N150" s="27"/>
      <c r="O150" s="30"/>
      <c r="P150" s="30"/>
      <c r="Q150" s="30"/>
      <c r="R150" s="30"/>
      <c r="S150" s="30"/>
      <c r="V150" s="27"/>
      <c r="W150" s="27"/>
      <c r="X150" s="27"/>
      <c r="Y150" s="27"/>
      <c r="Z150" s="30"/>
      <c r="AA150" s="27"/>
      <c r="AB150" s="30"/>
      <c r="AE150" s="27"/>
      <c r="AF150" s="27"/>
      <c r="AG150" s="27"/>
      <c r="AJ150" s="27">
        <f t="shared" si="4"/>
        <v>0</v>
      </c>
      <c r="AK150" s="27">
        <f t="shared" si="5"/>
        <v>0</v>
      </c>
    </row>
    <row r="151" spans="1:37">
      <c r="A151" s="29"/>
      <c r="H151" s="30"/>
      <c r="I151" s="30"/>
      <c r="L151" s="27"/>
      <c r="M151" s="27"/>
      <c r="N151" s="27"/>
      <c r="O151" s="30"/>
      <c r="P151" s="30"/>
      <c r="Q151" s="30"/>
      <c r="R151" s="30"/>
      <c r="S151" s="30"/>
      <c r="V151" s="27"/>
      <c r="W151" s="27"/>
      <c r="X151" s="27"/>
      <c r="Y151" s="27"/>
      <c r="Z151" s="30"/>
      <c r="AA151" s="27"/>
      <c r="AB151" s="30"/>
      <c r="AE151" s="27"/>
      <c r="AF151" s="27"/>
      <c r="AG151" s="27"/>
      <c r="AJ151" s="27">
        <f t="shared" si="4"/>
        <v>0</v>
      </c>
      <c r="AK151" s="27">
        <f t="shared" si="5"/>
        <v>0</v>
      </c>
    </row>
    <row r="152" spans="1:37">
      <c r="A152" s="29"/>
      <c r="H152" s="30"/>
      <c r="I152" s="30"/>
      <c r="L152" s="27"/>
      <c r="M152" s="27"/>
      <c r="N152" s="27"/>
      <c r="O152" s="30"/>
      <c r="P152" s="30"/>
      <c r="Q152" s="30"/>
      <c r="R152" s="30"/>
      <c r="S152" s="30"/>
      <c r="V152" s="27"/>
      <c r="W152" s="27"/>
      <c r="X152" s="27"/>
      <c r="Y152" s="27"/>
      <c r="Z152" s="30"/>
      <c r="AA152" s="27"/>
      <c r="AB152" s="30"/>
      <c r="AE152" s="27"/>
      <c r="AF152" s="27"/>
      <c r="AG152" s="27"/>
      <c r="AJ152" s="27">
        <f t="shared" si="4"/>
        <v>0</v>
      </c>
      <c r="AK152" s="27">
        <f t="shared" si="5"/>
        <v>0</v>
      </c>
    </row>
    <row r="153" spans="1:37">
      <c r="A153" s="29"/>
      <c r="H153" s="30"/>
      <c r="I153" s="30"/>
      <c r="L153" s="27"/>
      <c r="M153" s="27"/>
      <c r="N153" s="27"/>
      <c r="O153" s="30"/>
      <c r="P153" s="30"/>
      <c r="Q153" s="30"/>
      <c r="R153" s="30"/>
      <c r="S153" s="30"/>
      <c r="V153" s="27"/>
      <c r="W153" s="27"/>
      <c r="X153" s="27"/>
      <c r="Y153" s="27"/>
      <c r="Z153" s="30"/>
      <c r="AA153" s="27"/>
      <c r="AB153" s="30"/>
      <c r="AE153" s="27"/>
      <c r="AF153" s="27"/>
      <c r="AG153" s="27"/>
      <c r="AJ153" s="27">
        <f t="shared" si="4"/>
        <v>0</v>
      </c>
      <c r="AK153" s="27">
        <f t="shared" si="5"/>
        <v>0</v>
      </c>
    </row>
    <row r="154" spans="1:37">
      <c r="A154" s="29"/>
      <c r="H154" s="30"/>
      <c r="I154" s="30"/>
      <c r="L154" s="27"/>
      <c r="M154" s="27"/>
      <c r="N154" s="27"/>
      <c r="O154" s="30"/>
      <c r="P154" s="30"/>
      <c r="Q154" s="30"/>
      <c r="R154" s="30"/>
      <c r="S154" s="30"/>
      <c r="V154" s="27"/>
      <c r="W154" s="27"/>
      <c r="X154" s="27"/>
      <c r="Y154" s="27"/>
      <c r="Z154" s="30"/>
      <c r="AA154" s="27"/>
      <c r="AB154" s="30"/>
      <c r="AE154" s="27"/>
      <c r="AF154" s="27"/>
      <c r="AG154" s="27"/>
      <c r="AJ154" s="27">
        <f t="shared" si="4"/>
        <v>0</v>
      </c>
      <c r="AK154" s="27">
        <f t="shared" si="5"/>
        <v>0</v>
      </c>
    </row>
    <row r="155" spans="1:37">
      <c r="A155" s="29"/>
      <c r="H155" s="30"/>
      <c r="I155" s="30"/>
      <c r="L155" s="27"/>
      <c r="M155" s="27"/>
      <c r="N155" s="27"/>
      <c r="O155" s="30"/>
      <c r="P155" s="30"/>
      <c r="Q155" s="30"/>
      <c r="R155" s="30"/>
      <c r="S155" s="30"/>
      <c r="V155" s="27"/>
      <c r="W155" s="27"/>
      <c r="X155" s="27"/>
      <c r="Y155" s="27"/>
      <c r="Z155" s="30"/>
      <c r="AA155" s="27"/>
      <c r="AB155" s="30"/>
      <c r="AE155" s="27"/>
      <c r="AF155" s="27"/>
      <c r="AG155" s="27"/>
      <c r="AJ155" s="27">
        <f t="shared" si="4"/>
        <v>0</v>
      </c>
      <c r="AK155" s="27">
        <f t="shared" si="5"/>
        <v>0</v>
      </c>
    </row>
    <row r="156" spans="1:37">
      <c r="A156" s="29"/>
      <c r="H156" s="30"/>
      <c r="I156" s="30"/>
      <c r="L156" s="27"/>
      <c r="M156" s="27"/>
      <c r="N156" s="27"/>
      <c r="O156" s="30"/>
      <c r="P156" s="30"/>
      <c r="Q156" s="30"/>
      <c r="R156" s="30"/>
      <c r="S156" s="30"/>
      <c r="V156" s="27"/>
      <c r="W156" s="27"/>
      <c r="X156" s="27"/>
      <c r="Y156" s="27"/>
      <c r="Z156" s="30"/>
      <c r="AA156" s="27"/>
      <c r="AB156" s="30"/>
      <c r="AE156" s="27"/>
      <c r="AF156" s="27"/>
      <c r="AG156" s="27"/>
      <c r="AJ156" s="27">
        <f t="shared" si="4"/>
        <v>0</v>
      </c>
      <c r="AK156" s="27">
        <f t="shared" si="5"/>
        <v>0</v>
      </c>
    </row>
    <row r="157" spans="1:37">
      <c r="A157" s="29"/>
      <c r="H157" s="30"/>
      <c r="I157" s="30"/>
      <c r="L157" s="27"/>
      <c r="M157" s="27"/>
      <c r="N157" s="27"/>
      <c r="O157" s="30"/>
      <c r="P157" s="30"/>
      <c r="Q157" s="30"/>
      <c r="R157" s="30"/>
      <c r="S157" s="30"/>
      <c r="V157" s="27"/>
      <c r="W157" s="27"/>
      <c r="X157" s="27"/>
      <c r="Y157" s="27"/>
      <c r="Z157" s="30"/>
      <c r="AA157" s="27"/>
      <c r="AB157" s="30"/>
      <c r="AE157" s="27"/>
      <c r="AF157" s="27"/>
      <c r="AG157" s="27"/>
      <c r="AJ157" s="27">
        <f t="shared" si="4"/>
        <v>0</v>
      </c>
      <c r="AK157" s="27">
        <f t="shared" si="5"/>
        <v>0</v>
      </c>
    </row>
    <row r="158" spans="1:37">
      <c r="A158" s="29"/>
      <c r="H158" s="30"/>
      <c r="I158" s="30"/>
      <c r="L158" s="27"/>
      <c r="M158" s="27"/>
      <c r="N158" s="27"/>
      <c r="O158" s="30"/>
      <c r="P158" s="30"/>
      <c r="Q158" s="30"/>
      <c r="R158" s="30"/>
      <c r="S158" s="30"/>
      <c r="V158" s="27"/>
      <c r="W158" s="27"/>
      <c r="X158" s="27"/>
      <c r="Y158" s="27"/>
      <c r="Z158" s="30"/>
      <c r="AA158" s="27"/>
      <c r="AB158" s="30"/>
      <c r="AE158" s="27"/>
      <c r="AF158" s="27"/>
      <c r="AG158" s="27"/>
      <c r="AJ158" s="27">
        <f t="shared" si="4"/>
        <v>0</v>
      </c>
      <c r="AK158" s="27">
        <f t="shared" si="5"/>
        <v>0</v>
      </c>
    </row>
    <row r="159" spans="1:37">
      <c r="A159" s="29"/>
      <c r="H159" s="30"/>
      <c r="I159" s="30"/>
      <c r="L159" s="27"/>
      <c r="M159" s="27"/>
      <c r="N159" s="27"/>
      <c r="O159" s="30"/>
      <c r="P159" s="30"/>
      <c r="Q159" s="30"/>
      <c r="R159" s="30"/>
      <c r="S159" s="30"/>
      <c r="V159" s="27"/>
      <c r="W159" s="27"/>
      <c r="X159" s="27"/>
      <c r="Y159" s="27"/>
      <c r="Z159" s="30"/>
      <c r="AA159" s="27"/>
      <c r="AB159" s="30"/>
      <c r="AE159" s="27"/>
      <c r="AF159" s="27"/>
      <c r="AG159" s="27"/>
      <c r="AJ159" s="27">
        <f t="shared" si="4"/>
        <v>0</v>
      </c>
      <c r="AK159" s="27">
        <f t="shared" si="5"/>
        <v>0</v>
      </c>
    </row>
    <row r="160" spans="1:37">
      <c r="A160" s="29"/>
      <c r="H160" s="30"/>
      <c r="I160" s="30"/>
      <c r="L160" s="27"/>
      <c r="M160" s="27"/>
      <c r="N160" s="27"/>
      <c r="O160" s="30"/>
      <c r="P160" s="30"/>
      <c r="Q160" s="30"/>
      <c r="R160" s="30"/>
      <c r="S160" s="30"/>
      <c r="V160" s="27"/>
      <c r="W160" s="27"/>
      <c r="X160" s="27"/>
      <c r="Y160" s="27"/>
      <c r="Z160" s="30"/>
      <c r="AA160" s="27"/>
      <c r="AB160" s="30"/>
      <c r="AE160" s="27"/>
      <c r="AF160" s="27"/>
      <c r="AG160" s="27"/>
      <c r="AJ160" s="27">
        <f t="shared" si="4"/>
        <v>0</v>
      </c>
      <c r="AK160" s="27">
        <f t="shared" si="5"/>
        <v>0</v>
      </c>
    </row>
    <row r="161" spans="1:37">
      <c r="A161" s="29"/>
      <c r="H161" s="30"/>
      <c r="I161" s="30"/>
      <c r="L161" s="27"/>
      <c r="M161" s="27"/>
      <c r="N161" s="27"/>
      <c r="O161" s="30"/>
      <c r="P161" s="30"/>
      <c r="Q161" s="30"/>
      <c r="R161" s="30"/>
      <c r="S161" s="30"/>
      <c r="V161" s="27"/>
      <c r="W161" s="27"/>
      <c r="X161" s="27"/>
      <c r="Y161" s="27"/>
      <c r="Z161" s="30"/>
      <c r="AA161" s="27"/>
      <c r="AB161" s="30"/>
      <c r="AE161" s="27"/>
      <c r="AF161" s="27"/>
      <c r="AG161" s="27"/>
      <c r="AJ161" s="27">
        <f t="shared" si="4"/>
        <v>0</v>
      </c>
      <c r="AK161" s="27">
        <f t="shared" si="5"/>
        <v>0</v>
      </c>
    </row>
    <row r="162" spans="1:37">
      <c r="A162" s="29"/>
      <c r="H162" s="30"/>
      <c r="I162" s="30"/>
      <c r="L162" s="27"/>
      <c r="M162" s="27"/>
      <c r="N162" s="27"/>
      <c r="O162" s="30"/>
      <c r="P162" s="30"/>
      <c r="Q162" s="30"/>
      <c r="R162" s="30"/>
      <c r="S162" s="30"/>
      <c r="V162" s="27"/>
      <c r="W162" s="27"/>
      <c r="X162" s="27"/>
      <c r="Y162" s="27"/>
      <c r="Z162" s="30"/>
      <c r="AA162" s="27"/>
      <c r="AB162" s="30"/>
      <c r="AE162" s="27"/>
      <c r="AF162" s="27"/>
      <c r="AG162" s="27"/>
      <c r="AJ162" s="27">
        <f t="shared" si="4"/>
        <v>0</v>
      </c>
      <c r="AK162" s="27">
        <f t="shared" si="5"/>
        <v>0</v>
      </c>
    </row>
    <row r="163" spans="1:37">
      <c r="A163" s="29"/>
      <c r="H163" s="30"/>
      <c r="I163" s="30"/>
      <c r="L163" s="27"/>
      <c r="M163" s="27"/>
      <c r="N163" s="27"/>
      <c r="O163" s="30"/>
      <c r="P163" s="30"/>
      <c r="Q163" s="30"/>
      <c r="R163" s="30"/>
      <c r="S163" s="30"/>
      <c r="V163" s="27"/>
      <c r="W163" s="27"/>
      <c r="X163" s="27"/>
      <c r="Y163" s="27"/>
      <c r="Z163" s="30"/>
      <c r="AA163" s="27"/>
      <c r="AB163" s="30"/>
      <c r="AE163" s="27"/>
      <c r="AF163" s="27"/>
      <c r="AG163" s="27"/>
      <c r="AJ163" s="27">
        <f t="shared" si="4"/>
        <v>0</v>
      </c>
      <c r="AK163" s="27">
        <f t="shared" si="5"/>
        <v>0</v>
      </c>
    </row>
    <row r="164" spans="1:37">
      <c r="A164" s="29"/>
      <c r="H164" s="30"/>
      <c r="I164" s="30"/>
      <c r="L164" s="27"/>
      <c r="M164" s="27"/>
      <c r="N164" s="27"/>
      <c r="O164" s="30"/>
      <c r="P164" s="30"/>
      <c r="Q164" s="30"/>
      <c r="R164" s="30"/>
      <c r="S164" s="30"/>
      <c r="V164" s="27"/>
      <c r="W164" s="27"/>
      <c r="X164" s="27"/>
      <c r="Y164" s="27"/>
      <c r="Z164" s="30"/>
      <c r="AA164" s="27"/>
      <c r="AB164" s="30"/>
      <c r="AE164" s="27"/>
      <c r="AF164" s="27"/>
      <c r="AG164" s="27"/>
      <c r="AJ164" s="27">
        <f t="shared" si="4"/>
        <v>0</v>
      </c>
      <c r="AK164" s="27">
        <f t="shared" si="5"/>
        <v>0</v>
      </c>
    </row>
    <row r="165" spans="1:37">
      <c r="A165" s="29"/>
      <c r="H165" s="30"/>
      <c r="I165" s="30"/>
      <c r="L165" s="27"/>
      <c r="M165" s="27"/>
      <c r="N165" s="27"/>
      <c r="O165" s="30"/>
      <c r="P165" s="30"/>
      <c r="Q165" s="30"/>
      <c r="R165" s="30"/>
      <c r="S165" s="30"/>
      <c r="V165" s="27"/>
      <c r="W165" s="27"/>
      <c r="X165" s="27"/>
      <c r="Y165" s="27"/>
      <c r="Z165" s="30"/>
      <c r="AA165" s="27"/>
      <c r="AB165" s="30"/>
      <c r="AE165" s="27"/>
      <c r="AF165" s="27"/>
      <c r="AG165" s="27"/>
      <c r="AJ165" s="27">
        <f t="shared" si="4"/>
        <v>0</v>
      </c>
      <c r="AK165" s="27">
        <f t="shared" si="5"/>
        <v>0</v>
      </c>
    </row>
    <row r="166" spans="1:37">
      <c r="A166" s="29"/>
      <c r="H166" s="30"/>
      <c r="I166" s="30"/>
      <c r="L166" s="27"/>
      <c r="M166" s="27"/>
      <c r="N166" s="27"/>
      <c r="O166" s="30"/>
      <c r="P166" s="30"/>
      <c r="Q166" s="30"/>
      <c r="R166" s="30"/>
      <c r="S166" s="30"/>
      <c r="V166" s="27"/>
      <c r="W166" s="27"/>
      <c r="X166" s="27"/>
      <c r="Y166" s="27"/>
      <c r="Z166" s="30"/>
      <c r="AA166" s="27"/>
      <c r="AB166" s="30"/>
      <c r="AE166" s="27"/>
      <c r="AF166" s="27"/>
      <c r="AG166" s="27"/>
      <c r="AJ166" s="27">
        <f t="shared" si="4"/>
        <v>0</v>
      </c>
      <c r="AK166" s="27">
        <f t="shared" si="5"/>
        <v>0</v>
      </c>
    </row>
    <row r="167" spans="1:37">
      <c r="A167" s="29"/>
      <c r="H167" s="30"/>
      <c r="I167" s="30"/>
      <c r="L167" s="27"/>
      <c r="M167" s="27"/>
      <c r="N167" s="27"/>
      <c r="O167" s="30"/>
      <c r="P167" s="30"/>
      <c r="Q167" s="30"/>
      <c r="R167" s="30"/>
      <c r="S167" s="30"/>
      <c r="V167" s="27"/>
      <c r="W167" s="27"/>
      <c r="X167" s="27"/>
      <c r="Y167" s="27"/>
      <c r="Z167" s="30"/>
      <c r="AA167" s="27"/>
      <c r="AB167" s="30"/>
      <c r="AE167" s="27"/>
      <c r="AF167" s="27"/>
      <c r="AG167" s="27"/>
      <c r="AJ167" s="27">
        <f t="shared" si="4"/>
        <v>0</v>
      </c>
      <c r="AK167" s="27">
        <f t="shared" si="5"/>
        <v>0</v>
      </c>
    </row>
    <row r="168" spans="1:37">
      <c r="A168" s="29"/>
      <c r="H168" s="30"/>
      <c r="I168" s="30"/>
      <c r="L168" s="27"/>
      <c r="M168" s="27"/>
      <c r="N168" s="27"/>
      <c r="O168" s="30"/>
      <c r="P168" s="30"/>
      <c r="Q168" s="30"/>
      <c r="R168" s="30"/>
      <c r="S168" s="30"/>
      <c r="V168" s="27"/>
      <c r="W168" s="27"/>
      <c r="X168" s="27"/>
      <c r="Y168" s="27"/>
      <c r="Z168" s="30"/>
      <c r="AA168" s="27"/>
      <c r="AB168" s="30"/>
      <c r="AE168" s="27"/>
      <c r="AF168" s="27"/>
      <c r="AG168" s="27"/>
      <c r="AJ168" s="27">
        <f t="shared" si="4"/>
        <v>0</v>
      </c>
      <c r="AK168" s="27">
        <f t="shared" si="5"/>
        <v>0</v>
      </c>
    </row>
    <row r="169" spans="1:37">
      <c r="A169" s="29"/>
      <c r="H169" s="30"/>
      <c r="I169" s="30"/>
      <c r="L169" s="27"/>
      <c r="M169" s="27"/>
      <c r="N169" s="27"/>
      <c r="O169" s="30"/>
      <c r="P169" s="30"/>
      <c r="Q169" s="30"/>
      <c r="R169" s="30"/>
      <c r="S169" s="30"/>
      <c r="V169" s="27"/>
      <c r="W169" s="27"/>
      <c r="X169" s="27"/>
      <c r="Y169" s="27"/>
      <c r="Z169" s="30"/>
      <c r="AA169" s="27"/>
      <c r="AB169" s="30"/>
      <c r="AE169" s="27"/>
      <c r="AF169" s="27"/>
      <c r="AG169" s="27"/>
      <c r="AJ169" s="27">
        <f t="shared" si="4"/>
        <v>0</v>
      </c>
      <c r="AK169" s="27">
        <f t="shared" si="5"/>
        <v>0</v>
      </c>
    </row>
    <row r="170" spans="1:37">
      <c r="A170" s="29"/>
      <c r="H170" s="30"/>
      <c r="I170" s="30"/>
      <c r="L170" s="27"/>
      <c r="M170" s="27"/>
      <c r="N170" s="27"/>
      <c r="O170" s="30"/>
      <c r="P170" s="30"/>
      <c r="Q170" s="30"/>
      <c r="R170" s="30"/>
      <c r="S170" s="30"/>
      <c r="V170" s="27"/>
      <c r="W170" s="27"/>
      <c r="X170" s="27"/>
      <c r="Y170" s="27"/>
      <c r="Z170" s="30"/>
      <c r="AA170" s="27"/>
      <c r="AB170" s="30"/>
      <c r="AE170" s="27"/>
      <c r="AF170" s="27"/>
      <c r="AG170" s="27"/>
      <c r="AJ170" s="27">
        <f t="shared" si="4"/>
        <v>0</v>
      </c>
      <c r="AK170" s="27">
        <f t="shared" si="5"/>
        <v>0</v>
      </c>
    </row>
    <row r="171" spans="1:37">
      <c r="A171" s="29"/>
      <c r="H171" s="30"/>
      <c r="I171" s="30"/>
      <c r="L171" s="27"/>
      <c r="M171" s="27"/>
      <c r="N171" s="27"/>
      <c r="O171" s="30"/>
      <c r="P171" s="30"/>
      <c r="Q171" s="30"/>
      <c r="R171" s="30"/>
      <c r="S171" s="30"/>
      <c r="V171" s="27"/>
      <c r="W171" s="27"/>
      <c r="X171" s="27"/>
      <c r="Y171" s="27"/>
      <c r="Z171" s="30"/>
      <c r="AA171" s="27"/>
      <c r="AB171" s="30"/>
      <c r="AE171" s="27"/>
      <c r="AF171" s="27"/>
      <c r="AG171" s="27"/>
      <c r="AJ171" s="27">
        <f t="shared" si="4"/>
        <v>0</v>
      </c>
      <c r="AK171" s="27">
        <f t="shared" si="5"/>
        <v>0</v>
      </c>
    </row>
    <row r="172" spans="1:37">
      <c r="A172" s="29"/>
      <c r="H172" s="30"/>
      <c r="I172" s="30"/>
      <c r="L172" s="27"/>
      <c r="M172" s="27"/>
      <c r="N172" s="27"/>
      <c r="O172" s="30"/>
      <c r="P172" s="30"/>
      <c r="Q172" s="30"/>
      <c r="R172" s="30"/>
      <c r="S172" s="30"/>
      <c r="V172" s="27"/>
      <c r="W172" s="27"/>
      <c r="X172" s="27"/>
      <c r="Y172" s="27"/>
      <c r="Z172" s="30"/>
      <c r="AA172" s="27"/>
      <c r="AB172" s="30"/>
      <c r="AE172" s="27"/>
      <c r="AF172" s="27"/>
      <c r="AG172" s="27"/>
      <c r="AJ172" s="27">
        <f t="shared" si="4"/>
        <v>0</v>
      </c>
      <c r="AK172" s="27">
        <f t="shared" si="5"/>
        <v>0</v>
      </c>
    </row>
    <row r="173" spans="1:37">
      <c r="A173" s="29"/>
      <c r="H173" s="30"/>
      <c r="I173" s="30"/>
      <c r="L173" s="27"/>
      <c r="M173" s="27"/>
      <c r="N173" s="27"/>
      <c r="O173" s="30"/>
      <c r="P173" s="30"/>
      <c r="Q173" s="30"/>
      <c r="R173" s="30"/>
      <c r="S173" s="30"/>
      <c r="V173" s="27"/>
      <c r="W173" s="27"/>
      <c r="X173" s="27"/>
      <c r="Y173" s="27"/>
      <c r="Z173" s="30"/>
      <c r="AA173" s="27"/>
      <c r="AB173" s="30"/>
      <c r="AE173" s="27"/>
      <c r="AF173" s="27"/>
      <c r="AG173" s="27"/>
      <c r="AJ173" s="27">
        <f t="shared" si="4"/>
        <v>0</v>
      </c>
      <c r="AK173" s="27">
        <f t="shared" si="5"/>
        <v>0</v>
      </c>
    </row>
    <row r="174" spans="1:37">
      <c r="A174" s="29"/>
      <c r="H174" s="30"/>
      <c r="I174" s="30"/>
      <c r="L174" s="27"/>
      <c r="M174" s="27"/>
      <c r="N174" s="27"/>
      <c r="O174" s="30"/>
      <c r="P174" s="30"/>
      <c r="Q174" s="30"/>
      <c r="R174" s="30"/>
      <c r="S174" s="30"/>
      <c r="V174" s="27"/>
      <c r="W174" s="27"/>
      <c r="X174" s="27"/>
      <c r="Y174" s="27"/>
      <c r="Z174" s="30"/>
      <c r="AA174" s="27"/>
      <c r="AB174" s="30"/>
      <c r="AE174" s="27"/>
      <c r="AF174" s="27"/>
      <c r="AG174" s="27"/>
      <c r="AJ174" s="27">
        <f t="shared" si="4"/>
        <v>0</v>
      </c>
      <c r="AK174" s="27">
        <f t="shared" si="5"/>
        <v>0</v>
      </c>
    </row>
    <row r="175" spans="1:37">
      <c r="A175" s="29"/>
      <c r="H175" s="30"/>
      <c r="I175" s="30"/>
      <c r="L175" s="27"/>
      <c r="M175" s="27"/>
      <c r="N175" s="27"/>
      <c r="O175" s="30"/>
      <c r="P175" s="30"/>
      <c r="Q175" s="30"/>
      <c r="R175" s="30"/>
      <c r="S175" s="30"/>
      <c r="V175" s="27"/>
      <c r="W175" s="27"/>
      <c r="X175" s="27"/>
      <c r="Y175" s="27"/>
      <c r="Z175" s="30"/>
      <c r="AA175" s="27"/>
      <c r="AB175" s="30"/>
      <c r="AE175" s="27"/>
      <c r="AF175" s="27"/>
      <c r="AG175" s="27"/>
      <c r="AJ175" s="27">
        <f t="shared" si="4"/>
        <v>0</v>
      </c>
      <c r="AK175" s="27">
        <f t="shared" si="5"/>
        <v>0</v>
      </c>
    </row>
    <row r="176" spans="1:37">
      <c r="A176" s="29"/>
      <c r="H176" s="30"/>
      <c r="I176" s="30"/>
      <c r="L176" s="27"/>
      <c r="M176" s="27"/>
      <c r="N176" s="27"/>
      <c r="O176" s="30"/>
      <c r="P176" s="30"/>
      <c r="Q176" s="30"/>
      <c r="R176" s="30"/>
      <c r="S176" s="30"/>
      <c r="V176" s="27"/>
      <c r="W176" s="27"/>
      <c r="X176" s="27"/>
      <c r="Y176" s="27"/>
      <c r="Z176" s="30"/>
      <c r="AA176" s="27"/>
      <c r="AB176" s="30"/>
      <c r="AE176" s="27"/>
      <c r="AF176" s="27"/>
      <c r="AG176" s="27"/>
      <c r="AJ176" s="27">
        <f t="shared" si="4"/>
        <v>0</v>
      </c>
      <c r="AK176" s="27">
        <f t="shared" si="5"/>
        <v>0</v>
      </c>
    </row>
    <row r="177" spans="1:37">
      <c r="A177" s="29"/>
      <c r="H177" s="30"/>
      <c r="I177" s="30"/>
      <c r="L177" s="27"/>
      <c r="M177" s="27"/>
      <c r="N177" s="27"/>
      <c r="O177" s="30"/>
      <c r="P177" s="30"/>
      <c r="Q177" s="30"/>
      <c r="R177" s="30"/>
      <c r="S177" s="30"/>
      <c r="V177" s="27"/>
      <c r="W177" s="27"/>
      <c r="X177" s="27"/>
      <c r="Y177" s="27"/>
      <c r="Z177" s="30"/>
      <c r="AA177" s="27"/>
      <c r="AB177" s="30"/>
      <c r="AE177" s="27"/>
      <c r="AF177" s="27"/>
      <c r="AG177" s="27"/>
      <c r="AJ177" s="27">
        <f t="shared" si="4"/>
        <v>0</v>
      </c>
      <c r="AK177" s="27">
        <f t="shared" si="5"/>
        <v>0</v>
      </c>
    </row>
    <row r="178" spans="1:37">
      <c r="A178" s="29"/>
      <c r="H178" s="30"/>
      <c r="I178" s="30"/>
      <c r="L178" s="27"/>
      <c r="M178" s="27"/>
      <c r="N178" s="27"/>
      <c r="O178" s="30"/>
      <c r="P178" s="30"/>
      <c r="Q178" s="30"/>
      <c r="R178" s="30"/>
      <c r="S178" s="30"/>
      <c r="V178" s="27"/>
      <c r="W178" s="27"/>
      <c r="X178" s="27"/>
      <c r="Y178" s="27"/>
      <c r="Z178" s="30"/>
      <c r="AA178" s="27"/>
      <c r="AB178" s="30"/>
      <c r="AE178" s="27"/>
      <c r="AF178" s="27"/>
      <c r="AG178" s="27"/>
      <c r="AJ178" s="27">
        <f t="shared" si="4"/>
        <v>0</v>
      </c>
      <c r="AK178" s="27">
        <f t="shared" si="5"/>
        <v>0</v>
      </c>
    </row>
    <row r="179" spans="1:37">
      <c r="A179" s="29"/>
      <c r="H179" s="30"/>
      <c r="I179" s="30"/>
      <c r="L179" s="27"/>
      <c r="M179" s="27"/>
      <c r="N179" s="27"/>
      <c r="O179" s="30"/>
      <c r="P179" s="30"/>
      <c r="Q179" s="30"/>
      <c r="R179" s="30"/>
      <c r="S179" s="30"/>
      <c r="V179" s="27"/>
      <c r="W179" s="27"/>
      <c r="X179" s="27"/>
      <c r="Y179" s="27"/>
      <c r="Z179" s="30"/>
      <c r="AA179" s="27"/>
      <c r="AB179" s="30"/>
      <c r="AE179" s="27"/>
      <c r="AF179" s="27"/>
      <c r="AG179" s="27"/>
      <c r="AJ179" s="27">
        <f t="shared" si="4"/>
        <v>0</v>
      </c>
      <c r="AK179" s="27">
        <f t="shared" si="5"/>
        <v>0</v>
      </c>
    </row>
    <row r="180" spans="1:37">
      <c r="A180" s="29"/>
      <c r="H180" s="30"/>
      <c r="I180" s="30"/>
      <c r="L180" s="27"/>
      <c r="M180" s="27"/>
      <c r="N180" s="27"/>
      <c r="O180" s="30"/>
      <c r="P180" s="30"/>
      <c r="Q180" s="30"/>
      <c r="R180" s="30"/>
      <c r="S180" s="30"/>
      <c r="V180" s="27"/>
      <c r="W180" s="27"/>
      <c r="X180" s="27"/>
      <c r="Y180" s="27"/>
      <c r="Z180" s="30"/>
      <c r="AA180" s="27"/>
      <c r="AB180" s="30"/>
      <c r="AE180" s="27"/>
      <c r="AF180" s="27"/>
      <c r="AG180" s="27"/>
      <c r="AJ180" s="27">
        <f t="shared" si="4"/>
        <v>0</v>
      </c>
      <c r="AK180" s="27">
        <f t="shared" si="5"/>
        <v>0</v>
      </c>
    </row>
    <row r="181" spans="1:37">
      <c r="A181" s="29"/>
      <c r="H181" s="30"/>
      <c r="I181" s="30"/>
      <c r="L181" s="27"/>
      <c r="M181" s="27"/>
      <c r="N181" s="27"/>
      <c r="O181" s="30"/>
      <c r="P181" s="30"/>
      <c r="Q181" s="30"/>
      <c r="R181" s="30"/>
      <c r="S181" s="30"/>
      <c r="V181" s="27"/>
      <c r="W181" s="27"/>
      <c r="X181" s="27"/>
      <c r="Y181" s="27"/>
      <c r="Z181" s="30"/>
      <c r="AA181" s="27"/>
      <c r="AB181" s="30"/>
      <c r="AE181" s="27"/>
      <c r="AF181" s="27"/>
      <c r="AG181" s="27"/>
      <c r="AJ181" s="27">
        <f t="shared" si="4"/>
        <v>0</v>
      </c>
      <c r="AK181" s="27">
        <f t="shared" si="5"/>
        <v>0</v>
      </c>
    </row>
    <row r="182" spans="1:37">
      <c r="A182" s="29"/>
      <c r="H182" s="30"/>
      <c r="I182" s="30"/>
      <c r="L182" s="27"/>
      <c r="M182" s="27"/>
      <c r="N182" s="27"/>
      <c r="O182" s="30"/>
      <c r="P182" s="30"/>
      <c r="Q182" s="30"/>
      <c r="R182" s="30"/>
      <c r="S182" s="30"/>
      <c r="V182" s="27"/>
      <c r="W182" s="27"/>
      <c r="X182" s="27"/>
      <c r="Y182" s="27"/>
      <c r="Z182" s="30"/>
      <c r="AA182" s="27"/>
      <c r="AB182" s="30"/>
      <c r="AE182" s="27"/>
      <c r="AF182" s="27"/>
      <c r="AG182" s="27"/>
      <c r="AJ182" s="27">
        <f t="shared" si="4"/>
        <v>0</v>
      </c>
      <c r="AK182" s="27">
        <f t="shared" si="5"/>
        <v>0</v>
      </c>
    </row>
    <row r="183" spans="1:37">
      <c r="A183" s="29"/>
      <c r="H183" s="30"/>
      <c r="I183" s="30"/>
      <c r="L183" s="27"/>
      <c r="M183" s="27"/>
      <c r="N183" s="27"/>
      <c r="O183" s="30"/>
      <c r="P183" s="30"/>
      <c r="Q183" s="30"/>
      <c r="R183" s="30"/>
      <c r="S183" s="30"/>
      <c r="V183" s="27"/>
      <c r="W183" s="27"/>
      <c r="X183" s="27"/>
      <c r="Y183" s="27"/>
      <c r="Z183" s="30"/>
      <c r="AA183" s="27"/>
      <c r="AB183" s="30"/>
      <c r="AE183" s="27"/>
      <c r="AF183" s="27"/>
      <c r="AG183" s="27"/>
      <c r="AJ183" s="27">
        <f t="shared" si="4"/>
        <v>0</v>
      </c>
      <c r="AK183" s="27">
        <f t="shared" si="5"/>
        <v>0</v>
      </c>
    </row>
    <row r="184" spans="1:37">
      <c r="A184" s="29"/>
      <c r="H184" s="30"/>
      <c r="I184" s="30"/>
      <c r="L184" s="27"/>
      <c r="M184" s="27"/>
      <c r="N184" s="27"/>
      <c r="O184" s="30"/>
      <c r="P184" s="30"/>
      <c r="Q184" s="30"/>
      <c r="R184" s="30"/>
      <c r="S184" s="30"/>
      <c r="V184" s="27"/>
      <c r="W184" s="27"/>
      <c r="X184" s="27"/>
      <c r="Y184" s="27"/>
      <c r="Z184" s="30"/>
      <c r="AA184" s="27"/>
      <c r="AB184" s="30"/>
      <c r="AE184" s="27"/>
      <c r="AF184" s="27"/>
      <c r="AG184" s="27"/>
      <c r="AJ184" s="27">
        <f t="shared" si="4"/>
        <v>0</v>
      </c>
      <c r="AK184" s="27">
        <f t="shared" si="5"/>
        <v>0</v>
      </c>
    </row>
    <row r="185" spans="1:37">
      <c r="A185" s="29"/>
      <c r="H185" s="30"/>
      <c r="I185" s="30"/>
      <c r="L185" s="27"/>
      <c r="M185" s="27"/>
      <c r="N185" s="27"/>
      <c r="O185" s="30"/>
      <c r="P185" s="30"/>
      <c r="Q185" s="30"/>
      <c r="R185" s="30"/>
      <c r="S185" s="30"/>
      <c r="V185" s="27"/>
      <c r="W185" s="27"/>
      <c r="X185" s="27"/>
      <c r="Y185" s="27"/>
      <c r="Z185" s="30"/>
      <c r="AA185" s="27"/>
      <c r="AB185" s="30"/>
      <c r="AE185" s="27"/>
      <c r="AF185" s="27"/>
      <c r="AG185" s="27"/>
      <c r="AJ185" s="27">
        <f t="shared" si="4"/>
        <v>0</v>
      </c>
      <c r="AK185" s="27">
        <f t="shared" si="5"/>
        <v>0</v>
      </c>
    </row>
    <row r="186" spans="1:37">
      <c r="A186" s="29"/>
      <c r="H186" s="30"/>
      <c r="I186" s="30"/>
      <c r="L186" s="27"/>
      <c r="M186" s="27"/>
      <c r="N186" s="27"/>
      <c r="O186" s="30"/>
      <c r="P186" s="30"/>
      <c r="Q186" s="30"/>
      <c r="R186" s="30"/>
      <c r="S186" s="30"/>
      <c r="V186" s="27"/>
      <c r="W186" s="27"/>
      <c r="X186" s="27"/>
      <c r="Y186" s="27"/>
      <c r="Z186" s="30"/>
      <c r="AA186" s="27"/>
      <c r="AB186" s="30"/>
      <c r="AE186" s="27"/>
      <c r="AF186" s="27"/>
      <c r="AG186" s="27"/>
      <c r="AJ186" s="27">
        <f t="shared" si="4"/>
        <v>0</v>
      </c>
      <c r="AK186" s="27">
        <f t="shared" si="5"/>
        <v>0</v>
      </c>
    </row>
    <row r="187" spans="1:37">
      <c r="A187" s="29"/>
      <c r="H187" s="30"/>
      <c r="I187" s="30"/>
      <c r="L187" s="27"/>
      <c r="M187" s="27"/>
      <c r="N187" s="27"/>
      <c r="O187" s="30"/>
      <c r="P187" s="30"/>
      <c r="Q187" s="30"/>
      <c r="R187" s="30"/>
      <c r="S187" s="30"/>
      <c r="V187" s="27"/>
      <c r="W187" s="27"/>
      <c r="X187" s="27"/>
      <c r="Y187" s="27"/>
      <c r="Z187" s="30"/>
      <c r="AA187" s="27"/>
      <c r="AB187" s="30"/>
      <c r="AE187" s="27"/>
      <c r="AF187" s="27"/>
      <c r="AG187" s="27"/>
      <c r="AJ187" s="27">
        <f t="shared" si="4"/>
        <v>0</v>
      </c>
      <c r="AK187" s="27">
        <f t="shared" si="5"/>
        <v>0</v>
      </c>
    </row>
    <row r="188" spans="1:37">
      <c r="A188" s="29"/>
      <c r="H188" s="30"/>
      <c r="I188" s="30"/>
      <c r="L188" s="27"/>
      <c r="M188" s="27"/>
      <c r="N188" s="27"/>
      <c r="O188" s="30"/>
      <c r="P188" s="30"/>
      <c r="Q188" s="30"/>
      <c r="R188" s="30"/>
      <c r="S188" s="30"/>
      <c r="V188" s="27"/>
      <c r="W188" s="27"/>
      <c r="X188" s="27"/>
      <c r="Y188" s="27"/>
      <c r="Z188" s="30"/>
      <c r="AA188" s="27"/>
      <c r="AB188" s="30"/>
      <c r="AE188" s="27"/>
      <c r="AF188" s="27"/>
      <c r="AG188" s="27"/>
      <c r="AJ188" s="27">
        <f t="shared" si="4"/>
        <v>0</v>
      </c>
      <c r="AK188" s="27">
        <f t="shared" si="5"/>
        <v>0</v>
      </c>
    </row>
    <row r="189" spans="1:37">
      <c r="A189" s="29"/>
      <c r="H189" s="30"/>
      <c r="I189" s="30"/>
      <c r="L189" s="27"/>
      <c r="M189" s="27"/>
      <c r="N189" s="27"/>
      <c r="O189" s="30"/>
      <c r="P189" s="30"/>
      <c r="Q189" s="30"/>
      <c r="R189" s="30"/>
      <c r="S189" s="30"/>
      <c r="V189" s="27"/>
      <c r="W189" s="27"/>
      <c r="X189" s="27"/>
      <c r="Y189" s="27"/>
      <c r="Z189" s="30"/>
      <c r="AA189" s="27"/>
      <c r="AB189" s="30"/>
      <c r="AE189" s="27"/>
      <c r="AF189" s="27"/>
      <c r="AG189" s="27"/>
      <c r="AJ189" s="27">
        <f t="shared" si="4"/>
        <v>0</v>
      </c>
      <c r="AK189" s="27">
        <f t="shared" si="5"/>
        <v>0</v>
      </c>
    </row>
    <row r="190" spans="1:37">
      <c r="A190" s="29"/>
      <c r="H190" s="30"/>
      <c r="I190" s="30"/>
      <c r="L190" s="27"/>
      <c r="M190" s="27"/>
      <c r="N190" s="27"/>
      <c r="O190" s="30"/>
      <c r="P190" s="30"/>
      <c r="Q190" s="30"/>
      <c r="R190" s="30"/>
      <c r="S190" s="30"/>
      <c r="V190" s="27"/>
      <c r="W190" s="27"/>
      <c r="X190" s="27"/>
      <c r="Y190" s="27"/>
      <c r="Z190" s="30"/>
      <c r="AA190" s="27"/>
      <c r="AB190" s="30"/>
      <c r="AE190" s="27"/>
      <c r="AF190" s="27"/>
      <c r="AG190" s="27"/>
      <c r="AJ190" s="27">
        <f t="shared" si="4"/>
        <v>0</v>
      </c>
      <c r="AK190" s="27">
        <f t="shared" si="5"/>
        <v>0</v>
      </c>
    </row>
    <row r="191" spans="1:37">
      <c r="A191" s="29"/>
      <c r="H191" s="30"/>
      <c r="I191" s="30"/>
      <c r="L191" s="27"/>
      <c r="M191" s="27"/>
      <c r="N191" s="27"/>
      <c r="O191" s="30"/>
      <c r="P191" s="30"/>
      <c r="Q191" s="30"/>
      <c r="R191" s="30"/>
      <c r="S191" s="30"/>
      <c r="V191" s="27"/>
      <c r="W191" s="27"/>
      <c r="X191" s="27"/>
      <c r="Y191" s="27"/>
      <c r="Z191" s="30"/>
      <c r="AA191" s="27"/>
      <c r="AB191" s="30"/>
      <c r="AE191" s="27"/>
      <c r="AF191" s="27"/>
      <c r="AG191" s="27"/>
      <c r="AJ191" s="27">
        <f t="shared" si="4"/>
        <v>0</v>
      </c>
      <c r="AK191" s="27">
        <f t="shared" si="5"/>
        <v>0</v>
      </c>
    </row>
    <row r="192" spans="1:37">
      <c r="A192" s="29"/>
      <c r="H192" s="30"/>
      <c r="I192" s="30"/>
      <c r="L192" s="27"/>
      <c r="M192" s="27"/>
      <c r="N192" s="27"/>
      <c r="O192" s="30"/>
      <c r="P192" s="30"/>
      <c r="Q192" s="30"/>
      <c r="R192" s="30"/>
      <c r="S192" s="30"/>
      <c r="V192" s="27"/>
      <c r="W192" s="27"/>
      <c r="X192" s="27"/>
      <c r="Y192" s="27"/>
      <c r="Z192" s="30"/>
      <c r="AA192" s="27"/>
      <c r="AB192" s="30"/>
      <c r="AE192" s="27"/>
      <c r="AF192" s="27"/>
      <c r="AG192" s="27"/>
      <c r="AJ192" s="27">
        <f t="shared" si="4"/>
        <v>0</v>
      </c>
      <c r="AK192" s="27">
        <f t="shared" si="5"/>
        <v>0</v>
      </c>
    </row>
    <row r="193" spans="1:37">
      <c r="A193" s="29"/>
      <c r="H193" s="30"/>
      <c r="I193" s="30"/>
      <c r="L193" s="27"/>
      <c r="M193" s="27"/>
      <c r="N193" s="27"/>
      <c r="O193" s="30"/>
      <c r="P193" s="30"/>
      <c r="Q193" s="30"/>
      <c r="R193" s="30"/>
      <c r="S193" s="30"/>
      <c r="V193" s="27"/>
      <c r="W193" s="27"/>
      <c r="X193" s="27"/>
      <c r="Y193" s="27"/>
      <c r="Z193" s="30"/>
      <c r="AA193" s="27"/>
      <c r="AB193" s="30"/>
      <c r="AE193" s="27"/>
      <c r="AF193" s="27"/>
      <c r="AG193" s="27"/>
      <c r="AJ193" s="27">
        <f t="shared" si="4"/>
        <v>0</v>
      </c>
      <c r="AK193" s="27">
        <f t="shared" si="5"/>
        <v>0</v>
      </c>
    </row>
    <row r="194" spans="1:37">
      <c r="A194" s="29"/>
      <c r="H194" s="30"/>
      <c r="I194" s="30"/>
      <c r="L194" s="27"/>
      <c r="M194" s="27"/>
      <c r="N194" s="27"/>
      <c r="O194" s="30"/>
      <c r="P194" s="30"/>
      <c r="Q194" s="30"/>
      <c r="R194" s="30"/>
      <c r="S194" s="30"/>
      <c r="V194" s="27"/>
      <c r="W194" s="27"/>
      <c r="X194" s="27"/>
      <c r="Y194" s="27"/>
      <c r="Z194" s="30"/>
      <c r="AA194" s="27"/>
      <c r="AB194" s="30"/>
      <c r="AE194" s="27"/>
      <c r="AF194" s="27"/>
      <c r="AG194" s="27"/>
      <c r="AJ194" s="27">
        <f t="shared" ref="AJ194:AJ257" si="6">SUM(V194:Y194)+AG194</f>
        <v>0</v>
      </c>
      <c r="AK194" s="27">
        <f t="shared" ref="AK194:AK257" si="7">MAX(M194-N194,0)+MAX(AJ194-AA194,0)+AE194+AF194</f>
        <v>0</v>
      </c>
    </row>
    <row r="195" spans="1:37">
      <c r="A195" s="29"/>
      <c r="H195" s="30"/>
      <c r="I195" s="30"/>
      <c r="L195" s="27"/>
      <c r="M195" s="27"/>
      <c r="N195" s="27"/>
      <c r="O195" s="30"/>
      <c r="P195" s="30"/>
      <c r="Q195" s="30"/>
      <c r="R195" s="30"/>
      <c r="S195" s="30"/>
      <c r="V195" s="27"/>
      <c r="W195" s="27"/>
      <c r="X195" s="27"/>
      <c r="Y195" s="27"/>
      <c r="Z195" s="30"/>
      <c r="AA195" s="27"/>
      <c r="AB195" s="30"/>
      <c r="AE195" s="27"/>
      <c r="AF195" s="27"/>
      <c r="AG195" s="27"/>
      <c r="AJ195" s="27">
        <f t="shared" si="6"/>
        <v>0</v>
      </c>
      <c r="AK195" s="27">
        <f t="shared" si="7"/>
        <v>0</v>
      </c>
    </row>
    <row r="196" spans="1:37">
      <c r="A196" s="29"/>
      <c r="H196" s="30"/>
      <c r="I196" s="30"/>
      <c r="L196" s="27"/>
      <c r="M196" s="27"/>
      <c r="N196" s="27"/>
      <c r="O196" s="30"/>
      <c r="P196" s="30"/>
      <c r="Q196" s="30"/>
      <c r="R196" s="30"/>
      <c r="S196" s="30"/>
      <c r="V196" s="27"/>
      <c r="W196" s="27"/>
      <c r="X196" s="27"/>
      <c r="Y196" s="27"/>
      <c r="Z196" s="30"/>
      <c r="AA196" s="27"/>
      <c r="AB196" s="30"/>
      <c r="AE196" s="27"/>
      <c r="AF196" s="27"/>
      <c r="AG196" s="27"/>
      <c r="AJ196" s="27">
        <f t="shared" si="6"/>
        <v>0</v>
      </c>
      <c r="AK196" s="27">
        <f t="shared" si="7"/>
        <v>0</v>
      </c>
    </row>
    <row r="197" spans="1:37">
      <c r="A197" s="29"/>
      <c r="H197" s="30"/>
      <c r="I197" s="30"/>
      <c r="L197" s="27"/>
      <c r="M197" s="27"/>
      <c r="N197" s="27"/>
      <c r="O197" s="30"/>
      <c r="P197" s="30"/>
      <c r="Q197" s="30"/>
      <c r="R197" s="30"/>
      <c r="S197" s="30"/>
      <c r="V197" s="27"/>
      <c r="W197" s="27"/>
      <c r="X197" s="27"/>
      <c r="Y197" s="27"/>
      <c r="Z197" s="30"/>
      <c r="AA197" s="27"/>
      <c r="AB197" s="30"/>
      <c r="AE197" s="27"/>
      <c r="AF197" s="27"/>
      <c r="AG197" s="27"/>
      <c r="AJ197" s="27">
        <f t="shared" si="6"/>
        <v>0</v>
      </c>
      <c r="AK197" s="27">
        <f t="shared" si="7"/>
        <v>0</v>
      </c>
    </row>
    <row r="198" spans="1:37">
      <c r="A198" s="29"/>
      <c r="H198" s="30"/>
      <c r="I198" s="30"/>
      <c r="L198" s="27"/>
      <c r="M198" s="27"/>
      <c r="N198" s="27"/>
      <c r="O198" s="30"/>
      <c r="P198" s="30"/>
      <c r="Q198" s="30"/>
      <c r="R198" s="30"/>
      <c r="S198" s="30"/>
      <c r="V198" s="27"/>
      <c r="W198" s="27"/>
      <c r="X198" s="27"/>
      <c r="Y198" s="27"/>
      <c r="Z198" s="30"/>
      <c r="AA198" s="27"/>
      <c r="AB198" s="30"/>
      <c r="AE198" s="27"/>
      <c r="AF198" s="27"/>
      <c r="AG198" s="27"/>
      <c r="AJ198" s="27">
        <f t="shared" si="6"/>
        <v>0</v>
      </c>
      <c r="AK198" s="27">
        <f t="shared" si="7"/>
        <v>0</v>
      </c>
    </row>
    <row r="199" spans="1:37">
      <c r="A199" s="29"/>
      <c r="H199" s="30"/>
      <c r="I199" s="30"/>
      <c r="L199" s="27"/>
      <c r="M199" s="27"/>
      <c r="N199" s="27"/>
      <c r="O199" s="30"/>
      <c r="P199" s="30"/>
      <c r="Q199" s="30"/>
      <c r="R199" s="30"/>
      <c r="S199" s="30"/>
      <c r="V199" s="27"/>
      <c r="W199" s="27"/>
      <c r="X199" s="27"/>
      <c r="Y199" s="27"/>
      <c r="Z199" s="30"/>
      <c r="AA199" s="27"/>
      <c r="AB199" s="30"/>
      <c r="AE199" s="27"/>
      <c r="AF199" s="27"/>
      <c r="AG199" s="27"/>
      <c r="AJ199" s="27">
        <f t="shared" si="6"/>
        <v>0</v>
      </c>
      <c r="AK199" s="27">
        <f t="shared" si="7"/>
        <v>0</v>
      </c>
    </row>
    <row r="200" spans="1:37">
      <c r="A200" s="29"/>
      <c r="H200" s="30"/>
      <c r="I200" s="30"/>
      <c r="L200" s="27"/>
      <c r="M200" s="27"/>
      <c r="N200" s="27"/>
      <c r="O200" s="30"/>
      <c r="P200" s="30"/>
      <c r="Q200" s="30"/>
      <c r="R200" s="30"/>
      <c r="S200" s="30"/>
      <c r="V200" s="27"/>
      <c r="W200" s="27"/>
      <c r="X200" s="27"/>
      <c r="Y200" s="27"/>
      <c r="Z200" s="30"/>
      <c r="AA200" s="27"/>
      <c r="AB200" s="30"/>
      <c r="AE200" s="27"/>
      <c r="AF200" s="27"/>
      <c r="AG200" s="27"/>
      <c r="AJ200" s="27">
        <f t="shared" si="6"/>
        <v>0</v>
      </c>
      <c r="AK200" s="27">
        <f t="shared" si="7"/>
        <v>0</v>
      </c>
    </row>
    <row r="201" spans="1:37">
      <c r="A201" s="29"/>
      <c r="H201" s="30"/>
      <c r="I201" s="30"/>
      <c r="L201" s="27"/>
      <c r="M201" s="27"/>
      <c r="N201" s="27"/>
      <c r="O201" s="30"/>
      <c r="P201" s="30"/>
      <c r="Q201" s="30"/>
      <c r="R201" s="30"/>
      <c r="S201" s="30"/>
      <c r="V201" s="27"/>
      <c r="W201" s="27"/>
      <c r="X201" s="27"/>
      <c r="Y201" s="27"/>
      <c r="Z201" s="30"/>
      <c r="AA201" s="27"/>
      <c r="AB201" s="30"/>
      <c r="AE201" s="27"/>
      <c r="AF201" s="27"/>
      <c r="AG201" s="27"/>
      <c r="AJ201" s="27">
        <f t="shared" si="6"/>
        <v>0</v>
      </c>
      <c r="AK201" s="27">
        <f t="shared" si="7"/>
        <v>0</v>
      </c>
    </row>
    <row r="202" spans="1:37">
      <c r="A202" s="29"/>
      <c r="H202" s="30"/>
      <c r="I202" s="30"/>
      <c r="L202" s="27"/>
      <c r="M202" s="27"/>
      <c r="N202" s="27"/>
      <c r="O202" s="30"/>
      <c r="P202" s="30"/>
      <c r="Q202" s="30"/>
      <c r="R202" s="30"/>
      <c r="S202" s="30"/>
      <c r="V202" s="27"/>
      <c r="W202" s="27"/>
      <c r="X202" s="27"/>
      <c r="Y202" s="27"/>
      <c r="Z202" s="30"/>
      <c r="AA202" s="27"/>
      <c r="AB202" s="30"/>
      <c r="AE202" s="27"/>
      <c r="AF202" s="27"/>
      <c r="AG202" s="27"/>
      <c r="AJ202" s="27">
        <f t="shared" si="6"/>
        <v>0</v>
      </c>
      <c r="AK202" s="27">
        <f t="shared" si="7"/>
        <v>0</v>
      </c>
    </row>
    <row r="203" spans="1:37">
      <c r="A203" s="29"/>
      <c r="H203" s="30"/>
      <c r="I203" s="30"/>
      <c r="L203" s="27"/>
      <c r="M203" s="27"/>
      <c r="N203" s="27"/>
      <c r="O203" s="30"/>
      <c r="P203" s="30"/>
      <c r="Q203" s="30"/>
      <c r="R203" s="30"/>
      <c r="S203" s="30"/>
      <c r="V203" s="27"/>
      <c r="W203" s="27"/>
      <c r="X203" s="27"/>
      <c r="Y203" s="27"/>
      <c r="Z203" s="30"/>
      <c r="AA203" s="27"/>
      <c r="AB203" s="30"/>
      <c r="AE203" s="27"/>
      <c r="AF203" s="27"/>
      <c r="AG203" s="27"/>
      <c r="AJ203" s="27">
        <f t="shared" si="6"/>
        <v>0</v>
      </c>
      <c r="AK203" s="27">
        <f t="shared" si="7"/>
        <v>0</v>
      </c>
    </row>
    <row r="204" spans="1:37">
      <c r="A204" s="29"/>
      <c r="H204" s="30"/>
      <c r="I204" s="30"/>
      <c r="L204" s="27"/>
      <c r="M204" s="27"/>
      <c r="N204" s="27"/>
      <c r="O204" s="30"/>
      <c r="P204" s="30"/>
      <c r="Q204" s="30"/>
      <c r="R204" s="30"/>
      <c r="S204" s="30"/>
      <c r="V204" s="27"/>
      <c r="W204" s="27"/>
      <c r="X204" s="27"/>
      <c r="Y204" s="27"/>
      <c r="Z204" s="30"/>
      <c r="AA204" s="27"/>
      <c r="AB204" s="30"/>
      <c r="AE204" s="27"/>
      <c r="AF204" s="27"/>
      <c r="AG204" s="27"/>
      <c r="AJ204" s="27">
        <f t="shared" si="6"/>
        <v>0</v>
      </c>
      <c r="AK204" s="27">
        <f t="shared" si="7"/>
        <v>0</v>
      </c>
    </row>
    <row r="205" spans="1:37">
      <c r="A205" s="29"/>
      <c r="H205" s="30"/>
      <c r="I205" s="30"/>
      <c r="L205" s="27"/>
      <c r="M205" s="27"/>
      <c r="N205" s="27"/>
      <c r="O205" s="30"/>
      <c r="P205" s="30"/>
      <c r="Q205" s="30"/>
      <c r="R205" s="30"/>
      <c r="S205" s="30"/>
      <c r="V205" s="27"/>
      <c r="W205" s="27"/>
      <c r="X205" s="27"/>
      <c r="Y205" s="27"/>
      <c r="Z205" s="30"/>
      <c r="AA205" s="27"/>
      <c r="AB205" s="30"/>
      <c r="AE205" s="27"/>
      <c r="AF205" s="27"/>
      <c r="AG205" s="27"/>
      <c r="AJ205" s="27">
        <f t="shared" si="6"/>
        <v>0</v>
      </c>
      <c r="AK205" s="27">
        <f t="shared" si="7"/>
        <v>0</v>
      </c>
    </row>
    <row r="206" spans="1:37">
      <c r="A206" s="29"/>
      <c r="H206" s="30"/>
      <c r="I206" s="30"/>
      <c r="L206" s="27"/>
      <c r="M206" s="27"/>
      <c r="N206" s="27"/>
      <c r="O206" s="30"/>
      <c r="P206" s="30"/>
      <c r="Q206" s="30"/>
      <c r="R206" s="30"/>
      <c r="S206" s="30"/>
      <c r="V206" s="27"/>
      <c r="W206" s="27"/>
      <c r="X206" s="27"/>
      <c r="Y206" s="27"/>
      <c r="Z206" s="30"/>
      <c r="AA206" s="27"/>
      <c r="AB206" s="30"/>
      <c r="AE206" s="27"/>
      <c r="AF206" s="27"/>
      <c r="AG206" s="27"/>
      <c r="AJ206" s="27">
        <f t="shared" si="6"/>
        <v>0</v>
      </c>
      <c r="AK206" s="27">
        <f t="shared" si="7"/>
        <v>0</v>
      </c>
    </row>
    <row r="207" spans="1:37">
      <c r="A207" s="29"/>
      <c r="H207" s="30"/>
      <c r="I207" s="30"/>
      <c r="L207" s="27"/>
      <c r="M207" s="27"/>
      <c r="N207" s="27"/>
      <c r="O207" s="30"/>
      <c r="P207" s="30"/>
      <c r="Q207" s="30"/>
      <c r="R207" s="30"/>
      <c r="S207" s="30"/>
      <c r="V207" s="27"/>
      <c r="W207" s="27"/>
      <c r="X207" s="27"/>
      <c r="Y207" s="27"/>
      <c r="Z207" s="30"/>
      <c r="AA207" s="27"/>
      <c r="AB207" s="30"/>
      <c r="AE207" s="27"/>
      <c r="AF207" s="27"/>
      <c r="AG207" s="27"/>
      <c r="AJ207" s="27">
        <f t="shared" si="6"/>
        <v>0</v>
      </c>
      <c r="AK207" s="27">
        <f t="shared" si="7"/>
        <v>0</v>
      </c>
    </row>
    <row r="208" spans="1:37">
      <c r="A208" s="29"/>
      <c r="H208" s="30"/>
      <c r="I208" s="30"/>
      <c r="L208" s="27"/>
      <c r="M208" s="27"/>
      <c r="N208" s="27"/>
      <c r="O208" s="30"/>
      <c r="P208" s="30"/>
      <c r="Q208" s="30"/>
      <c r="R208" s="30"/>
      <c r="S208" s="30"/>
      <c r="V208" s="27"/>
      <c r="W208" s="27"/>
      <c r="X208" s="27"/>
      <c r="Y208" s="27"/>
      <c r="Z208" s="30"/>
      <c r="AA208" s="27"/>
      <c r="AB208" s="30"/>
      <c r="AE208" s="27"/>
      <c r="AF208" s="27"/>
      <c r="AG208" s="27"/>
      <c r="AJ208" s="27">
        <f t="shared" si="6"/>
        <v>0</v>
      </c>
      <c r="AK208" s="27">
        <f t="shared" si="7"/>
        <v>0</v>
      </c>
    </row>
    <row r="209" spans="1:37">
      <c r="A209" s="29"/>
      <c r="H209" s="30"/>
      <c r="I209" s="30"/>
      <c r="L209" s="27"/>
      <c r="M209" s="27"/>
      <c r="N209" s="27"/>
      <c r="O209" s="30"/>
      <c r="P209" s="30"/>
      <c r="Q209" s="30"/>
      <c r="R209" s="30"/>
      <c r="S209" s="30"/>
      <c r="V209" s="27"/>
      <c r="W209" s="27"/>
      <c r="X209" s="27"/>
      <c r="Y209" s="27"/>
      <c r="Z209" s="30"/>
      <c r="AA209" s="27"/>
      <c r="AB209" s="30"/>
      <c r="AE209" s="27"/>
      <c r="AF209" s="27"/>
      <c r="AG209" s="27"/>
      <c r="AJ209" s="27">
        <f t="shared" si="6"/>
        <v>0</v>
      </c>
      <c r="AK209" s="27">
        <f t="shared" si="7"/>
        <v>0</v>
      </c>
    </row>
    <row r="210" spans="1:37">
      <c r="A210" s="29"/>
      <c r="H210" s="30"/>
      <c r="I210" s="30"/>
      <c r="L210" s="27"/>
      <c r="M210" s="27"/>
      <c r="N210" s="27"/>
      <c r="O210" s="30"/>
      <c r="P210" s="30"/>
      <c r="Q210" s="30"/>
      <c r="R210" s="30"/>
      <c r="S210" s="30"/>
      <c r="V210" s="27"/>
      <c r="W210" s="27"/>
      <c r="X210" s="27"/>
      <c r="Y210" s="27"/>
      <c r="Z210" s="30"/>
      <c r="AA210" s="27"/>
      <c r="AB210" s="30"/>
      <c r="AE210" s="27"/>
      <c r="AF210" s="27"/>
      <c r="AG210" s="27"/>
      <c r="AJ210" s="27">
        <f t="shared" si="6"/>
        <v>0</v>
      </c>
      <c r="AK210" s="27">
        <f t="shared" si="7"/>
        <v>0</v>
      </c>
    </row>
    <row r="211" spans="1:37">
      <c r="A211" s="29"/>
      <c r="H211" s="30"/>
      <c r="I211" s="30"/>
      <c r="L211" s="27"/>
      <c r="M211" s="27"/>
      <c r="N211" s="27"/>
      <c r="O211" s="30"/>
      <c r="P211" s="30"/>
      <c r="Q211" s="30"/>
      <c r="R211" s="30"/>
      <c r="S211" s="30"/>
      <c r="V211" s="27"/>
      <c r="W211" s="27"/>
      <c r="X211" s="27"/>
      <c r="Y211" s="27"/>
      <c r="Z211" s="30"/>
      <c r="AA211" s="27"/>
      <c r="AB211" s="30"/>
      <c r="AE211" s="27"/>
      <c r="AF211" s="27"/>
      <c r="AG211" s="27"/>
      <c r="AJ211" s="27">
        <f t="shared" si="6"/>
        <v>0</v>
      </c>
      <c r="AK211" s="27">
        <f t="shared" si="7"/>
        <v>0</v>
      </c>
    </row>
    <row r="212" spans="1:37">
      <c r="A212" s="29"/>
      <c r="H212" s="30"/>
      <c r="I212" s="30"/>
      <c r="L212" s="27"/>
      <c r="M212" s="27"/>
      <c r="N212" s="27"/>
      <c r="O212" s="30"/>
      <c r="P212" s="30"/>
      <c r="Q212" s="30"/>
      <c r="R212" s="30"/>
      <c r="S212" s="30"/>
      <c r="V212" s="27"/>
      <c r="W212" s="27"/>
      <c r="X212" s="27"/>
      <c r="Y212" s="27"/>
      <c r="Z212" s="30"/>
      <c r="AA212" s="27"/>
      <c r="AB212" s="30"/>
      <c r="AE212" s="27"/>
      <c r="AF212" s="27"/>
      <c r="AG212" s="27"/>
      <c r="AJ212" s="27">
        <f t="shared" si="6"/>
        <v>0</v>
      </c>
      <c r="AK212" s="27">
        <f t="shared" si="7"/>
        <v>0</v>
      </c>
    </row>
    <row r="213" spans="1:37">
      <c r="A213" s="29"/>
      <c r="H213" s="30"/>
      <c r="I213" s="30"/>
      <c r="L213" s="27"/>
      <c r="M213" s="27"/>
      <c r="N213" s="27"/>
      <c r="O213" s="30"/>
      <c r="P213" s="30"/>
      <c r="Q213" s="30"/>
      <c r="R213" s="30"/>
      <c r="S213" s="30"/>
      <c r="V213" s="27"/>
      <c r="W213" s="27"/>
      <c r="X213" s="27"/>
      <c r="Y213" s="27"/>
      <c r="Z213" s="30"/>
      <c r="AA213" s="27"/>
      <c r="AB213" s="30"/>
      <c r="AE213" s="27"/>
      <c r="AF213" s="27"/>
      <c r="AG213" s="27"/>
      <c r="AJ213" s="27">
        <f t="shared" si="6"/>
        <v>0</v>
      </c>
      <c r="AK213" s="27">
        <f t="shared" si="7"/>
        <v>0</v>
      </c>
    </row>
    <row r="214" spans="1:37">
      <c r="A214" s="29"/>
      <c r="H214" s="30"/>
      <c r="I214" s="30"/>
      <c r="L214" s="27"/>
      <c r="M214" s="27"/>
      <c r="N214" s="27"/>
      <c r="O214" s="30"/>
      <c r="P214" s="30"/>
      <c r="Q214" s="30"/>
      <c r="R214" s="30"/>
      <c r="S214" s="30"/>
      <c r="V214" s="27"/>
      <c r="W214" s="27"/>
      <c r="X214" s="27"/>
      <c r="Y214" s="27"/>
      <c r="Z214" s="30"/>
      <c r="AA214" s="27"/>
      <c r="AB214" s="30"/>
      <c r="AE214" s="27"/>
      <c r="AF214" s="27"/>
      <c r="AG214" s="27"/>
      <c r="AJ214" s="27">
        <f t="shared" si="6"/>
        <v>0</v>
      </c>
      <c r="AK214" s="27">
        <f t="shared" si="7"/>
        <v>0</v>
      </c>
    </row>
    <row r="215" spans="1:37">
      <c r="A215" s="29"/>
      <c r="H215" s="30"/>
      <c r="I215" s="30"/>
      <c r="L215" s="27"/>
      <c r="M215" s="27"/>
      <c r="N215" s="27"/>
      <c r="O215" s="30"/>
      <c r="P215" s="30"/>
      <c r="Q215" s="30"/>
      <c r="R215" s="30"/>
      <c r="S215" s="30"/>
      <c r="V215" s="27"/>
      <c r="W215" s="27"/>
      <c r="X215" s="27"/>
      <c r="Y215" s="27"/>
      <c r="Z215" s="30"/>
      <c r="AA215" s="27"/>
      <c r="AB215" s="30"/>
      <c r="AE215" s="27"/>
      <c r="AF215" s="27"/>
      <c r="AG215" s="27"/>
      <c r="AJ215" s="27">
        <f t="shared" si="6"/>
        <v>0</v>
      </c>
      <c r="AK215" s="27">
        <f t="shared" si="7"/>
        <v>0</v>
      </c>
    </row>
    <row r="216" spans="1:37">
      <c r="A216" s="29"/>
      <c r="H216" s="30"/>
      <c r="I216" s="30"/>
      <c r="L216" s="27"/>
      <c r="M216" s="27"/>
      <c r="N216" s="27"/>
      <c r="O216" s="30"/>
      <c r="P216" s="30"/>
      <c r="Q216" s="30"/>
      <c r="R216" s="30"/>
      <c r="S216" s="30"/>
      <c r="V216" s="27"/>
      <c r="W216" s="27"/>
      <c r="X216" s="27"/>
      <c r="Y216" s="27"/>
      <c r="Z216" s="30"/>
      <c r="AA216" s="27"/>
      <c r="AB216" s="30"/>
      <c r="AE216" s="27"/>
      <c r="AF216" s="27"/>
      <c r="AG216" s="27"/>
      <c r="AJ216" s="27">
        <f t="shared" si="6"/>
        <v>0</v>
      </c>
      <c r="AK216" s="27">
        <f t="shared" si="7"/>
        <v>0</v>
      </c>
    </row>
    <row r="217" spans="1:37">
      <c r="A217" s="29"/>
      <c r="H217" s="30"/>
      <c r="I217" s="30"/>
      <c r="L217" s="27"/>
      <c r="M217" s="27"/>
      <c r="N217" s="27"/>
      <c r="O217" s="30"/>
      <c r="P217" s="30"/>
      <c r="Q217" s="30"/>
      <c r="R217" s="30"/>
      <c r="S217" s="30"/>
      <c r="V217" s="27"/>
      <c r="W217" s="27"/>
      <c r="X217" s="27"/>
      <c r="Y217" s="27"/>
      <c r="Z217" s="30"/>
      <c r="AA217" s="27"/>
      <c r="AB217" s="30"/>
      <c r="AE217" s="27"/>
      <c r="AF217" s="27"/>
      <c r="AG217" s="27"/>
      <c r="AJ217" s="27">
        <f t="shared" si="6"/>
        <v>0</v>
      </c>
      <c r="AK217" s="27">
        <f t="shared" si="7"/>
        <v>0</v>
      </c>
    </row>
    <row r="218" spans="1:37">
      <c r="A218" s="29"/>
      <c r="H218" s="30"/>
      <c r="I218" s="30"/>
      <c r="L218" s="27"/>
      <c r="M218" s="27"/>
      <c r="N218" s="27"/>
      <c r="O218" s="30"/>
      <c r="P218" s="30"/>
      <c r="Q218" s="30"/>
      <c r="R218" s="30"/>
      <c r="S218" s="30"/>
      <c r="V218" s="27"/>
      <c r="W218" s="27"/>
      <c r="X218" s="27"/>
      <c r="Y218" s="27"/>
      <c r="Z218" s="30"/>
      <c r="AA218" s="27"/>
      <c r="AB218" s="30"/>
      <c r="AE218" s="27"/>
      <c r="AF218" s="27"/>
      <c r="AG218" s="27"/>
      <c r="AJ218" s="27">
        <f t="shared" si="6"/>
        <v>0</v>
      </c>
      <c r="AK218" s="27">
        <f t="shared" si="7"/>
        <v>0</v>
      </c>
    </row>
    <row r="219" spans="1:37">
      <c r="A219" s="29"/>
      <c r="H219" s="30"/>
      <c r="I219" s="30"/>
      <c r="L219" s="27"/>
      <c r="M219" s="27"/>
      <c r="N219" s="27"/>
      <c r="O219" s="30"/>
      <c r="P219" s="30"/>
      <c r="Q219" s="30"/>
      <c r="R219" s="30"/>
      <c r="S219" s="30"/>
      <c r="V219" s="27"/>
      <c r="W219" s="27"/>
      <c r="X219" s="27"/>
      <c r="Y219" s="27"/>
      <c r="Z219" s="30"/>
      <c r="AA219" s="27"/>
      <c r="AB219" s="30"/>
      <c r="AE219" s="27"/>
      <c r="AF219" s="27"/>
      <c r="AG219" s="27"/>
      <c r="AJ219" s="27">
        <f t="shared" si="6"/>
        <v>0</v>
      </c>
      <c r="AK219" s="27">
        <f t="shared" si="7"/>
        <v>0</v>
      </c>
    </row>
    <row r="220" spans="1:37">
      <c r="A220" s="29"/>
      <c r="H220" s="30"/>
      <c r="I220" s="30"/>
      <c r="L220" s="27"/>
      <c r="M220" s="27"/>
      <c r="N220" s="27"/>
      <c r="O220" s="30"/>
      <c r="P220" s="30"/>
      <c r="Q220" s="30"/>
      <c r="R220" s="30"/>
      <c r="S220" s="30"/>
      <c r="V220" s="27"/>
      <c r="W220" s="27"/>
      <c r="X220" s="27"/>
      <c r="Y220" s="27"/>
      <c r="Z220" s="30"/>
      <c r="AA220" s="27"/>
      <c r="AB220" s="30"/>
      <c r="AE220" s="27"/>
      <c r="AF220" s="27"/>
      <c r="AG220" s="27"/>
      <c r="AJ220" s="27">
        <f t="shared" si="6"/>
        <v>0</v>
      </c>
      <c r="AK220" s="27">
        <f t="shared" si="7"/>
        <v>0</v>
      </c>
    </row>
    <row r="221" spans="1:37">
      <c r="A221" s="29"/>
      <c r="H221" s="30"/>
      <c r="I221" s="30"/>
      <c r="L221" s="27"/>
      <c r="M221" s="27"/>
      <c r="N221" s="27"/>
      <c r="O221" s="30"/>
      <c r="P221" s="30"/>
      <c r="Q221" s="30"/>
      <c r="R221" s="30"/>
      <c r="S221" s="30"/>
      <c r="V221" s="27"/>
      <c r="W221" s="27"/>
      <c r="X221" s="27"/>
      <c r="Y221" s="27"/>
      <c r="Z221" s="30"/>
      <c r="AA221" s="27"/>
      <c r="AB221" s="30"/>
      <c r="AE221" s="27"/>
      <c r="AF221" s="27"/>
      <c r="AG221" s="27"/>
      <c r="AJ221" s="27">
        <f t="shared" si="6"/>
        <v>0</v>
      </c>
      <c r="AK221" s="27">
        <f t="shared" si="7"/>
        <v>0</v>
      </c>
    </row>
    <row r="222" spans="1:37">
      <c r="A222" s="29"/>
      <c r="H222" s="30"/>
      <c r="I222" s="30"/>
      <c r="L222" s="27"/>
      <c r="M222" s="27"/>
      <c r="N222" s="27"/>
      <c r="O222" s="30"/>
      <c r="P222" s="30"/>
      <c r="Q222" s="30"/>
      <c r="R222" s="30"/>
      <c r="S222" s="30"/>
      <c r="V222" s="27"/>
      <c r="W222" s="27"/>
      <c r="X222" s="27"/>
      <c r="Y222" s="27"/>
      <c r="Z222" s="30"/>
      <c r="AA222" s="27"/>
      <c r="AB222" s="30"/>
      <c r="AE222" s="27"/>
      <c r="AF222" s="27"/>
      <c r="AG222" s="27"/>
      <c r="AJ222" s="27">
        <f t="shared" si="6"/>
        <v>0</v>
      </c>
      <c r="AK222" s="27">
        <f t="shared" si="7"/>
        <v>0</v>
      </c>
    </row>
    <row r="223" spans="1:37">
      <c r="A223" s="29"/>
      <c r="H223" s="30"/>
      <c r="I223" s="30"/>
      <c r="L223" s="27"/>
      <c r="M223" s="27"/>
      <c r="N223" s="27"/>
      <c r="O223" s="30"/>
      <c r="P223" s="30"/>
      <c r="Q223" s="30"/>
      <c r="R223" s="30"/>
      <c r="S223" s="30"/>
      <c r="V223" s="27"/>
      <c r="W223" s="27"/>
      <c r="X223" s="27"/>
      <c r="Y223" s="27"/>
      <c r="Z223" s="30"/>
      <c r="AA223" s="27"/>
      <c r="AB223" s="30"/>
      <c r="AE223" s="27"/>
      <c r="AF223" s="27"/>
      <c r="AG223" s="27"/>
      <c r="AJ223" s="27">
        <f t="shared" si="6"/>
        <v>0</v>
      </c>
      <c r="AK223" s="27">
        <f t="shared" si="7"/>
        <v>0</v>
      </c>
    </row>
    <row r="224" spans="1:37">
      <c r="A224" s="29"/>
      <c r="H224" s="30"/>
      <c r="I224" s="30"/>
      <c r="L224" s="27"/>
      <c r="M224" s="27"/>
      <c r="N224" s="27"/>
      <c r="O224" s="30"/>
      <c r="P224" s="30"/>
      <c r="Q224" s="30"/>
      <c r="R224" s="30"/>
      <c r="S224" s="30"/>
      <c r="V224" s="27"/>
      <c r="W224" s="27"/>
      <c r="X224" s="27"/>
      <c r="Y224" s="27"/>
      <c r="Z224" s="30"/>
      <c r="AA224" s="27"/>
      <c r="AB224" s="30"/>
      <c r="AE224" s="27"/>
      <c r="AF224" s="27"/>
      <c r="AG224" s="27"/>
      <c r="AJ224" s="27">
        <f t="shared" si="6"/>
        <v>0</v>
      </c>
      <c r="AK224" s="27">
        <f t="shared" si="7"/>
        <v>0</v>
      </c>
    </row>
    <row r="225" spans="1:37">
      <c r="A225" s="29"/>
      <c r="H225" s="30"/>
      <c r="I225" s="30"/>
      <c r="L225" s="27"/>
      <c r="M225" s="27"/>
      <c r="N225" s="27"/>
      <c r="O225" s="30"/>
      <c r="P225" s="30"/>
      <c r="Q225" s="30"/>
      <c r="R225" s="30"/>
      <c r="S225" s="30"/>
      <c r="V225" s="27"/>
      <c r="W225" s="27"/>
      <c r="X225" s="27"/>
      <c r="Y225" s="27"/>
      <c r="Z225" s="30"/>
      <c r="AA225" s="27"/>
      <c r="AB225" s="30"/>
      <c r="AE225" s="27"/>
      <c r="AF225" s="27"/>
      <c r="AG225" s="27"/>
      <c r="AJ225" s="27">
        <f t="shared" si="6"/>
        <v>0</v>
      </c>
      <c r="AK225" s="27">
        <f t="shared" si="7"/>
        <v>0</v>
      </c>
    </row>
    <row r="226" spans="1:37">
      <c r="A226" s="29"/>
      <c r="H226" s="30"/>
      <c r="I226" s="30"/>
      <c r="L226" s="27"/>
      <c r="M226" s="27"/>
      <c r="N226" s="27"/>
      <c r="O226" s="30"/>
      <c r="P226" s="30"/>
      <c r="Q226" s="30"/>
      <c r="R226" s="30"/>
      <c r="S226" s="30"/>
      <c r="V226" s="27"/>
      <c r="W226" s="27"/>
      <c r="X226" s="27"/>
      <c r="Y226" s="27"/>
      <c r="Z226" s="30"/>
      <c r="AA226" s="27"/>
      <c r="AB226" s="30"/>
      <c r="AE226" s="27"/>
      <c r="AF226" s="27"/>
      <c r="AG226" s="27"/>
      <c r="AJ226" s="27">
        <f t="shared" si="6"/>
        <v>0</v>
      </c>
      <c r="AK226" s="27">
        <f t="shared" si="7"/>
        <v>0</v>
      </c>
    </row>
    <row r="227" spans="1:37">
      <c r="A227" s="29"/>
      <c r="H227" s="30"/>
      <c r="I227" s="30"/>
      <c r="L227" s="27"/>
      <c r="M227" s="27"/>
      <c r="N227" s="27"/>
      <c r="O227" s="30"/>
      <c r="P227" s="30"/>
      <c r="Q227" s="30"/>
      <c r="R227" s="30"/>
      <c r="S227" s="30"/>
      <c r="V227" s="27"/>
      <c r="W227" s="27"/>
      <c r="X227" s="27"/>
      <c r="Y227" s="27"/>
      <c r="Z227" s="30"/>
      <c r="AA227" s="27"/>
      <c r="AB227" s="30"/>
      <c r="AE227" s="27"/>
      <c r="AF227" s="27"/>
      <c r="AG227" s="27"/>
      <c r="AJ227" s="27">
        <f t="shared" si="6"/>
        <v>0</v>
      </c>
      <c r="AK227" s="27">
        <f t="shared" si="7"/>
        <v>0</v>
      </c>
    </row>
    <row r="228" spans="1:37">
      <c r="A228" s="29"/>
      <c r="H228" s="30"/>
      <c r="I228" s="30"/>
      <c r="L228" s="27"/>
      <c r="M228" s="27"/>
      <c r="N228" s="27"/>
      <c r="O228" s="30"/>
      <c r="P228" s="30"/>
      <c r="Q228" s="30"/>
      <c r="R228" s="30"/>
      <c r="S228" s="30"/>
      <c r="V228" s="27"/>
      <c r="W228" s="27"/>
      <c r="X228" s="27"/>
      <c r="Y228" s="27"/>
      <c r="Z228" s="30"/>
      <c r="AA228" s="27"/>
      <c r="AB228" s="30"/>
      <c r="AE228" s="27"/>
      <c r="AF228" s="27"/>
      <c r="AG228" s="27"/>
      <c r="AJ228" s="27">
        <f t="shared" si="6"/>
        <v>0</v>
      </c>
      <c r="AK228" s="27">
        <f t="shared" si="7"/>
        <v>0</v>
      </c>
    </row>
    <row r="229" spans="1:37">
      <c r="A229" s="29"/>
      <c r="H229" s="30"/>
      <c r="I229" s="30"/>
      <c r="L229" s="27"/>
      <c r="M229" s="27"/>
      <c r="N229" s="27"/>
      <c r="O229" s="30"/>
      <c r="P229" s="30"/>
      <c r="Q229" s="30"/>
      <c r="R229" s="30"/>
      <c r="S229" s="30"/>
      <c r="V229" s="27"/>
      <c r="W229" s="27"/>
      <c r="X229" s="27"/>
      <c r="Y229" s="27"/>
      <c r="Z229" s="30"/>
      <c r="AA229" s="27"/>
      <c r="AB229" s="30"/>
      <c r="AE229" s="27"/>
      <c r="AF229" s="27"/>
      <c r="AG229" s="27"/>
      <c r="AJ229" s="27">
        <f t="shared" si="6"/>
        <v>0</v>
      </c>
      <c r="AK229" s="27">
        <f t="shared" si="7"/>
        <v>0</v>
      </c>
    </row>
    <row r="230" spans="1:37">
      <c r="A230" s="29"/>
      <c r="H230" s="30"/>
      <c r="I230" s="30"/>
      <c r="L230" s="27"/>
      <c r="M230" s="27"/>
      <c r="N230" s="27"/>
      <c r="O230" s="30"/>
      <c r="P230" s="30"/>
      <c r="Q230" s="30"/>
      <c r="R230" s="30"/>
      <c r="S230" s="30"/>
      <c r="V230" s="27"/>
      <c r="W230" s="27"/>
      <c r="X230" s="27"/>
      <c r="Y230" s="27"/>
      <c r="Z230" s="30"/>
      <c r="AA230" s="27"/>
      <c r="AB230" s="30"/>
      <c r="AE230" s="27"/>
      <c r="AF230" s="27"/>
      <c r="AG230" s="27"/>
      <c r="AJ230" s="27">
        <f t="shared" si="6"/>
        <v>0</v>
      </c>
      <c r="AK230" s="27">
        <f t="shared" si="7"/>
        <v>0</v>
      </c>
    </row>
    <row r="231" spans="1:37">
      <c r="A231" s="29"/>
      <c r="H231" s="30"/>
      <c r="I231" s="30"/>
      <c r="L231" s="27"/>
      <c r="M231" s="27"/>
      <c r="N231" s="27"/>
      <c r="O231" s="30"/>
      <c r="P231" s="30"/>
      <c r="Q231" s="30"/>
      <c r="R231" s="30"/>
      <c r="S231" s="30"/>
      <c r="V231" s="27"/>
      <c r="W231" s="27"/>
      <c r="X231" s="27"/>
      <c r="Y231" s="27"/>
      <c r="Z231" s="30"/>
      <c r="AA231" s="27"/>
      <c r="AB231" s="30"/>
      <c r="AE231" s="27"/>
      <c r="AF231" s="27"/>
      <c r="AG231" s="27"/>
      <c r="AJ231" s="27">
        <f t="shared" si="6"/>
        <v>0</v>
      </c>
      <c r="AK231" s="27">
        <f t="shared" si="7"/>
        <v>0</v>
      </c>
    </row>
    <row r="232" spans="1:37">
      <c r="A232" s="29"/>
      <c r="H232" s="30"/>
      <c r="I232" s="30"/>
      <c r="L232" s="27"/>
      <c r="M232" s="27"/>
      <c r="N232" s="27"/>
      <c r="O232" s="30"/>
      <c r="P232" s="30"/>
      <c r="Q232" s="30"/>
      <c r="R232" s="30"/>
      <c r="S232" s="30"/>
      <c r="V232" s="27"/>
      <c r="W232" s="27"/>
      <c r="X232" s="27"/>
      <c r="Y232" s="27"/>
      <c r="Z232" s="30"/>
      <c r="AA232" s="27"/>
      <c r="AB232" s="30"/>
      <c r="AE232" s="27"/>
      <c r="AF232" s="27"/>
      <c r="AG232" s="27"/>
      <c r="AJ232" s="27">
        <f t="shared" si="6"/>
        <v>0</v>
      </c>
      <c r="AK232" s="27">
        <f t="shared" si="7"/>
        <v>0</v>
      </c>
    </row>
    <row r="233" spans="1:37">
      <c r="A233" s="29"/>
      <c r="H233" s="30"/>
      <c r="I233" s="30"/>
      <c r="L233" s="27"/>
      <c r="M233" s="27"/>
      <c r="N233" s="27"/>
      <c r="O233" s="30"/>
      <c r="P233" s="30"/>
      <c r="Q233" s="30"/>
      <c r="R233" s="30"/>
      <c r="S233" s="30"/>
      <c r="V233" s="27"/>
      <c r="W233" s="27"/>
      <c r="X233" s="27"/>
      <c r="Y233" s="27"/>
      <c r="Z233" s="30"/>
      <c r="AA233" s="27"/>
      <c r="AB233" s="30"/>
      <c r="AE233" s="27"/>
      <c r="AF233" s="27"/>
      <c r="AG233" s="27"/>
      <c r="AJ233" s="27">
        <f t="shared" si="6"/>
        <v>0</v>
      </c>
      <c r="AK233" s="27">
        <f t="shared" si="7"/>
        <v>0</v>
      </c>
    </row>
    <row r="234" spans="1:37">
      <c r="A234" s="29"/>
      <c r="H234" s="30"/>
      <c r="I234" s="30"/>
      <c r="L234" s="27"/>
      <c r="M234" s="27"/>
      <c r="N234" s="27"/>
      <c r="O234" s="30"/>
      <c r="P234" s="30"/>
      <c r="Q234" s="30"/>
      <c r="R234" s="30"/>
      <c r="S234" s="30"/>
      <c r="V234" s="27"/>
      <c r="W234" s="27"/>
      <c r="X234" s="27"/>
      <c r="Y234" s="27"/>
      <c r="Z234" s="30"/>
      <c r="AA234" s="27"/>
      <c r="AB234" s="30"/>
      <c r="AE234" s="27"/>
      <c r="AF234" s="27"/>
      <c r="AG234" s="27"/>
      <c r="AJ234" s="27">
        <f t="shared" si="6"/>
        <v>0</v>
      </c>
      <c r="AK234" s="27">
        <f t="shared" si="7"/>
        <v>0</v>
      </c>
    </row>
    <row r="235" spans="1:37">
      <c r="A235" s="29"/>
      <c r="H235" s="30"/>
      <c r="I235" s="30"/>
      <c r="L235" s="27"/>
      <c r="M235" s="27"/>
      <c r="N235" s="27"/>
      <c r="O235" s="30"/>
      <c r="P235" s="30"/>
      <c r="Q235" s="30"/>
      <c r="R235" s="30"/>
      <c r="S235" s="30"/>
      <c r="V235" s="27"/>
      <c r="W235" s="27"/>
      <c r="X235" s="27"/>
      <c r="Y235" s="27"/>
      <c r="Z235" s="30"/>
      <c r="AA235" s="27"/>
      <c r="AB235" s="30"/>
      <c r="AE235" s="27"/>
      <c r="AF235" s="27"/>
      <c r="AG235" s="27"/>
      <c r="AJ235" s="27">
        <f t="shared" si="6"/>
        <v>0</v>
      </c>
      <c r="AK235" s="27">
        <f t="shared" si="7"/>
        <v>0</v>
      </c>
    </row>
    <row r="236" spans="1:37">
      <c r="A236" s="29"/>
      <c r="H236" s="30"/>
      <c r="I236" s="30"/>
      <c r="L236" s="27"/>
      <c r="M236" s="27"/>
      <c r="N236" s="27"/>
      <c r="O236" s="30"/>
      <c r="P236" s="30"/>
      <c r="Q236" s="30"/>
      <c r="R236" s="30"/>
      <c r="S236" s="30"/>
      <c r="V236" s="27"/>
      <c r="W236" s="27"/>
      <c r="X236" s="27"/>
      <c r="Y236" s="27"/>
      <c r="Z236" s="30"/>
      <c r="AA236" s="27"/>
      <c r="AB236" s="30"/>
      <c r="AE236" s="27"/>
      <c r="AF236" s="27"/>
      <c r="AG236" s="27"/>
      <c r="AJ236" s="27">
        <f t="shared" si="6"/>
        <v>0</v>
      </c>
      <c r="AK236" s="27">
        <f t="shared" si="7"/>
        <v>0</v>
      </c>
    </row>
    <row r="237" spans="1:37">
      <c r="A237" s="29"/>
      <c r="H237" s="30"/>
      <c r="I237" s="30"/>
      <c r="L237" s="27"/>
      <c r="M237" s="27"/>
      <c r="N237" s="27"/>
      <c r="O237" s="30"/>
      <c r="P237" s="30"/>
      <c r="Q237" s="30"/>
      <c r="R237" s="30"/>
      <c r="S237" s="30"/>
      <c r="V237" s="27"/>
      <c r="W237" s="27"/>
      <c r="X237" s="27"/>
      <c r="Y237" s="27"/>
      <c r="Z237" s="30"/>
      <c r="AA237" s="27"/>
      <c r="AB237" s="30"/>
      <c r="AE237" s="27"/>
      <c r="AF237" s="27"/>
      <c r="AG237" s="27"/>
      <c r="AJ237" s="27">
        <f t="shared" si="6"/>
        <v>0</v>
      </c>
      <c r="AK237" s="27">
        <f t="shared" si="7"/>
        <v>0</v>
      </c>
    </row>
    <row r="238" spans="1:37">
      <c r="A238" s="29"/>
      <c r="H238" s="30"/>
      <c r="I238" s="30"/>
      <c r="L238" s="27"/>
      <c r="M238" s="27"/>
      <c r="N238" s="27"/>
      <c r="O238" s="30"/>
      <c r="P238" s="30"/>
      <c r="Q238" s="30"/>
      <c r="R238" s="30"/>
      <c r="S238" s="30"/>
      <c r="V238" s="27"/>
      <c r="W238" s="27"/>
      <c r="X238" s="27"/>
      <c r="Y238" s="27"/>
      <c r="Z238" s="30"/>
      <c r="AA238" s="27"/>
      <c r="AB238" s="30"/>
      <c r="AE238" s="27"/>
      <c r="AF238" s="27"/>
      <c r="AG238" s="27"/>
      <c r="AJ238" s="27">
        <f t="shared" si="6"/>
        <v>0</v>
      </c>
      <c r="AK238" s="27">
        <f t="shared" si="7"/>
        <v>0</v>
      </c>
    </row>
    <row r="239" spans="1:37">
      <c r="A239" s="29"/>
      <c r="H239" s="30"/>
      <c r="I239" s="30"/>
      <c r="L239" s="27"/>
      <c r="M239" s="27"/>
      <c r="N239" s="27"/>
      <c r="O239" s="30"/>
      <c r="P239" s="30"/>
      <c r="Q239" s="30"/>
      <c r="R239" s="30"/>
      <c r="S239" s="30"/>
      <c r="V239" s="27"/>
      <c r="W239" s="27"/>
      <c r="X239" s="27"/>
      <c r="Y239" s="27"/>
      <c r="Z239" s="30"/>
      <c r="AA239" s="27"/>
      <c r="AB239" s="30"/>
      <c r="AE239" s="27"/>
      <c r="AF239" s="27"/>
      <c r="AG239" s="27"/>
      <c r="AJ239" s="27">
        <f t="shared" si="6"/>
        <v>0</v>
      </c>
      <c r="AK239" s="27">
        <f t="shared" si="7"/>
        <v>0</v>
      </c>
    </row>
    <row r="240" spans="1:37">
      <c r="A240" s="29"/>
      <c r="H240" s="30"/>
      <c r="I240" s="30"/>
      <c r="L240" s="27"/>
      <c r="M240" s="27"/>
      <c r="N240" s="27"/>
      <c r="O240" s="30"/>
      <c r="P240" s="30"/>
      <c r="Q240" s="30"/>
      <c r="R240" s="30"/>
      <c r="S240" s="30"/>
      <c r="V240" s="27"/>
      <c r="W240" s="27"/>
      <c r="X240" s="27"/>
      <c r="Y240" s="27"/>
      <c r="Z240" s="30"/>
      <c r="AA240" s="27"/>
      <c r="AB240" s="30"/>
      <c r="AE240" s="27"/>
      <c r="AF240" s="27"/>
      <c r="AG240" s="27"/>
      <c r="AJ240" s="27">
        <f t="shared" si="6"/>
        <v>0</v>
      </c>
      <c r="AK240" s="27">
        <f t="shared" si="7"/>
        <v>0</v>
      </c>
    </row>
    <row r="241" spans="1:37">
      <c r="A241" s="29"/>
      <c r="H241" s="30"/>
      <c r="I241" s="30"/>
      <c r="L241" s="27"/>
      <c r="M241" s="27"/>
      <c r="N241" s="27"/>
      <c r="O241" s="30"/>
      <c r="P241" s="30"/>
      <c r="Q241" s="30"/>
      <c r="R241" s="30"/>
      <c r="S241" s="30"/>
      <c r="V241" s="27"/>
      <c r="W241" s="27"/>
      <c r="X241" s="27"/>
      <c r="Y241" s="27"/>
      <c r="Z241" s="30"/>
      <c r="AA241" s="27"/>
      <c r="AB241" s="30"/>
      <c r="AE241" s="27"/>
      <c r="AF241" s="27"/>
      <c r="AG241" s="27"/>
      <c r="AJ241" s="27">
        <f t="shared" si="6"/>
        <v>0</v>
      </c>
      <c r="AK241" s="27">
        <f t="shared" si="7"/>
        <v>0</v>
      </c>
    </row>
    <row r="242" spans="1:37">
      <c r="A242" s="29"/>
      <c r="H242" s="30"/>
      <c r="I242" s="30"/>
      <c r="L242" s="27"/>
      <c r="M242" s="27"/>
      <c r="N242" s="27"/>
      <c r="O242" s="30"/>
      <c r="P242" s="30"/>
      <c r="Q242" s="30"/>
      <c r="R242" s="30"/>
      <c r="S242" s="30"/>
      <c r="V242" s="27"/>
      <c r="W242" s="27"/>
      <c r="X242" s="27"/>
      <c r="Y242" s="27"/>
      <c r="Z242" s="30"/>
      <c r="AA242" s="27"/>
      <c r="AB242" s="30"/>
      <c r="AE242" s="27"/>
      <c r="AF242" s="27"/>
      <c r="AG242" s="27"/>
      <c r="AJ242" s="27">
        <f t="shared" si="6"/>
        <v>0</v>
      </c>
      <c r="AK242" s="27">
        <f t="shared" si="7"/>
        <v>0</v>
      </c>
    </row>
    <row r="243" spans="1:37">
      <c r="A243" s="29"/>
      <c r="H243" s="30"/>
      <c r="I243" s="30"/>
      <c r="L243" s="27"/>
      <c r="M243" s="27"/>
      <c r="N243" s="27"/>
      <c r="O243" s="30"/>
      <c r="P243" s="30"/>
      <c r="Q243" s="30"/>
      <c r="R243" s="30"/>
      <c r="S243" s="30"/>
      <c r="V243" s="27"/>
      <c r="W243" s="27"/>
      <c r="X243" s="27"/>
      <c r="Y243" s="27"/>
      <c r="Z243" s="30"/>
      <c r="AA243" s="27"/>
      <c r="AB243" s="30"/>
      <c r="AE243" s="27"/>
      <c r="AF243" s="27"/>
      <c r="AG243" s="27"/>
      <c r="AJ243" s="27">
        <f t="shared" si="6"/>
        <v>0</v>
      </c>
      <c r="AK243" s="27">
        <f t="shared" si="7"/>
        <v>0</v>
      </c>
    </row>
    <row r="244" spans="1:37">
      <c r="A244" s="29"/>
      <c r="H244" s="30"/>
      <c r="I244" s="30"/>
      <c r="L244" s="27"/>
      <c r="M244" s="27"/>
      <c r="N244" s="27"/>
      <c r="O244" s="30"/>
      <c r="P244" s="30"/>
      <c r="Q244" s="30"/>
      <c r="R244" s="30"/>
      <c r="S244" s="30"/>
      <c r="V244" s="27"/>
      <c r="W244" s="27"/>
      <c r="X244" s="27"/>
      <c r="Y244" s="27"/>
      <c r="Z244" s="30"/>
      <c r="AA244" s="27"/>
      <c r="AB244" s="30"/>
      <c r="AE244" s="27"/>
      <c r="AF244" s="27"/>
      <c r="AG244" s="27"/>
      <c r="AJ244" s="27">
        <f t="shared" si="6"/>
        <v>0</v>
      </c>
      <c r="AK244" s="27">
        <f t="shared" si="7"/>
        <v>0</v>
      </c>
    </row>
    <row r="245" spans="1:37">
      <c r="A245" s="29"/>
      <c r="H245" s="30"/>
      <c r="I245" s="30"/>
      <c r="L245" s="27"/>
      <c r="M245" s="27"/>
      <c r="N245" s="27"/>
      <c r="O245" s="30"/>
      <c r="P245" s="30"/>
      <c r="Q245" s="30"/>
      <c r="R245" s="30"/>
      <c r="S245" s="30"/>
      <c r="V245" s="27"/>
      <c r="W245" s="27"/>
      <c r="X245" s="27"/>
      <c r="Y245" s="27"/>
      <c r="Z245" s="30"/>
      <c r="AA245" s="27"/>
      <c r="AB245" s="30"/>
      <c r="AE245" s="27"/>
      <c r="AF245" s="27"/>
      <c r="AG245" s="27"/>
      <c r="AJ245" s="27">
        <f t="shared" si="6"/>
        <v>0</v>
      </c>
      <c r="AK245" s="27">
        <f t="shared" si="7"/>
        <v>0</v>
      </c>
    </row>
    <row r="246" spans="1:37">
      <c r="A246" s="29"/>
      <c r="H246" s="30"/>
      <c r="I246" s="30"/>
      <c r="L246" s="27"/>
      <c r="M246" s="27"/>
      <c r="N246" s="27"/>
      <c r="O246" s="30"/>
      <c r="P246" s="30"/>
      <c r="Q246" s="30"/>
      <c r="R246" s="30"/>
      <c r="S246" s="30"/>
      <c r="V246" s="27"/>
      <c r="W246" s="27"/>
      <c r="X246" s="27"/>
      <c r="Y246" s="27"/>
      <c r="Z246" s="30"/>
      <c r="AA246" s="27"/>
      <c r="AB246" s="30"/>
      <c r="AE246" s="27"/>
      <c r="AF246" s="27"/>
      <c r="AG246" s="27"/>
      <c r="AJ246" s="27">
        <f t="shared" si="6"/>
        <v>0</v>
      </c>
      <c r="AK246" s="27">
        <f t="shared" si="7"/>
        <v>0</v>
      </c>
    </row>
    <row r="247" spans="1:37">
      <c r="A247" s="29"/>
      <c r="H247" s="30"/>
      <c r="I247" s="30"/>
      <c r="L247" s="27"/>
      <c r="M247" s="27"/>
      <c r="N247" s="27"/>
      <c r="O247" s="30"/>
      <c r="P247" s="30"/>
      <c r="Q247" s="30"/>
      <c r="R247" s="30"/>
      <c r="S247" s="30"/>
      <c r="V247" s="27"/>
      <c r="W247" s="27"/>
      <c r="X247" s="27"/>
      <c r="Y247" s="27"/>
      <c r="Z247" s="30"/>
      <c r="AA247" s="27"/>
      <c r="AB247" s="30"/>
      <c r="AE247" s="27"/>
      <c r="AF247" s="27"/>
      <c r="AG247" s="27"/>
      <c r="AJ247" s="27">
        <f t="shared" si="6"/>
        <v>0</v>
      </c>
      <c r="AK247" s="27">
        <f t="shared" si="7"/>
        <v>0</v>
      </c>
    </row>
    <row r="248" spans="1:37">
      <c r="A248" s="29"/>
      <c r="H248" s="30"/>
      <c r="I248" s="30"/>
      <c r="L248" s="27"/>
      <c r="M248" s="27"/>
      <c r="N248" s="27"/>
      <c r="O248" s="30"/>
      <c r="P248" s="30"/>
      <c r="Q248" s="30"/>
      <c r="R248" s="30"/>
      <c r="S248" s="30"/>
      <c r="V248" s="27"/>
      <c r="W248" s="27"/>
      <c r="X248" s="27"/>
      <c r="Y248" s="27"/>
      <c r="Z248" s="30"/>
      <c r="AA248" s="27"/>
      <c r="AB248" s="30"/>
      <c r="AE248" s="27"/>
      <c r="AF248" s="27"/>
      <c r="AG248" s="27"/>
      <c r="AJ248" s="27">
        <f t="shared" si="6"/>
        <v>0</v>
      </c>
      <c r="AK248" s="27">
        <f t="shared" si="7"/>
        <v>0</v>
      </c>
    </row>
    <row r="249" spans="1:37">
      <c r="A249" s="29"/>
      <c r="H249" s="30"/>
      <c r="I249" s="30"/>
      <c r="L249" s="27"/>
      <c r="M249" s="27"/>
      <c r="N249" s="27"/>
      <c r="O249" s="30"/>
      <c r="P249" s="30"/>
      <c r="Q249" s="30"/>
      <c r="R249" s="30"/>
      <c r="S249" s="30"/>
      <c r="V249" s="27"/>
      <c r="W249" s="27"/>
      <c r="X249" s="27"/>
      <c r="Y249" s="27"/>
      <c r="Z249" s="30"/>
      <c r="AA249" s="27"/>
      <c r="AB249" s="30"/>
      <c r="AE249" s="27"/>
      <c r="AF249" s="27"/>
      <c r="AG249" s="27"/>
      <c r="AJ249" s="27">
        <f t="shared" si="6"/>
        <v>0</v>
      </c>
      <c r="AK249" s="27">
        <f t="shared" si="7"/>
        <v>0</v>
      </c>
    </row>
    <row r="250" spans="1:37">
      <c r="A250" s="29"/>
      <c r="H250" s="30"/>
      <c r="I250" s="30"/>
      <c r="L250" s="27"/>
      <c r="M250" s="27"/>
      <c r="N250" s="27"/>
      <c r="O250" s="30"/>
      <c r="P250" s="30"/>
      <c r="Q250" s="30"/>
      <c r="R250" s="30"/>
      <c r="S250" s="30"/>
      <c r="V250" s="27"/>
      <c r="W250" s="27"/>
      <c r="X250" s="27"/>
      <c r="Y250" s="27"/>
      <c r="Z250" s="30"/>
      <c r="AA250" s="27"/>
      <c r="AB250" s="30"/>
      <c r="AE250" s="27"/>
      <c r="AF250" s="27"/>
      <c r="AG250" s="27"/>
      <c r="AJ250" s="27">
        <f t="shared" si="6"/>
        <v>0</v>
      </c>
      <c r="AK250" s="27">
        <f t="shared" si="7"/>
        <v>0</v>
      </c>
    </row>
    <row r="251" spans="1:37">
      <c r="A251" s="29"/>
      <c r="H251" s="30"/>
      <c r="I251" s="30"/>
      <c r="L251" s="27"/>
      <c r="M251" s="27"/>
      <c r="N251" s="27"/>
      <c r="O251" s="30"/>
      <c r="P251" s="30"/>
      <c r="Q251" s="30"/>
      <c r="R251" s="30"/>
      <c r="S251" s="30"/>
      <c r="V251" s="27"/>
      <c r="W251" s="27"/>
      <c r="X251" s="27"/>
      <c r="Y251" s="27"/>
      <c r="Z251" s="30"/>
      <c r="AA251" s="27"/>
      <c r="AB251" s="30"/>
      <c r="AE251" s="27"/>
      <c r="AF251" s="27"/>
      <c r="AG251" s="27"/>
      <c r="AJ251" s="27">
        <f t="shared" si="6"/>
        <v>0</v>
      </c>
      <c r="AK251" s="27">
        <f t="shared" si="7"/>
        <v>0</v>
      </c>
    </row>
    <row r="252" spans="1:37">
      <c r="A252" s="29"/>
      <c r="H252" s="30"/>
      <c r="I252" s="30"/>
      <c r="L252" s="27"/>
      <c r="M252" s="27"/>
      <c r="N252" s="27"/>
      <c r="O252" s="30"/>
      <c r="P252" s="30"/>
      <c r="Q252" s="30"/>
      <c r="R252" s="30"/>
      <c r="S252" s="30"/>
      <c r="V252" s="27"/>
      <c r="W252" s="27"/>
      <c r="X252" s="27"/>
      <c r="Y252" s="27"/>
      <c r="Z252" s="30"/>
      <c r="AA252" s="27"/>
      <c r="AB252" s="30"/>
      <c r="AE252" s="27"/>
      <c r="AF252" s="27"/>
      <c r="AG252" s="27"/>
      <c r="AJ252" s="27">
        <f t="shared" si="6"/>
        <v>0</v>
      </c>
      <c r="AK252" s="27">
        <f t="shared" si="7"/>
        <v>0</v>
      </c>
    </row>
    <row r="253" spans="1:37">
      <c r="A253" s="29"/>
      <c r="H253" s="30"/>
      <c r="I253" s="30"/>
      <c r="L253" s="27"/>
      <c r="M253" s="27"/>
      <c r="N253" s="27"/>
      <c r="O253" s="30"/>
      <c r="P253" s="30"/>
      <c r="Q253" s="30"/>
      <c r="R253" s="30"/>
      <c r="S253" s="30"/>
      <c r="V253" s="27"/>
      <c r="W253" s="27"/>
      <c r="X253" s="27"/>
      <c r="Y253" s="27"/>
      <c r="Z253" s="30"/>
      <c r="AA253" s="27"/>
      <c r="AB253" s="30"/>
      <c r="AE253" s="27"/>
      <c r="AF253" s="27"/>
      <c r="AG253" s="27"/>
      <c r="AJ253" s="27">
        <f t="shared" si="6"/>
        <v>0</v>
      </c>
      <c r="AK253" s="27">
        <f t="shared" si="7"/>
        <v>0</v>
      </c>
    </row>
    <row r="254" spans="1:37">
      <c r="A254" s="29"/>
      <c r="H254" s="30"/>
      <c r="I254" s="30"/>
      <c r="L254" s="27"/>
      <c r="M254" s="27"/>
      <c r="N254" s="27"/>
      <c r="O254" s="30"/>
      <c r="P254" s="30"/>
      <c r="Q254" s="30"/>
      <c r="R254" s="30"/>
      <c r="S254" s="30"/>
      <c r="V254" s="27"/>
      <c r="W254" s="27"/>
      <c r="X254" s="27"/>
      <c r="Y254" s="27"/>
      <c r="Z254" s="30"/>
      <c r="AA254" s="27"/>
      <c r="AB254" s="30"/>
      <c r="AE254" s="27"/>
      <c r="AF254" s="27"/>
      <c r="AG254" s="27"/>
      <c r="AJ254" s="27">
        <f t="shared" si="6"/>
        <v>0</v>
      </c>
      <c r="AK254" s="27">
        <f t="shared" si="7"/>
        <v>0</v>
      </c>
    </row>
    <row r="255" spans="1:37">
      <c r="A255" s="29"/>
      <c r="H255" s="30"/>
      <c r="I255" s="30"/>
      <c r="L255" s="27"/>
      <c r="M255" s="27"/>
      <c r="N255" s="27"/>
      <c r="O255" s="30"/>
      <c r="P255" s="30"/>
      <c r="Q255" s="30"/>
      <c r="R255" s="30"/>
      <c r="S255" s="30"/>
      <c r="V255" s="27"/>
      <c r="W255" s="27"/>
      <c r="X255" s="27"/>
      <c r="Y255" s="27"/>
      <c r="Z255" s="30"/>
      <c r="AA255" s="27"/>
      <c r="AB255" s="30"/>
      <c r="AE255" s="27"/>
      <c r="AF255" s="27"/>
      <c r="AG255" s="27"/>
      <c r="AJ255" s="27">
        <f t="shared" si="6"/>
        <v>0</v>
      </c>
      <c r="AK255" s="27">
        <f t="shared" si="7"/>
        <v>0</v>
      </c>
    </row>
    <row r="256" spans="1:37">
      <c r="A256" s="29"/>
      <c r="H256" s="30"/>
      <c r="I256" s="30"/>
      <c r="L256" s="27"/>
      <c r="M256" s="27"/>
      <c r="N256" s="27"/>
      <c r="O256" s="30"/>
      <c r="P256" s="30"/>
      <c r="Q256" s="30"/>
      <c r="R256" s="30"/>
      <c r="S256" s="30"/>
      <c r="V256" s="27"/>
      <c r="W256" s="27"/>
      <c r="X256" s="27"/>
      <c r="Y256" s="27"/>
      <c r="Z256" s="30"/>
      <c r="AA256" s="27"/>
      <c r="AB256" s="30"/>
      <c r="AE256" s="27"/>
      <c r="AF256" s="27"/>
      <c r="AG256" s="27"/>
      <c r="AJ256" s="27">
        <f t="shared" si="6"/>
        <v>0</v>
      </c>
      <c r="AK256" s="27">
        <f t="shared" si="7"/>
        <v>0</v>
      </c>
    </row>
    <row r="257" spans="1:37">
      <c r="A257" s="29"/>
      <c r="H257" s="30"/>
      <c r="I257" s="30"/>
      <c r="L257" s="27"/>
      <c r="M257" s="27"/>
      <c r="N257" s="27"/>
      <c r="O257" s="30"/>
      <c r="P257" s="30"/>
      <c r="Q257" s="30"/>
      <c r="R257" s="30"/>
      <c r="S257" s="30"/>
      <c r="V257" s="27"/>
      <c r="W257" s="27"/>
      <c r="X257" s="27"/>
      <c r="Y257" s="27"/>
      <c r="Z257" s="30"/>
      <c r="AA257" s="27"/>
      <c r="AB257" s="30"/>
      <c r="AE257" s="27"/>
      <c r="AF257" s="27"/>
      <c r="AG257" s="27"/>
      <c r="AJ257" s="27">
        <f t="shared" si="6"/>
        <v>0</v>
      </c>
      <c r="AK257" s="27">
        <f t="shared" si="7"/>
        <v>0</v>
      </c>
    </row>
    <row r="258" spans="1:37">
      <c r="A258" s="29"/>
      <c r="H258" s="30"/>
      <c r="I258" s="30"/>
      <c r="L258" s="27"/>
      <c r="M258" s="27"/>
      <c r="N258" s="27"/>
      <c r="O258" s="30"/>
      <c r="P258" s="30"/>
      <c r="Q258" s="30"/>
      <c r="R258" s="30"/>
      <c r="S258" s="30"/>
      <c r="V258" s="27"/>
      <c r="W258" s="27"/>
      <c r="X258" s="27"/>
      <c r="Y258" s="27"/>
      <c r="Z258" s="30"/>
      <c r="AA258" s="27"/>
      <c r="AB258" s="30"/>
      <c r="AE258" s="27"/>
      <c r="AF258" s="27"/>
      <c r="AG258" s="27"/>
      <c r="AJ258" s="27">
        <f t="shared" ref="AJ258:AJ300" si="8">SUM(V258:Y258)+AG258</f>
        <v>0</v>
      </c>
      <c r="AK258" s="27">
        <f t="shared" ref="AK258:AK321" si="9">MAX(M258-N258,0)+MAX(AJ258-AA258,0)+AE258+AF258</f>
        <v>0</v>
      </c>
    </row>
    <row r="259" spans="1:37">
      <c r="A259" s="29"/>
      <c r="H259" s="30"/>
      <c r="I259" s="30"/>
      <c r="L259" s="27"/>
      <c r="M259" s="27"/>
      <c r="N259" s="27"/>
      <c r="O259" s="30"/>
      <c r="P259" s="30"/>
      <c r="Q259" s="30"/>
      <c r="R259" s="30"/>
      <c r="S259" s="30"/>
      <c r="V259" s="27"/>
      <c r="W259" s="27"/>
      <c r="X259" s="27"/>
      <c r="Y259" s="27"/>
      <c r="Z259" s="30"/>
      <c r="AA259" s="27"/>
      <c r="AB259" s="30"/>
      <c r="AE259" s="27"/>
      <c r="AF259" s="27"/>
      <c r="AG259" s="27"/>
      <c r="AJ259" s="27">
        <f t="shared" si="8"/>
        <v>0</v>
      </c>
      <c r="AK259" s="27">
        <f t="shared" si="9"/>
        <v>0</v>
      </c>
    </row>
    <row r="260" spans="1:37">
      <c r="A260" s="29"/>
      <c r="H260" s="30"/>
      <c r="I260" s="30"/>
      <c r="L260" s="27"/>
      <c r="M260" s="27"/>
      <c r="N260" s="27"/>
      <c r="O260" s="30"/>
      <c r="P260" s="30"/>
      <c r="Q260" s="30"/>
      <c r="R260" s="30"/>
      <c r="S260" s="30"/>
      <c r="V260" s="27"/>
      <c r="W260" s="27"/>
      <c r="X260" s="27"/>
      <c r="Y260" s="27"/>
      <c r="Z260" s="30"/>
      <c r="AA260" s="27"/>
      <c r="AB260" s="30"/>
      <c r="AE260" s="27"/>
      <c r="AF260" s="27"/>
      <c r="AG260" s="27"/>
      <c r="AJ260" s="27">
        <f t="shared" si="8"/>
        <v>0</v>
      </c>
      <c r="AK260" s="27">
        <f t="shared" si="9"/>
        <v>0</v>
      </c>
    </row>
    <row r="261" spans="1:37">
      <c r="A261" s="29"/>
      <c r="H261" s="30"/>
      <c r="I261" s="30"/>
      <c r="L261" s="27"/>
      <c r="M261" s="27"/>
      <c r="N261" s="27"/>
      <c r="O261" s="30"/>
      <c r="P261" s="30"/>
      <c r="Q261" s="30"/>
      <c r="R261" s="30"/>
      <c r="S261" s="30"/>
      <c r="V261" s="27"/>
      <c r="W261" s="27"/>
      <c r="X261" s="27"/>
      <c r="Y261" s="27"/>
      <c r="Z261" s="30"/>
      <c r="AA261" s="27"/>
      <c r="AB261" s="30"/>
      <c r="AE261" s="27"/>
      <c r="AF261" s="27"/>
      <c r="AG261" s="27"/>
      <c r="AJ261" s="27">
        <f t="shared" si="8"/>
        <v>0</v>
      </c>
      <c r="AK261" s="27">
        <f t="shared" si="9"/>
        <v>0</v>
      </c>
    </row>
    <row r="262" spans="1:37">
      <c r="A262" s="29"/>
      <c r="H262" s="30"/>
      <c r="I262" s="30"/>
      <c r="L262" s="27"/>
      <c r="M262" s="27"/>
      <c r="N262" s="27"/>
      <c r="O262" s="30"/>
      <c r="P262" s="30"/>
      <c r="Q262" s="30"/>
      <c r="R262" s="30"/>
      <c r="S262" s="30"/>
      <c r="V262" s="27"/>
      <c r="W262" s="27"/>
      <c r="X262" s="27"/>
      <c r="Y262" s="27"/>
      <c r="Z262" s="30"/>
      <c r="AA262" s="27"/>
      <c r="AB262" s="30"/>
      <c r="AE262" s="27"/>
      <c r="AF262" s="27"/>
      <c r="AG262" s="27"/>
      <c r="AJ262" s="27">
        <f t="shared" si="8"/>
        <v>0</v>
      </c>
      <c r="AK262" s="27">
        <f t="shared" si="9"/>
        <v>0</v>
      </c>
    </row>
    <row r="263" spans="1:37">
      <c r="A263" s="29"/>
      <c r="H263" s="30"/>
      <c r="I263" s="30"/>
      <c r="L263" s="27"/>
      <c r="M263" s="27"/>
      <c r="N263" s="27"/>
      <c r="O263" s="30"/>
      <c r="P263" s="30"/>
      <c r="Q263" s="30"/>
      <c r="R263" s="30"/>
      <c r="S263" s="30"/>
      <c r="V263" s="27"/>
      <c r="W263" s="27"/>
      <c r="X263" s="27"/>
      <c r="Y263" s="27"/>
      <c r="Z263" s="30"/>
      <c r="AA263" s="27"/>
      <c r="AB263" s="30"/>
      <c r="AE263" s="27"/>
      <c r="AF263" s="27"/>
      <c r="AG263" s="27"/>
      <c r="AJ263" s="27">
        <f t="shared" si="8"/>
        <v>0</v>
      </c>
      <c r="AK263" s="27">
        <f t="shared" si="9"/>
        <v>0</v>
      </c>
    </row>
    <row r="264" spans="1:37">
      <c r="A264" s="29"/>
      <c r="H264" s="30"/>
      <c r="I264" s="30"/>
      <c r="L264" s="27"/>
      <c r="M264" s="27"/>
      <c r="N264" s="27"/>
      <c r="O264" s="30"/>
      <c r="P264" s="30"/>
      <c r="Q264" s="30"/>
      <c r="R264" s="30"/>
      <c r="S264" s="30"/>
      <c r="V264" s="27"/>
      <c r="W264" s="27"/>
      <c r="X264" s="27"/>
      <c r="Y264" s="27"/>
      <c r="Z264" s="30"/>
      <c r="AA264" s="27"/>
      <c r="AB264" s="30"/>
      <c r="AE264" s="27"/>
      <c r="AF264" s="27"/>
      <c r="AG264" s="27"/>
      <c r="AJ264" s="27">
        <f t="shared" si="8"/>
        <v>0</v>
      </c>
      <c r="AK264" s="27">
        <f t="shared" si="9"/>
        <v>0</v>
      </c>
    </row>
    <row r="265" spans="1:37">
      <c r="A265" s="29"/>
      <c r="H265" s="30"/>
      <c r="I265" s="30"/>
      <c r="L265" s="27"/>
      <c r="M265" s="27"/>
      <c r="N265" s="27"/>
      <c r="O265" s="30"/>
      <c r="P265" s="30"/>
      <c r="Q265" s="30"/>
      <c r="R265" s="30"/>
      <c r="S265" s="30"/>
      <c r="V265" s="27"/>
      <c r="W265" s="27"/>
      <c r="X265" s="27"/>
      <c r="Y265" s="27"/>
      <c r="Z265" s="30"/>
      <c r="AA265" s="27"/>
      <c r="AB265" s="30"/>
      <c r="AE265" s="27"/>
      <c r="AF265" s="27"/>
      <c r="AG265" s="27"/>
      <c r="AJ265" s="27">
        <f t="shared" si="8"/>
        <v>0</v>
      </c>
      <c r="AK265" s="27">
        <f t="shared" si="9"/>
        <v>0</v>
      </c>
    </row>
    <row r="266" spans="1:37">
      <c r="A266" s="29"/>
      <c r="H266" s="30"/>
      <c r="I266" s="30"/>
      <c r="L266" s="27"/>
      <c r="M266" s="27"/>
      <c r="N266" s="27"/>
      <c r="O266" s="30"/>
      <c r="P266" s="30"/>
      <c r="Q266" s="30"/>
      <c r="R266" s="30"/>
      <c r="S266" s="30"/>
      <c r="V266" s="27"/>
      <c r="W266" s="27"/>
      <c r="X266" s="27"/>
      <c r="Y266" s="27"/>
      <c r="Z266" s="30"/>
      <c r="AA266" s="27"/>
      <c r="AB266" s="30"/>
      <c r="AE266" s="27"/>
      <c r="AF266" s="27"/>
      <c r="AG266" s="27"/>
      <c r="AJ266" s="27">
        <f t="shared" si="8"/>
        <v>0</v>
      </c>
      <c r="AK266" s="27">
        <f t="shared" si="9"/>
        <v>0</v>
      </c>
    </row>
    <row r="267" spans="1:37">
      <c r="A267" s="29"/>
      <c r="H267" s="30"/>
      <c r="I267" s="30"/>
      <c r="L267" s="27"/>
      <c r="M267" s="27"/>
      <c r="N267" s="27"/>
      <c r="O267" s="30"/>
      <c r="P267" s="30"/>
      <c r="Q267" s="30"/>
      <c r="R267" s="30"/>
      <c r="S267" s="30"/>
      <c r="V267" s="27"/>
      <c r="W267" s="27"/>
      <c r="X267" s="27"/>
      <c r="Y267" s="27"/>
      <c r="Z267" s="30"/>
      <c r="AA267" s="27"/>
      <c r="AB267" s="30"/>
      <c r="AE267" s="27"/>
      <c r="AF267" s="27"/>
      <c r="AG267" s="27"/>
      <c r="AJ267" s="27">
        <f t="shared" si="8"/>
        <v>0</v>
      </c>
      <c r="AK267" s="27">
        <f t="shared" si="9"/>
        <v>0</v>
      </c>
    </row>
    <row r="268" spans="1:37">
      <c r="A268" s="29"/>
      <c r="H268" s="30"/>
      <c r="I268" s="30"/>
      <c r="L268" s="27"/>
      <c r="M268" s="27"/>
      <c r="N268" s="27"/>
      <c r="O268" s="30"/>
      <c r="P268" s="30"/>
      <c r="Q268" s="30"/>
      <c r="R268" s="30"/>
      <c r="S268" s="30"/>
      <c r="V268" s="27"/>
      <c r="W268" s="27"/>
      <c r="X268" s="27"/>
      <c r="Y268" s="27"/>
      <c r="Z268" s="30"/>
      <c r="AA268" s="27"/>
      <c r="AB268" s="30"/>
      <c r="AE268" s="27"/>
      <c r="AF268" s="27"/>
      <c r="AG268" s="27"/>
      <c r="AJ268" s="27">
        <f t="shared" si="8"/>
        <v>0</v>
      </c>
      <c r="AK268" s="27">
        <f t="shared" si="9"/>
        <v>0</v>
      </c>
    </row>
    <row r="269" spans="1:37">
      <c r="A269" s="29"/>
      <c r="H269" s="30"/>
      <c r="I269" s="30"/>
      <c r="L269" s="27"/>
      <c r="M269" s="27"/>
      <c r="N269" s="27"/>
      <c r="O269" s="30"/>
      <c r="P269" s="30"/>
      <c r="Q269" s="30"/>
      <c r="R269" s="30"/>
      <c r="S269" s="30"/>
      <c r="V269" s="27"/>
      <c r="W269" s="27"/>
      <c r="X269" s="27"/>
      <c r="Y269" s="27"/>
      <c r="Z269" s="30"/>
      <c r="AA269" s="27"/>
      <c r="AB269" s="30"/>
      <c r="AE269" s="27"/>
      <c r="AF269" s="27"/>
      <c r="AG269" s="27"/>
      <c r="AJ269" s="27">
        <f t="shared" si="8"/>
        <v>0</v>
      </c>
      <c r="AK269" s="27">
        <f t="shared" si="9"/>
        <v>0</v>
      </c>
    </row>
    <row r="270" spans="1:37">
      <c r="A270" s="29"/>
      <c r="H270" s="30"/>
      <c r="I270" s="30"/>
      <c r="L270" s="27"/>
      <c r="M270" s="27"/>
      <c r="N270" s="27"/>
      <c r="O270" s="30"/>
      <c r="P270" s="30"/>
      <c r="Q270" s="30"/>
      <c r="R270" s="30"/>
      <c r="S270" s="30"/>
      <c r="V270" s="27"/>
      <c r="W270" s="27"/>
      <c r="X270" s="27"/>
      <c r="Y270" s="27"/>
      <c r="Z270" s="30"/>
      <c r="AA270" s="27"/>
      <c r="AB270" s="30"/>
      <c r="AE270" s="27"/>
      <c r="AF270" s="27"/>
      <c r="AG270" s="27"/>
      <c r="AJ270" s="27">
        <f t="shared" si="8"/>
        <v>0</v>
      </c>
      <c r="AK270" s="27">
        <f t="shared" si="9"/>
        <v>0</v>
      </c>
    </row>
    <row r="271" spans="1:37">
      <c r="A271" s="29"/>
      <c r="H271" s="30"/>
      <c r="I271" s="30"/>
      <c r="L271" s="27"/>
      <c r="M271" s="27"/>
      <c r="N271" s="27"/>
      <c r="O271" s="30"/>
      <c r="P271" s="30"/>
      <c r="Q271" s="30"/>
      <c r="R271" s="30"/>
      <c r="S271" s="30"/>
      <c r="V271" s="27"/>
      <c r="W271" s="27"/>
      <c r="X271" s="27"/>
      <c r="Y271" s="27"/>
      <c r="Z271" s="30"/>
      <c r="AA271" s="27"/>
      <c r="AB271" s="30"/>
      <c r="AE271" s="27"/>
      <c r="AF271" s="27"/>
      <c r="AG271" s="27"/>
      <c r="AJ271" s="27">
        <f t="shared" si="8"/>
        <v>0</v>
      </c>
      <c r="AK271" s="27">
        <f t="shared" si="9"/>
        <v>0</v>
      </c>
    </row>
    <row r="272" spans="1:37">
      <c r="A272" s="29"/>
      <c r="H272" s="30"/>
      <c r="I272" s="30"/>
      <c r="L272" s="27"/>
      <c r="M272" s="27"/>
      <c r="N272" s="27"/>
      <c r="O272" s="30"/>
      <c r="P272" s="30"/>
      <c r="Q272" s="30"/>
      <c r="R272" s="30"/>
      <c r="S272" s="30"/>
      <c r="V272" s="27"/>
      <c r="W272" s="27"/>
      <c r="X272" s="27"/>
      <c r="Y272" s="27"/>
      <c r="Z272" s="30"/>
      <c r="AA272" s="27"/>
      <c r="AB272" s="30"/>
      <c r="AE272" s="27"/>
      <c r="AF272" s="27"/>
      <c r="AG272" s="27"/>
      <c r="AJ272" s="27">
        <f t="shared" si="8"/>
        <v>0</v>
      </c>
      <c r="AK272" s="27">
        <f t="shared" si="9"/>
        <v>0</v>
      </c>
    </row>
    <row r="273" spans="1:37">
      <c r="A273" s="29"/>
      <c r="H273" s="30"/>
      <c r="I273" s="30"/>
      <c r="L273" s="27"/>
      <c r="M273" s="27"/>
      <c r="N273" s="27"/>
      <c r="O273" s="30"/>
      <c r="P273" s="30"/>
      <c r="Q273" s="30"/>
      <c r="R273" s="30"/>
      <c r="S273" s="30"/>
      <c r="V273" s="27"/>
      <c r="W273" s="27"/>
      <c r="X273" s="27"/>
      <c r="Y273" s="27"/>
      <c r="Z273" s="30"/>
      <c r="AA273" s="27"/>
      <c r="AB273" s="30"/>
      <c r="AE273" s="27"/>
      <c r="AF273" s="27"/>
      <c r="AG273" s="27"/>
      <c r="AJ273" s="27">
        <f t="shared" si="8"/>
        <v>0</v>
      </c>
      <c r="AK273" s="27">
        <f t="shared" si="9"/>
        <v>0</v>
      </c>
    </row>
    <row r="274" spans="1:37">
      <c r="A274" s="29"/>
      <c r="H274" s="30"/>
      <c r="I274" s="30"/>
      <c r="L274" s="27"/>
      <c r="M274" s="27"/>
      <c r="N274" s="27"/>
      <c r="O274" s="30"/>
      <c r="P274" s="30"/>
      <c r="Q274" s="30"/>
      <c r="R274" s="30"/>
      <c r="S274" s="30"/>
      <c r="V274" s="27"/>
      <c r="W274" s="27"/>
      <c r="X274" s="27"/>
      <c r="Y274" s="27"/>
      <c r="Z274" s="30"/>
      <c r="AA274" s="27"/>
      <c r="AB274" s="30"/>
      <c r="AE274" s="27"/>
      <c r="AF274" s="27"/>
      <c r="AG274" s="27"/>
      <c r="AJ274" s="27">
        <f t="shared" si="8"/>
        <v>0</v>
      </c>
      <c r="AK274" s="27">
        <f t="shared" si="9"/>
        <v>0</v>
      </c>
    </row>
    <row r="275" spans="1:37">
      <c r="A275" s="29"/>
      <c r="H275" s="30"/>
      <c r="I275" s="30"/>
      <c r="L275" s="27"/>
      <c r="M275" s="27"/>
      <c r="N275" s="27"/>
      <c r="O275" s="30"/>
      <c r="P275" s="30"/>
      <c r="Q275" s="30"/>
      <c r="R275" s="30"/>
      <c r="S275" s="30"/>
      <c r="V275" s="27"/>
      <c r="W275" s="27"/>
      <c r="X275" s="27"/>
      <c r="Y275" s="27"/>
      <c r="Z275" s="30"/>
      <c r="AA275" s="27"/>
      <c r="AB275" s="30"/>
      <c r="AE275" s="27"/>
      <c r="AF275" s="27"/>
      <c r="AG275" s="27"/>
      <c r="AJ275" s="27">
        <f t="shared" si="8"/>
        <v>0</v>
      </c>
      <c r="AK275" s="27">
        <f t="shared" si="9"/>
        <v>0</v>
      </c>
    </row>
    <row r="276" spans="1:37">
      <c r="A276" s="29"/>
      <c r="H276" s="30"/>
      <c r="I276" s="30"/>
      <c r="L276" s="27"/>
      <c r="M276" s="27"/>
      <c r="N276" s="27"/>
      <c r="O276" s="30"/>
      <c r="P276" s="30"/>
      <c r="Q276" s="30"/>
      <c r="R276" s="30"/>
      <c r="S276" s="30"/>
      <c r="V276" s="27"/>
      <c r="W276" s="27"/>
      <c r="X276" s="27"/>
      <c r="Y276" s="27"/>
      <c r="Z276" s="30"/>
      <c r="AA276" s="27"/>
      <c r="AB276" s="30"/>
      <c r="AE276" s="27"/>
      <c r="AF276" s="27"/>
      <c r="AG276" s="27"/>
      <c r="AJ276" s="27">
        <f t="shared" si="8"/>
        <v>0</v>
      </c>
      <c r="AK276" s="27">
        <f t="shared" si="9"/>
        <v>0</v>
      </c>
    </row>
    <row r="277" spans="1:37">
      <c r="A277" s="29"/>
      <c r="H277" s="30"/>
      <c r="I277" s="30"/>
      <c r="L277" s="27"/>
      <c r="M277" s="27"/>
      <c r="N277" s="27"/>
      <c r="O277" s="30"/>
      <c r="P277" s="30"/>
      <c r="Q277" s="30"/>
      <c r="R277" s="30"/>
      <c r="S277" s="30"/>
      <c r="V277" s="27"/>
      <c r="W277" s="27"/>
      <c r="X277" s="27"/>
      <c r="Y277" s="27"/>
      <c r="Z277" s="30"/>
      <c r="AA277" s="27"/>
      <c r="AB277" s="30"/>
      <c r="AE277" s="27"/>
      <c r="AF277" s="27"/>
      <c r="AG277" s="27"/>
      <c r="AJ277" s="27">
        <f t="shared" si="8"/>
        <v>0</v>
      </c>
      <c r="AK277" s="27">
        <f t="shared" si="9"/>
        <v>0</v>
      </c>
    </row>
    <row r="278" spans="1:37">
      <c r="A278" s="29"/>
      <c r="H278" s="30"/>
      <c r="I278" s="30"/>
      <c r="L278" s="27"/>
      <c r="M278" s="27"/>
      <c r="N278" s="27"/>
      <c r="O278" s="30"/>
      <c r="P278" s="30"/>
      <c r="Q278" s="30"/>
      <c r="R278" s="30"/>
      <c r="S278" s="30"/>
      <c r="V278" s="27"/>
      <c r="W278" s="27"/>
      <c r="X278" s="27"/>
      <c r="Y278" s="27"/>
      <c r="Z278" s="30"/>
      <c r="AA278" s="27"/>
      <c r="AB278" s="30"/>
      <c r="AE278" s="27"/>
      <c r="AF278" s="27"/>
      <c r="AG278" s="27"/>
      <c r="AJ278" s="27">
        <f t="shared" si="8"/>
        <v>0</v>
      </c>
      <c r="AK278" s="27">
        <f t="shared" si="9"/>
        <v>0</v>
      </c>
    </row>
    <row r="279" spans="1:37">
      <c r="A279" s="29"/>
      <c r="H279" s="30"/>
      <c r="I279" s="30"/>
      <c r="L279" s="27"/>
      <c r="M279" s="27"/>
      <c r="N279" s="27"/>
      <c r="O279" s="30"/>
      <c r="P279" s="30"/>
      <c r="Q279" s="30"/>
      <c r="R279" s="30"/>
      <c r="S279" s="30"/>
      <c r="V279" s="27"/>
      <c r="W279" s="27"/>
      <c r="X279" s="27"/>
      <c r="Y279" s="27"/>
      <c r="Z279" s="30"/>
      <c r="AA279" s="27"/>
      <c r="AB279" s="30"/>
      <c r="AE279" s="27"/>
      <c r="AF279" s="27"/>
      <c r="AG279" s="27"/>
      <c r="AJ279" s="27">
        <f t="shared" si="8"/>
        <v>0</v>
      </c>
      <c r="AK279" s="27">
        <f t="shared" si="9"/>
        <v>0</v>
      </c>
    </row>
    <row r="280" spans="1:37">
      <c r="A280" s="29"/>
      <c r="H280" s="30"/>
      <c r="I280" s="30"/>
      <c r="L280" s="27"/>
      <c r="M280" s="27"/>
      <c r="N280" s="27"/>
      <c r="O280" s="30"/>
      <c r="P280" s="30"/>
      <c r="Q280" s="30"/>
      <c r="R280" s="30"/>
      <c r="S280" s="30"/>
      <c r="V280" s="27"/>
      <c r="W280" s="27"/>
      <c r="X280" s="27"/>
      <c r="Y280" s="27"/>
      <c r="Z280" s="30"/>
      <c r="AA280" s="27"/>
      <c r="AB280" s="30"/>
      <c r="AE280" s="27"/>
      <c r="AF280" s="27"/>
      <c r="AG280" s="27"/>
      <c r="AJ280" s="27">
        <f t="shared" si="8"/>
        <v>0</v>
      </c>
      <c r="AK280" s="27">
        <f t="shared" si="9"/>
        <v>0</v>
      </c>
    </row>
    <row r="281" spans="1:37">
      <c r="A281" s="29"/>
      <c r="H281" s="30"/>
      <c r="I281" s="30"/>
      <c r="L281" s="27"/>
      <c r="M281" s="27"/>
      <c r="N281" s="27"/>
      <c r="O281" s="30"/>
      <c r="P281" s="30"/>
      <c r="Q281" s="30"/>
      <c r="R281" s="30"/>
      <c r="S281" s="30"/>
      <c r="V281" s="27"/>
      <c r="W281" s="27"/>
      <c r="X281" s="27"/>
      <c r="Y281" s="27"/>
      <c r="Z281" s="30"/>
      <c r="AA281" s="27"/>
      <c r="AB281" s="30"/>
      <c r="AE281" s="27"/>
      <c r="AF281" s="27"/>
      <c r="AG281" s="27"/>
      <c r="AJ281" s="27">
        <f t="shared" si="8"/>
        <v>0</v>
      </c>
      <c r="AK281" s="27">
        <f t="shared" si="9"/>
        <v>0</v>
      </c>
    </row>
    <row r="282" spans="1:37">
      <c r="A282" s="29"/>
      <c r="H282" s="30"/>
      <c r="I282" s="30"/>
      <c r="L282" s="27"/>
      <c r="M282" s="27"/>
      <c r="N282" s="27"/>
      <c r="O282" s="30"/>
      <c r="P282" s="30"/>
      <c r="Q282" s="30"/>
      <c r="R282" s="30"/>
      <c r="S282" s="30"/>
      <c r="V282" s="27"/>
      <c r="W282" s="27"/>
      <c r="X282" s="27"/>
      <c r="Y282" s="27"/>
      <c r="Z282" s="30"/>
      <c r="AA282" s="27"/>
      <c r="AB282" s="30"/>
      <c r="AE282" s="27"/>
      <c r="AF282" s="27"/>
      <c r="AG282" s="27"/>
      <c r="AJ282" s="27">
        <f t="shared" si="8"/>
        <v>0</v>
      </c>
      <c r="AK282" s="27">
        <f t="shared" si="9"/>
        <v>0</v>
      </c>
    </row>
    <row r="283" spans="1:37">
      <c r="A283" s="29"/>
      <c r="H283" s="30"/>
      <c r="I283" s="30"/>
      <c r="L283" s="27"/>
      <c r="M283" s="27"/>
      <c r="N283" s="27"/>
      <c r="O283" s="30"/>
      <c r="P283" s="30"/>
      <c r="Q283" s="30"/>
      <c r="R283" s="30"/>
      <c r="S283" s="30"/>
      <c r="V283" s="27"/>
      <c r="W283" s="27"/>
      <c r="X283" s="27"/>
      <c r="Y283" s="27"/>
      <c r="Z283" s="30"/>
      <c r="AA283" s="27"/>
      <c r="AB283" s="30"/>
      <c r="AE283" s="27"/>
      <c r="AF283" s="27"/>
      <c r="AG283" s="27"/>
      <c r="AJ283" s="27">
        <f t="shared" si="8"/>
        <v>0</v>
      </c>
      <c r="AK283" s="27">
        <f t="shared" si="9"/>
        <v>0</v>
      </c>
    </row>
    <row r="284" spans="1:37">
      <c r="A284" s="29"/>
      <c r="H284" s="30"/>
      <c r="I284" s="30"/>
      <c r="L284" s="27"/>
      <c r="M284" s="27"/>
      <c r="N284" s="27"/>
      <c r="O284" s="30"/>
      <c r="P284" s="30"/>
      <c r="Q284" s="30"/>
      <c r="R284" s="30"/>
      <c r="S284" s="30"/>
      <c r="V284" s="27"/>
      <c r="W284" s="27"/>
      <c r="X284" s="27"/>
      <c r="Y284" s="27"/>
      <c r="Z284" s="30"/>
      <c r="AA284" s="27"/>
      <c r="AB284" s="30"/>
      <c r="AE284" s="27"/>
      <c r="AF284" s="27"/>
      <c r="AG284" s="27"/>
      <c r="AJ284" s="27">
        <f t="shared" si="8"/>
        <v>0</v>
      </c>
      <c r="AK284" s="27">
        <f t="shared" si="9"/>
        <v>0</v>
      </c>
    </row>
    <row r="285" spans="1:37">
      <c r="A285" s="29"/>
      <c r="H285" s="30"/>
      <c r="I285" s="30"/>
      <c r="L285" s="27"/>
      <c r="M285" s="27"/>
      <c r="N285" s="27"/>
      <c r="O285" s="30"/>
      <c r="P285" s="30"/>
      <c r="Q285" s="30"/>
      <c r="R285" s="30"/>
      <c r="S285" s="30"/>
      <c r="V285" s="27"/>
      <c r="W285" s="27"/>
      <c r="X285" s="27"/>
      <c r="Y285" s="27"/>
      <c r="Z285" s="30"/>
      <c r="AA285" s="27"/>
      <c r="AB285" s="30"/>
      <c r="AE285" s="27"/>
      <c r="AF285" s="27"/>
      <c r="AG285" s="27"/>
      <c r="AJ285" s="27">
        <f t="shared" si="8"/>
        <v>0</v>
      </c>
      <c r="AK285" s="27">
        <f t="shared" si="9"/>
        <v>0</v>
      </c>
    </row>
    <row r="286" spans="1:37">
      <c r="A286" s="29"/>
      <c r="H286" s="30"/>
      <c r="I286" s="30"/>
      <c r="L286" s="27"/>
      <c r="M286" s="27"/>
      <c r="N286" s="27"/>
      <c r="O286" s="30"/>
      <c r="P286" s="30"/>
      <c r="Q286" s="30"/>
      <c r="R286" s="30"/>
      <c r="S286" s="30"/>
      <c r="V286" s="27"/>
      <c r="W286" s="27"/>
      <c r="X286" s="27"/>
      <c r="Y286" s="27"/>
      <c r="Z286" s="30"/>
      <c r="AA286" s="27"/>
      <c r="AB286" s="30"/>
      <c r="AE286" s="27"/>
      <c r="AF286" s="27"/>
      <c r="AG286" s="27"/>
      <c r="AJ286" s="27">
        <f t="shared" si="8"/>
        <v>0</v>
      </c>
      <c r="AK286" s="27">
        <f t="shared" si="9"/>
        <v>0</v>
      </c>
    </row>
    <row r="287" spans="1:37">
      <c r="A287" s="29"/>
      <c r="H287" s="30"/>
      <c r="I287" s="30"/>
      <c r="L287" s="27"/>
      <c r="M287" s="27"/>
      <c r="N287" s="27"/>
      <c r="O287" s="30"/>
      <c r="P287" s="30"/>
      <c r="Q287" s="30"/>
      <c r="R287" s="30"/>
      <c r="S287" s="30"/>
      <c r="V287" s="27"/>
      <c r="W287" s="27"/>
      <c r="X287" s="27"/>
      <c r="Y287" s="27"/>
      <c r="Z287" s="30"/>
      <c r="AA287" s="27"/>
      <c r="AB287" s="30"/>
      <c r="AE287" s="27"/>
      <c r="AF287" s="27"/>
      <c r="AG287" s="27"/>
      <c r="AJ287" s="27">
        <f t="shared" si="8"/>
        <v>0</v>
      </c>
      <c r="AK287" s="27">
        <f t="shared" si="9"/>
        <v>0</v>
      </c>
    </row>
    <row r="288" spans="1:37">
      <c r="A288" s="29"/>
      <c r="H288" s="30"/>
      <c r="I288" s="30"/>
      <c r="L288" s="27"/>
      <c r="M288" s="27"/>
      <c r="N288" s="27"/>
      <c r="O288" s="30"/>
      <c r="P288" s="30"/>
      <c r="Q288" s="30"/>
      <c r="R288" s="30"/>
      <c r="S288" s="30"/>
      <c r="V288" s="27"/>
      <c r="W288" s="27"/>
      <c r="X288" s="27"/>
      <c r="Y288" s="27"/>
      <c r="Z288" s="30"/>
      <c r="AA288" s="27"/>
      <c r="AB288" s="30"/>
      <c r="AE288" s="27"/>
      <c r="AF288" s="27"/>
      <c r="AG288" s="27"/>
      <c r="AJ288" s="27">
        <f t="shared" si="8"/>
        <v>0</v>
      </c>
      <c r="AK288" s="27">
        <f t="shared" si="9"/>
        <v>0</v>
      </c>
    </row>
    <row r="289" spans="1:37">
      <c r="A289" s="29"/>
      <c r="H289" s="30"/>
      <c r="I289" s="30"/>
      <c r="L289" s="27"/>
      <c r="M289" s="27"/>
      <c r="N289" s="27"/>
      <c r="O289" s="30"/>
      <c r="P289" s="30"/>
      <c r="Q289" s="30"/>
      <c r="R289" s="30"/>
      <c r="S289" s="30"/>
      <c r="V289" s="27"/>
      <c r="W289" s="27"/>
      <c r="X289" s="27"/>
      <c r="Y289" s="27"/>
      <c r="Z289" s="30"/>
      <c r="AA289" s="27"/>
      <c r="AB289" s="30"/>
      <c r="AE289" s="27"/>
      <c r="AF289" s="27"/>
      <c r="AG289" s="27"/>
      <c r="AJ289" s="27">
        <f t="shared" si="8"/>
        <v>0</v>
      </c>
      <c r="AK289" s="27">
        <f t="shared" si="9"/>
        <v>0</v>
      </c>
    </row>
    <row r="290" spans="1:37">
      <c r="A290" s="29"/>
      <c r="H290" s="30"/>
      <c r="I290" s="30"/>
      <c r="L290" s="27"/>
      <c r="M290" s="27"/>
      <c r="N290" s="27"/>
      <c r="O290" s="30"/>
      <c r="P290" s="30"/>
      <c r="Q290" s="30"/>
      <c r="R290" s="30"/>
      <c r="S290" s="30"/>
      <c r="V290" s="27"/>
      <c r="W290" s="27"/>
      <c r="X290" s="27"/>
      <c r="Y290" s="27"/>
      <c r="Z290" s="30"/>
      <c r="AA290" s="27"/>
      <c r="AB290" s="30"/>
      <c r="AE290" s="27"/>
      <c r="AF290" s="27"/>
      <c r="AG290" s="27"/>
      <c r="AJ290" s="27">
        <f t="shared" si="8"/>
        <v>0</v>
      </c>
      <c r="AK290" s="27">
        <f t="shared" si="9"/>
        <v>0</v>
      </c>
    </row>
    <row r="291" spans="1:37">
      <c r="A291" s="29"/>
      <c r="H291" s="30"/>
      <c r="I291" s="30"/>
      <c r="L291" s="27"/>
      <c r="M291" s="27"/>
      <c r="N291" s="27"/>
      <c r="O291" s="30"/>
      <c r="P291" s="30"/>
      <c r="Q291" s="30"/>
      <c r="R291" s="30"/>
      <c r="S291" s="30"/>
      <c r="V291" s="27"/>
      <c r="W291" s="27"/>
      <c r="X291" s="27"/>
      <c r="Y291" s="27"/>
      <c r="Z291" s="30"/>
      <c r="AA291" s="27"/>
      <c r="AB291" s="30"/>
      <c r="AE291" s="27"/>
      <c r="AF291" s="27"/>
      <c r="AG291" s="27"/>
      <c r="AJ291" s="27">
        <f t="shared" si="8"/>
        <v>0</v>
      </c>
      <c r="AK291" s="27">
        <f t="shared" si="9"/>
        <v>0</v>
      </c>
    </row>
    <row r="292" spans="1:37">
      <c r="A292" s="29"/>
      <c r="H292" s="30"/>
      <c r="I292" s="30"/>
      <c r="L292" s="27"/>
      <c r="M292" s="27"/>
      <c r="N292" s="27"/>
      <c r="O292" s="30"/>
      <c r="P292" s="30"/>
      <c r="Q292" s="30"/>
      <c r="R292" s="30"/>
      <c r="S292" s="30"/>
      <c r="V292" s="27"/>
      <c r="W292" s="27"/>
      <c r="X292" s="27"/>
      <c r="Y292" s="27"/>
      <c r="Z292" s="30"/>
      <c r="AA292" s="27"/>
      <c r="AB292" s="30"/>
      <c r="AE292" s="27"/>
      <c r="AF292" s="27"/>
      <c r="AG292" s="27"/>
      <c r="AJ292" s="27">
        <f t="shared" si="8"/>
        <v>0</v>
      </c>
      <c r="AK292" s="27">
        <f t="shared" si="9"/>
        <v>0</v>
      </c>
    </row>
    <row r="293" spans="1:37">
      <c r="A293" s="29"/>
      <c r="H293" s="30"/>
      <c r="I293" s="30"/>
      <c r="L293" s="27"/>
      <c r="M293" s="27"/>
      <c r="N293" s="27"/>
      <c r="O293" s="30"/>
      <c r="P293" s="30"/>
      <c r="Q293" s="30"/>
      <c r="R293" s="30"/>
      <c r="S293" s="30"/>
      <c r="V293" s="27"/>
      <c r="W293" s="27"/>
      <c r="X293" s="27"/>
      <c r="Y293" s="27"/>
      <c r="Z293" s="30"/>
      <c r="AA293" s="27"/>
      <c r="AB293" s="30"/>
      <c r="AE293" s="27"/>
      <c r="AF293" s="27"/>
      <c r="AG293" s="27"/>
      <c r="AJ293" s="27">
        <f t="shared" si="8"/>
        <v>0</v>
      </c>
      <c r="AK293" s="27">
        <f t="shared" si="9"/>
        <v>0</v>
      </c>
    </row>
    <row r="294" spans="1:37">
      <c r="A294" s="29"/>
      <c r="H294" s="30"/>
      <c r="I294" s="30"/>
      <c r="L294" s="27"/>
      <c r="M294" s="27"/>
      <c r="N294" s="27"/>
      <c r="O294" s="30"/>
      <c r="P294" s="30"/>
      <c r="Q294" s="30"/>
      <c r="R294" s="30"/>
      <c r="S294" s="30"/>
      <c r="V294" s="27"/>
      <c r="W294" s="27"/>
      <c r="X294" s="27"/>
      <c r="Y294" s="27"/>
      <c r="Z294" s="30"/>
      <c r="AA294" s="27"/>
      <c r="AB294" s="30"/>
      <c r="AE294" s="27"/>
      <c r="AF294" s="27"/>
      <c r="AG294" s="27"/>
      <c r="AJ294" s="27">
        <f t="shared" si="8"/>
        <v>0</v>
      </c>
      <c r="AK294" s="27">
        <f t="shared" si="9"/>
        <v>0</v>
      </c>
    </row>
    <row r="295" spans="1:37">
      <c r="A295" s="29"/>
      <c r="H295" s="30"/>
      <c r="I295" s="30"/>
      <c r="L295" s="27"/>
      <c r="M295" s="27"/>
      <c r="N295" s="27"/>
      <c r="O295" s="30"/>
      <c r="P295" s="30"/>
      <c r="Q295" s="30"/>
      <c r="R295" s="30"/>
      <c r="S295" s="30"/>
      <c r="V295" s="27"/>
      <c r="W295" s="27"/>
      <c r="X295" s="27"/>
      <c r="Y295" s="27"/>
      <c r="Z295" s="30"/>
      <c r="AA295" s="27"/>
      <c r="AB295" s="30"/>
      <c r="AE295" s="27"/>
      <c r="AF295" s="27"/>
      <c r="AG295" s="27"/>
      <c r="AJ295" s="27">
        <f t="shared" si="8"/>
        <v>0</v>
      </c>
      <c r="AK295" s="27">
        <f t="shared" si="9"/>
        <v>0</v>
      </c>
    </row>
    <row r="296" spans="1:37">
      <c r="A296" s="29"/>
      <c r="H296" s="30"/>
      <c r="I296" s="30"/>
      <c r="L296" s="27"/>
      <c r="M296" s="27"/>
      <c r="N296" s="27"/>
      <c r="O296" s="30"/>
      <c r="P296" s="30"/>
      <c r="Q296" s="30"/>
      <c r="R296" s="30"/>
      <c r="S296" s="30"/>
      <c r="V296" s="27"/>
      <c r="W296" s="27"/>
      <c r="X296" s="27"/>
      <c r="Y296" s="27"/>
      <c r="Z296" s="30"/>
      <c r="AA296" s="27"/>
      <c r="AB296" s="30"/>
      <c r="AE296" s="27"/>
      <c r="AF296" s="27"/>
      <c r="AG296" s="27"/>
      <c r="AJ296" s="27">
        <f t="shared" si="8"/>
        <v>0</v>
      </c>
      <c r="AK296" s="27">
        <f t="shared" si="9"/>
        <v>0</v>
      </c>
    </row>
    <row r="297" spans="1:37">
      <c r="A297" s="29"/>
      <c r="H297" s="30"/>
      <c r="I297" s="30"/>
      <c r="L297" s="27"/>
      <c r="M297" s="27"/>
      <c r="N297" s="27"/>
      <c r="O297" s="30"/>
      <c r="P297" s="30"/>
      <c r="Q297" s="30"/>
      <c r="R297" s="30"/>
      <c r="S297" s="30"/>
      <c r="V297" s="27"/>
      <c r="W297" s="27"/>
      <c r="X297" s="27"/>
      <c r="Y297" s="27"/>
      <c r="Z297" s="30"/>
      <c r="AA297" s="27"/>
      <c r="AB297" s="30"/>
      <c r="AE297" s="27"/>
      <c r="AF297" s="27"/>
      <c r="AG297" s="27"/>
      <c r="AJ297" s="27">
        <f t="shared" si="8"/>
        <v>0</v>
      </c>
      <c r="AK297" s="27">
        <f t="shared" si="9"/>
        <v>0</v>
      </c>
    </row>
    <row r="298" spans="1:37">
      <c r="A298" s="29"/>
      <c r="H298" s="30"/>
      <c r="I298" s="30"/>
      <c r="L298" s="27"/>
      <c r="M298" s="27"/>
      <c r="N298" s="27"/>
      <c r="O298" s="30"/>
      <c r="P298" s="30"/>
      <c r="Q298" s="30"/>
      <c r="R298" s="30"/>
      <c r="S298" s="30"/>
      <c r="V298" s="27"/>
      <c r="W298" s="27"/>
      <c r="X298" s="27"/>
      <c r="Y298" s="27"/>
      <c r="Z298" s="30"/>
      <c r="AA298" s="27"/>
      <c r="AB298" s="30"/>
      <c r="AE298" s="27"/>
      <c r="AF298" s="27"/>
      <c r="AG298" s="27"/>
      <c r="AJ298" s="27">
        <f t="shared" si="8"/>
        <v>0</v>
      </c>
      <c r="AK298" s="27">
        <f t="shared" si="9"/>
        <v>0</v>
      </c>
    </row>
    <row r="299" spans="1:37">
      <c r="A299" s="29"/>
      <c r="H299" s="30"/>
      <c r="I299" s="30"/>
      <c r="L299" s="27"/>
      <c r="M299" s="27"/>
      <c r="N299" s="27"/>
      <c r="O299" s="30"/>
      <c r="P299" s="30"/>
      <c r="Q299" s="30"/>
      <c r="R299" s="30"/>
      <c r="S299" s="30"/>
      <c r="V299" s="27"/>
      <c r="W299" s="27"/>
      <c r="X299" s="27"/>
      <c r="Y299" s="27"/>
      <c r="Z299" s="30"/>
      <c r="AA299" s="27"/>
      <c r="AB299" s="30"/>
      <c r="AE299" s="27"/>
      <c r="AF299" s="27"/>
      <c r="AG299" s="27"/>
      <c r="AJ299" s="27">
        <f t="shared" si="8"/>
        <v>0</v>
      </c>
      <c r="AK299" s="27">
        <f t="shared" si="9"/>
        <v>0</v>
      </c>
    </row>
    <row r="300" spans="1:37">
      <c r="A300" s="29"/>
      <c r="H300" s="30"/>
      <c r="I300" s="30"/>
      <c r="L300" s="27"/>
      <c r="M300" s="27"/>
      <c r="N300" s="27"/>
      <c r="O300" s="30"/>
      <c r="P300" s="30"/>
      <c r="Q300" s="30"/>
      <c r="R300" s="30"/>
      <c r="S300" s="30"/>
      <c r="V300" s="27"/>
      <c r="W300" s="27"/>
      <c r="X300" s="27"/>
      <c r="Y300" s="27"/>
      <c r="Z300" s="30"/>
      <c r="AA300" s="27"/>
      <c r="AB300" s="30"/>
      <c r="AE300" s="27"/>
      <c r="AF300" s="27"/>
      <c r="AG300" s="27"/>
      <c r="AJ300" s="27">
        <f t="shared" si="8"/>
        <v>0</v>
      </c>
      <c r="AK300" s="27">
        <f t="shared" si="9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Lists!$E$2:$E$12</xm:f>
          </x14:formula1>
          <xm:sqref>B2:B300</xm:sqref>
        </x14:dataValidation>
        <x14:dataValidation type="list" xr:uid="{00000000-0002-0000-0400-000001000000}">
          <x14:formula1>
            <xm:f>Lists!$G$2:$G$5</xm:f>
          </x14:formula1>
          <xm:sqref>C2:C300</xm:sqref>
        </x14:dataValidation>
        <x14:dataValidation type="list" xr:uid="{00000000-0002-0000-0400-000002000000}">
          <x14:formula1>
            <xm:f>Lists!$H$2:$H$4</xm:f>
          </x14:formula1>
          <xm:sqref>J2:J300</xm:sqref>
        </x14:dataValidation>
        <x14:dataValidation type="list" xr:uid="{00000000-0002-0000-0400-000003000000}">
          <x14:formula1>
            <xm:f>Lists!$C$2:$C$7</xm:f>
          </x14:formula1>
          <xm:sqref>T2:T300 AC2:AC300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0"/>
  <sheetViews>
    <sheetView workbookViewId="0">
      <selection activeCell="O13" sqref="O13"/>
    </sheetView>
  </sheetViews>
  <sheetFormatPr baseColWidth="10" defaultColWidth="8.83203125" defaultRowHeight="14"/>
  <cols>
    <col min="1" max="1" width="3.83203125" customWidth="1"/>
    <col min="2" max="2" width="12.83203125" customWidth="1"/>
    <col min="3" max="3" width="10.83203125" customWidth="1"/>
    <col min="4" max="4" width="10.6640625" customWidth="1"/>
    <col min="5" max="5" width="12.5" customWidth="1"/>
    <col min="6" max="6" width="11.1640625" customWidth="1"/>
    <col min="7" max="7" width="11" customWidth="1"/>
    <col min="8" max="8" width="13.6640625" customWidth="1"/>
    <col min="9" max="9" width="4.83203125" customWidth="1"/>
  </cols>
  <sheetData>
    <row r="1" spans="1:9" ht="15">
      <c r="A1" s="1" t="s">
        <v>27</v>
      </c>
      <c r="B1" s="1" t="s">
        <v>77</v>
      </c>
      <c r="C1" s="1" t="s">
        <v>28</v>
      </c>
      <c r="D1" s="1" t="s">
        <v>30</v>
      </c>
      <c r="E1" s="1" t="s">
        <v>78</v>
      </c>
      <c r="F1" s="1" t="s">
        <v>33</v>
      </c>
      <c r="G1" s="1" t="s">
        <v>34</v>
      </c>
      <c r="H1" s="1" t="s">
        <v>79</v>
      </c>
      <c r="I1" s="1" t="s">
        <v>35</v>
      </c>
    </row>
    <row r="2" spans="1:9">
      <c r="A2" s="30">
        <v>46174</v>
      </c>
      <c r="B2" t="s">
        <v>92</v>
      </c>
      <c r="C2" t="s">
        <v>18</v>
      </c>
      <c r="D2" t="s">
        <v>128</v>
      </c>
      <c r="E2" t="s">
        <v>165</v>
      </c>
      <c r="F2" t="s">
        <v>104</v>
      </c>
      <c r="G2" s="27">
        <v>500</v>
      </c>
      <c r="H2" s="27">
        <f t="shared" ref="H2:H65" si="0">IF(OR(B2="Opening Float",B2="Cash Top-up",B2="Adjustment In"),G2,IF(OR(B2="Expense Paid",B2="Cash Returned",B2="Adjustment Out"),-G2,0))</f>
        <v>500</v>
      </c>
    </row>
    <row r="3" spans="1:9">
      <c r="A3" s="30">
        <v>46175</v>
      </c>
      <c r="B3" t="s">
        <v>92</v>
      </c>
      <c r="C3" t="s">
        <v>8</v>
      </c>
      <c r="D3" t="s">
        <v>128</v>
      </c>
      <c r="E3" t="s">
        <v>166</v>
      </c>
      <c r="F3" t="s">
        <v>104</v>
      </c>
      <c r="G3" s="27">
        <v>500</v>
      </c>
      <c r="H3" s="27">
        <f t="shared" si="0"/>
        <v>500</v>
      </c>
    </row>
    <row r="4" spans="1:9">
      <c r="A4" s="30">
        <v>46196</v>
      </c>
      <c r="B4" t="s">
        <v>106</v>
      </c>
      <c r="C4" t="s">
        <v>18</v>
      </c>
      <c r="D4" t="s">
        <v>128</v>
      </c>
      <c r="E4" t="s">
        <v>165</v>
      </c>
      <c r="F4" t="s">
        <v>104</v>
      </c>
      <c r="G4" s="27">
        <v>15</v>
      </c>
      <c r="H4" s="27">
        <f t="shared" si="0"/>
        <v>-15</v>
      </c>
    </row>
    <row r="5" spans="1:9">
      <c r="A5" s="30">
        <v>46196</v>
      </c>
      <c r="B5" t="s">
        <v>106</v>
      </c>
      <c r="C5" t="s">
        <v>18</v>
      </c>
      <c r="D5" t="s">
        <v>128</v>
      </c>
      <c r="E5" t="s">
        <v>165</v>
      </c>
      <c r="F5" t="s">
        <v>104</v>
      </c>
      <c r="G5" s="27">
        <v>210</v>
      </c>
      <c r="H5" s="27">
        <f t="shared" si="0"/>
        <v>-210</v>
      </c>
    </row>
    <row r="6" spans="1:9">
      <c r="A6" s="30">
        <v>46196</v>
      </c>
      <c r="B6" t="s">
        <v>106</v>
      </c>
      <c r="C6" t="s">
        <v>18</v>
      </c>
      <c r="D6" t="s">
        <v>128</v>
      </c>
      <c r="E6" t="s">
        <v>165</v>
      </c>
      <c r="F6" t="s">
        <v>104</v>
      </c>
      <c r="G6" s="27">
        <v>17</v>
      </c>
      <c r="H6" s="27">
        <f t="shared" si="0"/>
        <v>-17</v>
      </c>
    </row>
    <row r="7" spans="1:9">
      <c r="A7" s="30">
        <v>46196</v>
      </c>
      <c r="B7" t="s">
        <v>106</v>
      </c>
      <c r="C7" t="s">
        <v>18</v>
      </c>
      <c r="D7" t="s">
        <v>128</v>
      </c>
      <c r="E7" t="s">
        <v>165</v>
      </c>
      <c r="F7" t="s">
        <v>104</v>
      </c>
      <c r="G7" s="27">
        <v>85</v>
      </c>
      <c r="H7" s="27">
        <f t="shared" si="0"/>
        <v>-85</v>
      </c>
    </row>
    <row r="8" spans="1:9">
      <c r="A8" s="30">
        <v>46196</v>
      </c>
      <c r="B8" t="s">
        <v>106</v>
      </c>
      <c r="C8" t="s">
        <v>18</v>
      </c>
      <c r="D8" t="s">
        <v>128</v>
      </c>
      <c r="E8" t="s">
        <v>165</v>
      </c>
      <c r="F8" t="s">
        <v>104</v>
      </c>
      <c r="G8" s="27">
        <v>50</v>
      </c>
      <c r="H8" s="27">
        <f t="shared" si="0"/>
        <v>-50</v>
      </c>
    </row>
    <row r="9" spans="1:9">
      <c r="A9" s="30">
        <v>46199</v>
      </c>
      <c r="B9" t="s">
        <v>106</v>
      </c>
      <c r="C9" t="s">
        <v>8</v>
      </c>
      <c r="D9" t="s">
        <v>128</v>
      </c>
      <c r="E9" t="s">
        <v>166</v>
      </c>
      <c r="F9" t="s">
        <v>104</v>
      </c>
      <c r="G9" s="27">
        <v>44</v>
      </c>
      <c r="H9" s="27">
        <f t="shared" si="0"/>
        <v>-44</v>
      </c>
    </row>
    <row r="10" spans="1:9">
      <c r="A10" s="30">
        <v>46200</v>
      </c>
      <c r="B10" t="s">
        <v>92</v>
      </c>
      <c r="C10" t="s">
        <v>8</v>
      </c>
      <c r="D10" t="s">
        <v>131</v>
      </c>
      <c r="E10" t="s">
        <v>166</v>
      </c>
      <c r="F10" t="s">
        <v>104</v>
      </c>
      <c r="G10" s="27">
        <v>311.7</v>
      </c>
      <c r="H10" s="27">
        <f t="shared" si="0"/>
        <v>311.7</v>
      </c>
    </row>
    <row r="11" spans="1:9">
      <c r="A11" s="30"/>
      <c r="G11" s="27"/>
      <c r="H11" s="27">
        <f t="shared" si="0"/>
        <v>0</v>
      </c>
    </row>
    <row r="12" spans="1:9">
      <c r="A12" s="30"/>
      <c r="G12" s="27"/>
      <c r="H12" s="27">
        <f t="shared" si="0"/>
        <v>0</v>
      </c>
    </row>
    <row r="13" spans="1:9">
      <c r="A13" s="30"/>
      <c r="G13" s="27"/>
      <c r="H13" s="27">
        <f t="shared" si="0"/>
        <v>0</v>
      </c>
    </row>
    <row r="14" spans="1:9">
      <c r="A14" s="30"/>
      <c r="G14" s="27"/>
      <c r="H14" s="27">
        <f t="shared" si="0"/>
        <v>0</v>
      </c>
    </row>
    <row r="15" spans="1:9">
      <c r="A15" s="30"/>
      <c r="G15" s="27"/>
      <c r="H15" s="27">
        <f t="shared" si="0"/>
        <v>0</v>
      </c>
    </row>
    <row r="16" spans="1:9">
      <c r="A16" s="30"/>
      <c r="G16" s="27"/>
      <c r="H16" s="27">
        <f t="shared" si="0"/>
        <v>0</v>
      </c>
    </row>
    <row r="17" spans="1:8">
      <c r="A17" s="30"/>
      <c r="G17" s="27"/>
      <c r="H17" s="27">
        <f t="shared" si="0"/>
        <v>0</v>
      </c>
    </row>
    <row r="18" spans="1:8">
      <c r="A18" s="30"/>
      <c r="G18" s="27"/>
      <c r="H18" s="27">
        <f t="shared" si="0"/>
        <v>0</v>
      </c>
    </row>
    <row r="19" spans="1:8">
      <c r="A19" s="30"/>
      <c r="G19" s="27"/>
      <c r="H19" s="27">
        <f t="shared" si="0"/>
        <v>0</v>
      </c>
    </row>
    <row r="20" spans="1:8">
      <c r="A20" s="30"/>
      <c r="G20" s="27"/>
      <c r="H20" s="27">
        <f t="shared" si="0"/>
        <v>0</v>
      </c>
    </row>
    <row r="21" spans="1:8">
      <c r="A21" s="30"/>
      <c r="G21" s="27"/>
      <c r="H21" s="27">
        <f t="shared" si="0"/>
        <v>0</v>
      </c>
    </row>
    <row r="22" spans="1:8">
      <c r="A22" s="30"/>
      <c r="G22" s="27"/>
      <c r="H22" s="27">
        <f t="shared" si="0"/>
        <v>0</v>
      </c>
    </row>
    <row r="23" spans="1:8">
      <c r="A23" s="30"/>
      <c r="G23" s="27"/>
      <c r="H23" s="27">
        <f t="shared" si="0"/>
        <v>0</v>
      </c>
    </row>
    <row r="24" spans="1:8">
      <c r="A24" s="30"/>
      <c r="G24" s="27"/>
      <c r="H24" s="27">
        <f t="shared" si="0"/>
        <v>0</v>
      </c>
    </row>
    <row r="25" spans="1:8">
      <c r="A25" s="30"/>
      <c r="G25" s="27"/>
      <c r="H25" s="27">
        <f t="shared" si="0"/>
        <v>0</v>
      </c>
    </row>
    <row r="26" spans="1:8">
      <c r="A26" s="30"/>
      <c r="G26" s="27"/>
      <c r="H26" s="27">
        <f t="shared" si="0"/>
        <v>0</v>
      </c>
    </row>
    <row r="27" spans="1:8">
      <c r="A27" s="30"/>
      <c r="G27" s="27"/>
      <c r="H27" s="27">
        <f t="shared" si="0"/>
        <v>0</v>
      </c>
    </row>
    <row r="28" spans="1:8">
      <c r="A28" s="30"/>
      <c r="G28" s="27"/>
      <c r="H28" s="27">
        <f t="shared" si="0"/>
        <v>0</v>
      </c>
    </row>
    <row r="29" spans="1:8">
      <c r="A29" s="30"/>
      <c r="G29" s="27"/>
      <c r="H29" s="27">
        <f t="shared" si="0"/>
        <v>0</v>
      </c>
    </row>
    <row r="30" spans="1:8">
      <c r="A30" s="30"/>
      <c r="G30" s="27"/>
      <c r="H30" s="27">
        <f t="shared" si="0"/>
        <v>0</v>
      </c>
    </row>
    <row r="31" spans="1:8">
      <c r="A31" s="30"/>
      <c r="G31" s="27"/>
      <c r="H31" s="27">
        <f t="shared" si="0"/>
        <v>0</v>
      </c>
    </row>
    <row r="32" spans="1:8">
      <c r="A32" s="30"/>
      <c r="G32" s="27"/>
      <c r="H32" s="27">
        <f t="shared" si="0"/>
        <v>0</v>
      </c>
    </row>
    <row r="33" spans="1:8">
      <c r="A33" s="30"/>
      <c r="G33" s="27"/>
      <c r="H33" s="27">
        <f t="shared" si="0"/>
        <v>0</v>
      </c>
    </row>
    <row r="34" spans="1:8">
      <c r="A34" s="30"/>
      <c r="G34" s="27"/>
      <c r="H34" s="27">
        <f t="shared" si="0"/>
        <v>0</v>
      </c>
    </row>
    <row r="35" spans="1:8">
      <c r="A35" s="30"/>
      <c r="G35" s="27"/>
      <c r="H35" s="27">
        <f t="shared" si="0"/>
        <v>0</v>
      </c>
    </row>
    <row r="36" spans="1:8">
      <c r="A36" s="30"/>
      <c r="G36" s="27"/>
      <c r="H36" s="27">
        <f t="shared" si="0"/>
        <v>0</v>
      </c>
    </row>
    <row r="37" spans="1:8">
      <c r="A37" s="30"/>
      <c r="G37" s="27"/>
      <c r="H37" s="27">
        <f t="shared" si="0"/>
        <v>0</v>
      </c>
    </row>
    <row r="38" spans="1:8">
      <c r="A38" s="30"/>
      <c r="G38" s="27"/>
      <c r="H38" s="27">
        <f t="shared" si="0"/>
        <v>0</v>
      </c>
    </row>
    <row r="39" spans="1:8">
      <c r="A39" s="30"/>
      <c r="G39" s="27"/>
      <c r="H39" s="27">
        <f t="shared" si="0"/>
        <v>0</v>
      </c>
    </row>
    <row r="40" spans="1:8">
      <c r="A40" s="30"/>
      <c r="G40" s="27"/>
      <c r="H40" s="27">
        <f t="shared" si="0"/>
        <v>0</v>
      </c>
    </row>
    <row r="41" spans="1:8">
      <c r="A41" s="30"/>
      <c r="G41" s="27"/>
      <c r="H41" s="27">
        <f t="shared" si="0"/>
        <v>0</v>
      </c>
    </row>
    <row r="42" spans="1:8">
      <c r="A42" s="30"/>
      <c r="G42" s="27"/>
      <c r="H42" s="27">
        <f t="shared" si="0"/>
        <v>0</v>
      </c>
    </row>
    <row r="43" spans="1:8">
      <c r="A43" s="30"/>
      <c r="G43" s="27"/>
      <c r="H43" s="27">
        <f t="shared" si="0"/>
        <v>0</v>
      </c>
    </row>
    <row r="44" spans="1:8">
      <c r="A44" s="30"/>
      <c r="G44" s="27"/>
      <c r="H44" s="27">
        <f t="shared" si="0"/>
        <v>0</v>
      </c>
    </row>
    <row r="45" spans="1:8">
      <c r="A45" s="30"/>
      <c r="G45" s="27"/>
      <c r="H45" s="27">
        <f t="shared" si="0"/>
        <v>0</v>
      </c>
    </row>
    <row r="46" spans="1:8">
      <c r="A46" s="30"/>
      <c r="G46" s="27"/>
      <c r="H46" s="27">
        <f t="shared" si="0"/>
        <v>0</v>
      </c>
    </row>
    <row r="47" spans="1:8">
      <c r="A47" s="30"/>
      <c r="G47" s="27"/>
      <c r="H47" s="27">
        <f t="shared" si="0"/>
        <v>0</v>
      </c>
    </row>
    <row r="48" spans="1:8">
      <c r="A48" s="30"/>
      <c r="G48" s="27"/>
      <c r="H48" s="27">
        <f t="shared" si="0"/>
        <v>0</v>
      </c>
    </row>
    <row r="49" spans="1:8">
      <c r="A49" s="30"/>
      <c r="G49" s="27"/>
      <c r="H49" s="27">
        <f t="shared" si="0"/>
        <v>0</v>
      </c>
    </row>
    <row r="50" spans="1:8">
      <c r="A50" s="30"/>
      <c r="G50" s="27"/>
      <c r="H50" s="27">
        <f t="shared" si="0"/>
        <v>0</v>
      </c>
    </row>
    <row r="51" spans="1:8">
      <c r="A51" s="30"/>
      <c r="G51" s="27"/>
      <c r="H51" s="27">
        <f t="shared" si="0"/>
        <v>0</v>
      </c>
    </row>
    <row r="52" spans="1:8">
      <c r="A52" s="30"/>
      <c r="G52" s="27"/>
      <c r="H52" s="27">
        <f t="shared" si="0"/>
        <v>0</v>
      </c>
    </row>
    <row r="53" spans="1:8">
      <c r="A53" s="30"/>
      <c r="G53" s="27"/>
      <c r="H53" s="27">
        <f t="shared" si="0"/>
        <v>0</v>
      </c>
    </row>
    <row r="54" spans="1:8">
      <c r="A54" s="30"/>
      <c r="G54" s="27"/>
      <c r="H54" s="27">
        <f t="shared" si="0"/>
        <v>0</v>
      </c>
    </row>
    <row r="55" spans="1:8">
      <c r="A55" s="30"/>
      <c r="G55" s="27"/>
      <c r="H55" s="27">
        <f t="shared" si="0"/>
        <v>0</v>
      </c>
    </row>
    <row r="56" spans="1:8">
      <c r="A56" s="30"/>
      <c r="G56" s="27"/>
      <c r="H56" s="27">
        <f t="shared" si="0"/>
        <v>0</v>
      </c>
    </row>
    <row r="57" spans="1:8">
      <c r="A57" s="30"/>
      <c r="G57" s="27"/>
      <c r="H57" s="27">
        <f t="shared" si="0"/>
        <v>0</v>
      </c>
    </row>
    <row r="58" spans="1:8">
      <c r="A58" s="30"/>
      <c r="G58" s="27"/>
      <c r="H58" s="27">
        <f t="shared" si="0"/>
        <v>0</v>
      </c>
    </row>
    <row r="59" spans="1:8">
      <c r="A59" s="30"/>
      <c r="G59" s="27"/>
      <c r="H59" s="27">
        <f t="shared" si="0"/>
        <v>0</v>
      </c>
    </row>
    <row r="60" spans="1:8">
      <c r="A60" s="30"/>
      <c r="G60" s="27"/>
      <c r="H60" s="27">
        <f t="shared" si="0"/>
        <v>0</v>
      </c>
    </row>
    <row r="61" spans="1:8">
      <c r="A61" s="30"/>
      <c r="G61" s="27"/>
      <c r="H61" s="27">
        <f t="shared" si="0"/>
        <v>0</v>
      </c>
    </row>
    <row r="62" spans="1:8">
      <c r="A62" s="30"/>
      <c r="G62" s="27"/>
      <c r="H62" s="27">
        <f t="shared" si="0"/>
        <v>0</v>
      </c>
    </row>
    <row r="63" spans="1:8">
      <c r="A63" s="30"/>
      <c r="G63" s="27"/>
      <c r="H63" s="27">
        <f t="shared" si="0"/>
        <v>0</v>
      </c>
    </row>
    <row r="64" spans="1:8">
      <c r="A64" s="30"/>
      <c r="G64" s="27"/>
      <c r="H64" s="27">
        <f t="shared" si="0"/>
        <v>0</v>
      </c>
    </row>
    <row r="65" spans="1:8">
      <c r="A65" s="30"/>
      <c r="G65" s="27"/>
      <c r="H65" s="27">
        <f t="shared" si="0"/>
        <v>0</v>
      </c>
    </row>
    <row r="66" spans="1:8">
      <c r="A66" s="30"/>
      <c r="G66" s="27"/>
      <c r="H66" s="27">
        <f t="shared" ref="H66:H129" si="1">IF(OR(B66="Opening Float",B66="Cash Top-up",B66="Adjustment In"),G66,IF(OR(B66="Expense Paid",B66="Cash Returned",B66="Adjustment Out"),-G66,0))</f>
        <v>0</v>
      </c>
    </row>
    <row r="67" spans="1:8">
      <c r="A67" s="30"/>
      <c r="G67" s="27"/>
      <c r="H67" s="27">
        <f t="shared" si="1"/>
        <v>0</v>
      </c>
    </row>
    <row r="68" spans="1:8">
      <c r="A68" s="30"/>
      <c r="G68" s="27"/>
      <c r="H68" s="27">
        <f t="shared" si="1"/>
        <v>0</v>
      </c>
    </row>
    <row r="69" spans="1:8">
      <c r="A69" s="30"/>
      <c r="G69" s="27"/>
      <c r="H69" s="27">
        <f t="shared" si="1"/>
        <v>0</v>
      </c>
    </row>
    <row r="70" spans="1:8">
      <c r="A70" s="30"/>
      <c r="G70" s="27"/>
      <c r="H70" s="27">
        <f t="shared" si="1"/>
        <v>0</v>
      </c>
    </row>
    <row r="71" spans="1:8">
      <c r="A71" s="30"/>
      <c r="G71" s="27"/>
      <c r="H71" s="27">
        <f t="shared" si="1"/>
        <v>0</v>
      </c>
    </row>
    <row r="72" spans="1:8">
      <c r="A72" s="30"/>
      <c r="G72" s="27"/>
      <c r="H72" s="27">
        <f t="shared" si="1"/>
        <v>0</v>
      </c>
    </row>
    <row r="73" spans="1:8">
      <c r="A73" s="30"/>
      <c r="G73" s="27"/>
      <c r="H73" s="27">
        <f t="shared" si="1"/>
        <v>0</v>
      </c>
    </row>
    <row r="74" spans="1:8">
      <c r="A74" s="30"/>
      <c r="G74" s="27"/>
      <c r="H74" s="27">
        <f t="shared" si="1"/>
        <v>0</v>
      </c>
    </row>
    <row r="75" spans="1:8">
      <c r="A75" s="30"/>
      <c r="G75" s="27"/>
      <c r="H75" s="27">
        <f t="shared" si="1"/>
        <v>0</v>
      </c>
    </row>
    <row r="76" spans="1:8">
      <c r="A76" s="30"/>
      <c r="G76" s="27"/>
      <c r="H76" s="27">
        <f t="shared" si="1"/>
        <v>0</v>
      </c>
    </row>
    <row r="77" spans="1:8">
      <c r="A77" s="30"/>
      <c r="G77" s="27"/>
      <c r="H77" s="27">
        <f t="shared" si="1"/>
        <v>0</v>
      </c>
    </row>
    <row r="78" spans="1:8">
      <c r="A78" s="30"/>
      <c r="G78" s="27"/>
      <c r="H78" s="27">
        <f t="shared" si="1"/>
        <v>0</v>
      </c>
    </row>
    <row r="79" spans="1:8">
      <c r="A79" s="30"/>
      <c r="G79" s="27"/>
      <c r="H79" s="27">
        <f t="shared" si="1"/>
        <v>0</v>
      </c>
    </row>
    <row r="80" spans="1:8">
      <c r="A80" s="30"/>
      <c r="G80" s="27"/>
      <c r="H80" s="27">
        <f t="shared" si="1"/>
        <v>0</v>
      </c>
    </row>
    <row r="81" spans="1:8">
      <c r="A81" s="30"/>
      <c r="G81" s="27"/>
      <c r="H81" s="27">
        <f t="shared" si="1"/>
        <v>0</v>
      </c>
    </row>
    <row r="82" spans="1:8">
      <c r="A82" s="30"/>
      <c r="G82" s="27"/>
      <c r="H82" s="27">
        <f t="shared" si="1"/>
        <v>0</v>
      </c>
    </row>
    <row r="83" spans="1:8">
      <c r="A83" s="30"/>
      <c r="G83" s="27"/>
      <c r="H83" s="27">
        <f t="shared" si="1"/>
        <v>0</v>
      </c>
    </row>
    <row r="84" spans="1:8">
      <c r="A84" s="30"/>
      <c r="G84" s="27"/>
      <c r="H84" s="27">
        <f t="shared" si="1"/>
        <v>0</v>
      </c>
    </row>
    <row r="85" spans="1:8">
      <c r="A85" s="30"/>
      <c r="G85" s="27"/>
      <c r="H85" s="27">
        <f t="shared" si="1"/>
        <v>0</v>
      </c>
    </row>
    <row r="86" spans="1:8">
      <c r="A86" s="30"/>
      <c r="G86" s="27"/>
      <c r="H86" s="27">
        <f t="shared" si="1"/>
        <v>0</v>
      </c>
    </row>
    <row r="87" spans="1:8">
      <c r="A87" s="30"/>
      <c r="G87" s="27"/>
      <c r="H87" s="27">
        <f t="shared" si="1"/>
        <v>0</v>
      </c>
    </row>
    <row r="88" spans="1:8">
      <c r="A88" s="30"/>
      <c r="G88" s="27"/>
      <c r="H88" s="27">
        <f t="shared" si="1"/>
        <v>0</v>
      </c>
    </row>
    <row r="89" spans="1:8">
      <c r="A89" s="30"/>
      <c r="G89" s="27"/>
      <c r="H89" s="27">
        <f t="shared" si="1"/>
        <v>0</v>
      </c>
    </row>
    <row r="90" spans="1:8">
      <c r="A90" s="30"/>
      <c r="G90" s="27"/>
      <c r="H90" s="27">
        <f t="shared" si="1"/>
        <v>0</v>
      </c>
    </row>
    <row r="91" spans="1:8">
      <c r="A91" s="30"/>
      <c r="G91" s="27"/>
      <c r="H91" s="27">
        <f t="shared" si="1"/>
        <v>0</v>
      </c>
    </row>
    <row r="92" spans="1:8">
      <c r="A92" s="30"/>
      <c r="G92" s="27"/>
      <c r="H92" s="27">
        <f t="shared" si="1"/>
        <v>0</v>
      </c>
    </row>
    <row r="93" spans="1:8">
      <c r="A93" s="30"/>
      <c r="G93" s="27"/>
      <c r="H93" s="27">
        <f t="shared" si="1"/>
        <v>0</v>
      </c>
    </row>
    <row r="94" spans="1:8">
      <c r="A94" s="30"/>
      <c r="G94" s="27"/>
      <c r="H94" s="27">
        <f t="shared" si="1"/>
        <v>0</v>
      </c>
    </row>
    <row r="95" spans="1:8">
      <c r="A95" s="30"/>
      <c r="G95" s="27"/>
      <c r="H95" s="27">
        <f t="shared" si="1"/>
        <v>0</v>
      </c>
    </row>
    <row r="96" spans="1:8">
      <c r="A96" s="30"/>
      <c r="G96" s="27"/>
      <c r="H96" s="27">
        <f t="shared" si="1"/>
        <v>0</v>
      </c>
    </row>
    <row r="97" spans="1:8">
      <c r="A97" s="30"/>
      <c r="G97" s="27"/>
      <c r="H97" s="27">
        <f t="shared" si="1"/>
        <v>0</v>
      </c>
    </row>
    <row r="98" spans="1:8">
      <c r="A98" s="30"/>
      <c r="G98" s="27"/>
      <c r="H98" s="27">
        <f t="shared" si="1"/>
        <v>0</v>
      </c>
    </row>
    <row r="99" spans="1:8">
      <c r="A99" s="30"/>
      <c r="G99" s="27"/>
      <c r="H99" s="27">
        <f t="shared" si="1"/>
        <v>0</v>
      </c>
    </row>
    <row r="100" spans="1:8">
      <c r="A100" s="30"/>
      <c r="G100" s="27"/>
      <c r="H100" s="27">
        <f t="shared" si="1"/>
        <v>0</v>
      </c>
    </row>
    <row r="101" spans="1:8">
      <c r="A101" s="30"/>
      <c r="G101" s="27"/>
      <c r="H101" s="27">
        <f t="shared" si="1"/>
        <v>0</v>
      </c>
    </row>
    <row r="102" spans="1:8">
      <c r="A102" s="30"/>
      <c r="G102" s="27"/>
      <c r="H102" s="27">
        <f t="shared" si="1"/>
        <v>0</v>
      </c>
    </row>
    <row r="103" spans="1:8">
      <c r="A103" s="30"/>
      <c r="G103" s="27"/>
      <c r="H103" s="27">
        <f t="shared" si="1"/>
        <v>0</v>
      </c>
    </row>
    <row r="104" spans="1:8">
      <c r="A104" s="30"/>
      <c r="G104" s="27"/>
      <c r="H104" s="27">
        <f t="shared" si="1"/>
        <v>0</v>
      </c>
    </row>
    <row r="105" spans="1:8">
      <c r="A105" s="30"/>
      <c r="G105" s="27"/>
      <c r="H105" s="27">
        <f t="shared" si="1"/>
        <v>0</v>
      </c>
    </row>
    <row r="106" spans="1:8">
      <c r="A106" s="30"/>
      <c r="G106" s="27"/>
      <c r="H106" s="27">
        <f t="shared" si="1"/>
        <v>0</v>
      </c>
    </row>
    <row r="107" spans="1:8">
      <c r="A107" s="30"/>
      <c r="G107" s="27"/>
      <c r="H107" s="27">
        <f t="shared" si="1"/>
        <v>0</v>
      </c>
    </row>
    <row r="108" spans="1:8">
      <c r="A108" s="30"/>
      <c r="G108" s="27"/>
      <c r="H108" s="27">
        <f t="shared" si="1"/>
        <v>0</v>
      </c>
    </row>
    <row r="109" spans="1:8">
      <c r="A109" s="30"/>
      <c r="G109" s="27"/>
      <c r="H109" s="27">
        <f t="shared" si="1"/>
        <v>0</v>
      </c>
    </row>
    <row r="110" spans="1:8">
      <c r="A110" s="30"/>
      <c r="G110" s="27"/>
      <c r="H110" s="27">
        <f t="shared" si="1"/>
        <v>0</v>
      </c>
    </row>
    <row r="111" spans="1:8">
      <c r="A111" s="30"/>
      <c r="G111" s="27"/>
      <c r="H111" s="27">
        <f t="shared" si="1"/>
        <v>0</v>
      </c>
    </row>
    <row r="112" spans="1:8">
      <c r="A112" s="30"/>
      <c r="G112" s="27"/>
      <c r="H112" s="27">
        <f t="shared" si="1"/>
        <v>0</v>
      </c>
    </row>
    <row r="113" spans="1:8">
      <c r="A113" s="30"/>
      <c r="G113" s="27"/>
      <c r="H113" s="27">
        <f t="shared" si="1"/>
        <v>0</v>
      </c>
    </row>
    <row r="114" spans="1:8">
      <c r="A114" s="30"/>
      <c r="G114" s="27"/>
      <c r="H114" s="27">
        <f t="shared" si="1"/>
        <v>0</v>
      </c>
    </row>
    <row r="115" spans="1:8">
      <c r="A115" s="30"/>
      <c r="G115" s="27"/>
      <c r="H115" s="27">
        <f t="shared" si="1"/>
        <v>0</v>
      </c>
    </row>
    <row r="116" spans="1:8">
      <c r="A116" s="30"/>
      <c r="G116" s="27"/>
      <c r="H116" s="27">
        <f t="shared" si="1"/>
        <v>0</v>
      </c>
    </row>
    <row r="117" spans="1:8">
      <c r="A117" s="30"/>
      <c r="G117" s="27"/>
      <c r="H117" s="27">
        <f t="shared" si="1"/>
        <v>0</v>
      </c>
    </row>
    <row r="118" spans="1:8">
      <c r="A118" s="30"/>
      <c r="G118" s="27"/>
      <c r="H118" s="27">
        <f t="shared" si="1"/>
        <v>0</v>
      </c>
    </row>
    <row r="119" spans="1:8">
      <c r="A119" s="30"/>
      <c r="G119" s="27"/>
      <c r="H119" s="27">
        <f t="shared" si="1"/>
        <v>0</v>
      </c>
    </row>
    <row r="120" spans="1:8">
      <c r="A120" s="30"/>
      <c r="G120" s="27"/>
      <c r="H120" s="27">
        <f t="shared" si="1"/>
        <v>0</v>
      </c>
    </row>
    <row r="121" spans="1:8">
      <c r="A121" s="30"/>
      <c r="G121" s="27"/>
      <c r="H121" s="27">
        <f t="shared" si="1"/>
        <v>0</v>
      </c>
    </row>
    <row r="122" spans="1:8">
      <c r="A122" s="30"/>
      <c r="G122" s="27"/>
      <c r="H122" s="27">
        <f t="shared" si="1"/>
        <v>0</v>
      </c>
    </row>
    <row r="123" spans="1:8">
      <c r="A123" s="30"/>
      <c r="G123" s="27"/>
      <c r="H123" s="27">
        <f t="shared" si="1"/>
        <v>0</v>
      </c>
    </row>
    <row r="124" spans="1:8">
      <c r="A124" s="30"/>
      <c r="G124" s="27"/>
      <c r="H124" s="27">
        <f t="shared" si="1"/>
        <v>0</v>
      </c>
    </row>
    <row r="125" spans="1:8">
      <c r="A125" s="30"/>
      <c r="G125" s="27"/>
      <c r="H125" s="27">
        <f t="shared" si="1"/>
        <v>0</v>
      </c>
    </row>
    <row r="126" spans="1:8">
      <c r="A126" s="30"/>
      <c r="G126" s="27"/>
      <c r="H126" s="27">
        <f t="shared" si="1"/>
        <v>0</v>
      </c>
    </row>
    <row r="127" spans="1:8">
      <c r="A127" s="30"/>
      <c r="G127" s="27"/>
      <c r="H127" s="27">
        <f t="shared" si="1"/>
        <v>0</v>
      </c>
    </row>
    <row r="128" spans="1:8">
      <c r="A128" s="30"/>
      <c r="G128" s="27"/>
      <c r="H128" s="27">
        <f t="shared" si="1"/>
        <v>0</v>
      </c>
    </row>
    <row r="129" spans="1:8">
      <c r="A129" s="30"/>
      <c r="G129" s="27"/>
      <c r="H129" s="27">
        <f t="shared" si="1"/>
        <v>0</v>
      </c>
    </row>
    <row r="130" spans="1:8">
      <c r="A130" s="30"/>
      <c r="G130" s="27"/>
      <c r="H130" s="27">
        <f t="shared" ref="H130:H193" si="2">IF(OR(B130="Opening Float",B130="Cash Top-up",B130="Adjustment In"),G130,IF(OR(B130="Expense Paid",B130="Cash Returned",B130="Adjustment Out"),-G130,0))</f>
        <v>0</v>
      </c>
    </row>
    <row r="131" spans="1:8">
      <c r="A131" s="30"/>
      <c r="G131" s="27"/>
      <c r="H131" s="27">
        <f t="shared" si="2"/>
        <v>0</v>
      </c>
    </row>
    <row r="132" spans="1:8">
      <c r="A132" s="30"/>
      <c r="G132" s="27"/>
      <c r="H132" s="27">
        <f t="shared" si="2"/>
        <v>0</v>
      </c>
    </row>
    <row r="133" spans="1:8">
      <c r="A133" s="30"/>
      <c r="G133" s="27"/>
      <c r="H133" s="27">
        <f t="shared" si="2"/>
        <v>0</v>
      </c>
    </row>
    <row r="134" spans="1:8">
      <c r="A134" s="30"/>
      <c r="G134" s="27"/>
      <c r="H134" s="27">
        <f t="shared" si="2"/>
        <v>0</v>
      </c>
    </row>
    <row r="135" spans="1:8">
      <c r="A135" s="30"/>
      <c r="G135" s="27"/>
      <c r="H135" s="27">
        <f t="shared" si="2"/>
        <v>0</v>
      </c>
    </row>
    <row r="136" spans="1:8">
      <c r="A136" s="30"/>
      <c r="G136" s="27"/>
      <c r="H136" s="27">
        <f t="shared" si="2"/>
        <v>0</v>
      </c>
    </row>
    <row r="137" spans="1:8">
      <c r="A137" s="30"/>
      <c r="G137" s="27"/>
      <c r="H137" s="27">
        <f t="shared" si="2"/>
        <v>0</v>
      </c>
    </row>
    <row r="138" spans="1:8">
      <c r="A138" s="30"/>
      <c r="G138" s="27"/>
      <c r="H138" s="27">
        <f t="shared" si="2"/>
        <v>0</v>
      </c>
    </row>
    <row r="139" spans="1:8">
      <c r="A139" s="30"/>
      <c r="G139" s="27"/>
      <c r="H139" s="27">
        <f t="shared" si="2"/>
        <v>0</v>
      </c>
    </row>
    <row r="140" spans="1:8">
      <c r="A140" s="30"/>
      <c r="G140" s="27"/>
      <c r="H140" s="27">
        <f t="shared" si="2"/>
        <v>0</v>
      </c>
    </row>
    <row r="141" spans="1:8">
      <c r="A141" s="30"/>
      <c r="G141" s="27"/>
      <c r="H141" s="27">
        <f t="shared" si="2"/>
        <v>0</v>
      </c>
    </row>
    <row r="142" spans="1:8">
      <c r="A142" s="30"/>
      <c r="G142" s="27"/>
      <c r="H142" s="27">
        <f t="shared" si="2"/>
        <v>0</v>
      </c>
    </row>
    <row r="143" spans="1:8">
      <c r="A143" s="30"/>
      <c r="G143" s="27"/>
      <c r="H143" s="27">
        <f t="shared" si="2"/>
        <v>0</v>
      </c>
    </row>
    <row r="144" spans="1:8">
      <c r="A144" s="30"/>
      <c r="G144" s="27"/>
      <c r="H144" s="27">
        <f t="shared" si="2"/>
        <v>0</v>
      </c>
    </row>
    <row r="145" spans="1:8">
      <c r="A145" s="30"/>
      <c r="G145" s="27"/>
      <c r="H145" s="27">
        <f t="shared" si="2"/>
        <v>0</v>
      </c>
    </row>
    <row r="146" spans="1:8">
      <c r="A146" s="30"/>
      <c r="G146" s="27"/>
      <c r="H146" s="27">
        <f t="shared" si="2"/>
        <v>0</v>
      </c>
    </row>
    <row r="147" spans="1:8">
      <c r="A147" s="30"/>
      <c r="G147" s="27"/>
      <c r="H147" s="27">
        <f t="shared" si="2"/>
        <v>0</v>
      </c>
    </row>
    <row r="148" spans="1:8">
      <c r="A148" s="30"/>
      <c r="G148" s="27"/>
      <c r="H148" s="27">
        <f t="shared" si="2"/>
        <v>0</v>
      </c>
    </row>
    <row r="149" spans="1:8">
      <c r="A149" s="30"/>
      <c r="G149" s="27"/>
      <c r="H149" s="27">
        <f t="shared" si="2"/>
        <v>0</v>
      </c>
    </row>
    <row r="150" spans="1:8">
      <c r="A150" s="30"/>
      <c r="G150" s="27"/>
      <c r="H150" s="27">
        <f t="shared" si="2"/>
        <v>0</v>
      </c>
    </row>
    <row r="151" spans="1:8">
      <c r="A151" s="30"/>
      <c r="G151" s="27"/>
      <c r="H151" s="27">
        <f t="shared" si="2"/>
        <v>0</v>
      </c>
    </row>
    <row r="152" spans="1:8">
      <c r="A152" s="30"/>
      <c r="G152" s="27"/>
      <c r="H152" s="27">
        <f t="shared" si="2"/>
        <v>0</v>
      </c>
    </row>
    <row r="153" spans="1:8">
      <c r="A153" s="30"/>
      <c r="G153" s="27"/>
      <c r="H153" s="27">
        <f t="shared" si="2"/>
        <v>0</v>
      </c>
    </row>
    <row r="154" spans="1:8">
      <c r="A154" s="30"/>
      <c r="G154" s="27"/>
      <c r="H154" s="27">
        <f t="shared" si="2"/>
        <v>0</v>
      </c>
    </row>
    <row r="155" spans="1:8">
      <c r="A155" s="30"/>
      <c r="G155" s="27"/>
      <c r="H155" s="27">
        <f t="shared" si="2"/>
        <v>0</v>
      </c>
    </row>
    <row r="156" spans="1:8">
      <c r="A156" s="30"/>
      <c r="G156" s="27"/>
      <c r="H156" s="27">
        <f t="shared" si="2"/>
        <v>0</v>
      </c>
    </row>
    <row r="157" spans="1:8">
      <c r="A157" s="30"/>
      <c r="G157" s="27"/>
      <c r="H157" s="27">
        <f t="shared" si="2"/>
        <v>0</v>
      </c>
    </row>
    <row r="158" spans="1:8">
      <c r="A158" s="30"/>
      <c r="G158" s="27"/>
      <c r="H158" s="27">
        <f t="shared" si="2"/>
        <v>0</v>
      </c>
    </row>
    <row r="159" spans="1:8">
      <c r="A159" s="30"/>
      <c r="G159" s="27"/>
      <c r="H159" s="27">
        <f t="shared" si="2"/>
        <v>0</v>
      </c>
    </row>
    <row r="160" spans="1:8">
      <c r="A160" s="30"/>
      <c r="G160" s="27"/>
      <c r="H160" s="27">
        <f t="shared" si="2"/>
        <v>0</v>
      </c>
    </row>
    <row r="161" spans="1:8">
      <c r="A161" s="30"/>
      <c r="G161" s="27"/>
      <c r="H161" s="27">
        <f t="shared" si="2"/>
        <v>0</v>
      </c>
    </row>
    <row r="162" spans="1:8">
      <c r="A162" s="30"/>
      <c r="G162" s="27"/>
      <c r="H162" s="27">
        <f t="shared" si="2"/>
        <v>0</v>
      </c>
    </row>
    <row r="163" spans="1:8">
      <c r="A163" s="30"/>
      <c r="G163" s="27"/>
      <c r="H163" s="27">
        <f t="shared" si="2"/>
        <v>0</v>
      </c>
    </row>
    <row r="164" spans="1:8">
      <c r="A164" s="30"/>
      <c r="G164" s="27"/>
      <c r="H164" s="27">
        <f t="shared" si="2"/>
        <v>0</v>
      </c>
    </row>
    <row r="165" spans="1:8">
      <c r="A165" s="30"/>
      <c r="G165" s="27"/>
      <c r="H165" s="27">
        <f t="shared" si="2"/>
        <v>0</v>
      </c>
    </row>
    <row r="166" spans="1:8">
      <c r="A166" s="30"/>
      <c r="G166" s="27"/>
      <c r="H166" s="27">
        <f t="shared" si="2"/>
        <v>0</v>
      </c>
    </row>
    <row r="167" spans="1:8">
      <c r="A167" s="30"/>
      <c r="G167" s="27"/>
      <c r="H167" s="27">
        <f t="shared" si="2"/>
        <v>0</v>
      </c>
    </row>
    <row r="168" spans="1:8">
      <c r="A168" s="30"/>
      <c r="G168" s="27"/>
      <c r="H168" s="27">
        <f t="shared" si="2"/>
        <v>0</v>
      </c>
    </row>
    <row r="169" spans="1:8">
      <c r="A169" s="30"/>
      <c r="G169" s="27"/>
      <c r="H169" s="27">
        <f t="shared" si="2"/>
        <v>0</v>
      </c>
    </row>
    <row r="170" spans="1:8">
      <c r="A170" s="30"/>
      <c r="G170" s="27"/>
      <c r="H170" s="27">
        <f t="shared" si="2"/>
        <v>0</v>
      </c>
    </row>
    <row r="171" spans="1:8">
      <c r="A171" s="30"/>
      <c r="G171" s="27"/>
      <c r="H171" s="27">
        <f t="shared" si="2"/>
        <v>0</v>
      </c>
    </row>
    <row r="172" spans="1:8">
      <c r="A172" s="30"/>
      <c r="G172" s="27"/>
      <c r="H172" s="27">
        <f t="shared" si="2"/>
        <v>0</v>
      </c>
    </row>
    <row r="173" spans="1:8">
      <c r="A173" s="30"/>
      <c r="G173" s="27"/>
      <c r="H173" s="27">
        <f t="shared" si="2"/>
        <v>0</v>
      </c>
    </row>
    <row r="174" spans="1:8">
      <c r="A174" s="30"/>
      <c r="G174" s="27"/>
      <c r="H174" s="27">
        <f t="shared" si="2"/>
        <v>0</v>
      </c>
    </row>
    <row r="175" spans="1:8">
      <c r="A175" s="30"/>
      <c r="G175" s="27"/>
      <c r="H175" s="27">
        <f t="shared" si="2"/>
        <v>0</v>
      </c>
    </row>
    <row r="176" spans="1:8">
      <c r="A176" s="30"/>
      <c r="G176" s="27"/>
      <c r="H176" s="27">
        <f t="shared" si="2"/>
        <v>0</v>
      </c>
    </row>
    <row r="177" spans="1:8">
      <c r="A177" s="30"/>
      <c r="G177" s="27"/>
      <c r="H177" s="27">
        <f t="shared" si="2"/>
        <v>0</v>
      </c>
    </row>
    <row r="178" spans="1:8">
      <c r="A178" s="30"/>
      <c r="G178" s="27"/>
      <c r="H178" s="27">
        <f t="shared" si="2"/>
        <v>0</v>
      </c>
    </row>
    <row r="179" spans="1:8">
      <c r="A179" s="30"/>
      <c r="G179" s="27"/>
      <c r="H179" s="27">
        <f t="shared" si="2"/>
        <v>0</v>
      </c>
    </row>
    <row r="180" spans="1:8">
      <c r="A180" s="30"/>
      <c r="G180" s="27"/>
      <c r="H180" s="27">
        <f t="shared" si="2"/>
        <v>0</v>
      </c>
    </row>
    <row r="181" spans="1:8">
      <c r="A181" s="30"/>
      <c r="G181" s="27"/>
      <c r="H181" s="27">
        <f t="shared" si="2"/>
        <v>0</v>
      </c>
    </row>
    <row r="182" spans="1:8">
      <c r="A182" s="30"/>
      <c r="G182" s="27"/>
      <c r="H182" s="27">
        <f t="shared" si="2"/>
        <v>0</v>
      </c>
    </row>
    <row r="183" spans="1:8">
      <c r="A183" s="30"/>
      <c r="G183" s="27"/>
      <c r="H183" s="27">
        <f t="shared" si="2"/>
        <v>0</v>
      </c>
    </row>
    <row r="184" spans="1:8">
      <c r="A184" s="30"/>
      <c r="G184" s="27"/>
      <c r="H184" s="27">
        <f t="shared" si="2"/>
        <v>0</v>
      </c>
    </row>
    <row r="185" spans="1:8">
      <c r="A185" s="30"/>
      <c r="G185" s="27"/>
      <c r="H185" s="27">
        <f t="shared" si="2"/>
        <v>0</v>
      </c>
    </row>
    <row r="186" spans="1:8">
      <c r="A186" s="30"/>
      <c r="G186" s="27"/>
      <c r="H186" s="27">
        <f t="shared" si="2"/>
        <v>0</v>
      </c>
    </row>
    <row r="187" spans="1:8">
      <c r="A187" s="30"/>
      <c r="G187" s="27"/>
      <c r="H187" s="27">
        <f t="shared" si="2"/>
        <v>0</v>
      </c>
    </row>
    <row r="188" spans="1:8">
      <c r="A188" s="30"/>
      <c r="G188" s="27"/>
      <c r="H188" s="27">
        <f t="shared" si="2"/>
        <v>0</v>
      </c>
    </row>
    <row r="189" spans="1:8">
      <c r="A189" s="30"/>
      <c r="G189" s="27"/>
      <c r="H189" s="27">
        <f t="shared" si="2"/>
        <v>0</v>
      </c>
    </row>
    <row r="190" spans="1:8">
      <c r="A190" s="30"/>
      <c r="G190" s="27"/>
      <c r="H190" s="27">
        <f t="shared" si="2"/>
        <v>0</v>
      </c>
    </row>
    <row r="191" spans="1:8">
      <c r="A191" s="30"/>
      <c r="G191" s="27"/>
      <c r="H191" s="27">
        <f t="shared" si="2"/>
        <v>0</v>
      </c>
    </row>
    <row r="192" spans="1:8">
      <c r="A192" s="30"/>
      <c r="G192" s="27"/>
      <c r="H192" s="27">
        <f t="shared" si="2"/>
        <v>0</v>
      </c>
    </row>
    <row r="193" spans="1:8">
      <c r="A193" s="30"/>
      <c r="G193" s="27"/>
      <c r="H193" s="27">
        <f t="shared" si="2"/>
        <v>0</v>
      </c>
    </row>
    <row r="194" spans="1:8">
      <c r="A194" s="30"/>
      <c r="G194" s="27"/>
      <c r="H194" s="27">
        <f t="shared" ref="H194:H257" si="3">IF(OR(B194="Opening Float",B194="Cash Top-up",B194="Adjustment In"),G194,IF(OR(B194="Expense Paid",B194="Cash Returned",B194="Adjustment Out"),-G194,0))</f>
        <v>0</v>
      </c>
    </row>
    <row r="195" spans="1:8">
      <c r="A195" s="30"/>
      <c r="G195" s="27"/>
      <c r="H195" s="27">
        <f t="shared" si="3"/>
        <v>0</v>
      </c>
    </row>
    <row r="196" spans="1:8">
      <c r="A196" s="30"/>
      <c r="G196" s="27"/>
      <c r="H196" s="27">
        <f t="shared" si="3"/>
        <v>0</v>
      </c>
    </row>
    <row r="197" spans="1:8">
      <c r="A197" s="30"/>
      <c r="G197" s="27"/>
      <c r="H197" s="27">
        <f t="shared" si="3"/>
        <v>0</v>
      </c>
    </row>
    <row r="198" spans="1:8">
      <c r="A198" s="30"/>
      <c r="G198" s="27"/>
      <c r="H198" s="27">
        <f t="shared" si="3"/>
        <v>0</v>
      </c>
    </row>
    <row r="199" spans="1:8">
      <c r="A199" s="30"/>
      <c r="G199" s="27"/>
      <c r="H199" s="27">
        <f t="shared" si="3"/>
        <v>0</v>
      </c>
    </row>
    <row r="200" spans="1:8">
      <c r="A200" s="30"/>
      <c r="G200" s="27"/>
      <c r="H200" s="27">
        <f t="shared" si="3"/>
        <v>0</v>
      </c>
    </row>
    <row r="201" spans="1:8">
      <c r="A201" s="30"/>
      <c r="G201" s="27"/>
      <c r="H201" s="27">
        <f t="shared" si="3"/>
        <v>0</v>
      </c>
    </row>
    <row r="202" spans="1:8">
      <c r="A202" s="30"/>
      <c r="G202" s="27"/>
      <c r="H202" s="27">
        <f t="shared" si="3"/>
        <v>0</v>
      </c>
    </row>
    <row r="203" spans="1:8">
      <c r="A203" s="30"/>
      <c r="G203" s="27"/>
      <c r="H203" s="27">
        <f t="shared" si="3"/>
        <v>0</v>
      </c>
    </row>
    <row r="204" spans="1:8">
      <c r="A204" s="30"/>
      <c r="G204" s="27"/>
      <c r="H204" s="27">
        <f t="shared" si="3"/>
        <v>0</v>
      </c>
    </row>
    <row r="205" spans="1:8">
      <c r="A205" s="30"/>
      <c r="G205" s="27"/>
      <c r="H205" s="27">
        <f t="shared" si="3"/>
        <v>0</v>
      </c>
    </row>
    <row r="206" spans="1:8">
      <c r="A206" s="30"/>
      <c r="G206" s="27"/>
      <c r="H206" s="27">
        <f t="shared" si="3"/>
        <v>0</v>
      </c>
    </row>
    <row r="207" spans="1:8">
      <c r="A207" s="30"/>
      <c r="G207" s="27"/>
      <c r="H207" s="27">
        <f t="shared" si="3"/>
        <v>0</v>
      </c>
    </row>
    <row r="208" spans="1:8">
      <c r="A208" s="30"/>
      <c r="G208" s="27"/>
      <c r="H208" s="27">
        <f t="shared" si="3"/>
        <v>0</v>
      </c>
    </row>
    <row r="209" spans="1:8">
      <c r="A209" s="30"/>
      <c r="G209" s="27"/>
      <c r="H209" s="27">
        <f t="shared" si="3"/>
        <v>0</v>
      </c>
    </row>
    <row r="210" spans="1:8">
      <c r="A210" s="30"/>
      <c r="G210" s="27"/>
      <c r="H210" s="27">
        <f t="shared" si="3"/>
        <v>0</v>
      </c>
    </row>
    <row r="211" spans="1:8">
      <c r="A211" s="30"/>
      <c r="G211" s="27"/>
      <c r="H211" s="27">
        <f t="shared" si="3"/>
        <v>0</v>
      </c>
    </row>
    <row r="212" spans="1:8">
      <c r="A212" s="30"/>
      <c r="G212" s="27"/>
      <c r="H212" s="27">
        <f t="shared" si="3"/>
        <v>0</v>
      </c>
    </row>
    <row r="213" spans="1:8">
      <c r="A213" s="30"/>
      <c r="G213" s="27"/>
      <c r="H213" s="27">
        <f t="shared" si="3"/>
        <v>0</v>
      </c>
    </row>
    <row r="214" spans="1:8">
      <c r="A214" s="30"/>
      <c r="G214" s="27"/>
      <c r="H214" s="27">
        <f t="shared" si="3"/>
        <v>0</v>
      </c>
    </row>
    <row r="215" spans="1:8">
      <c r="A215" s="30"/>
      <c r="G215" s="27"/>
      <c r="H215" s="27">
        <f t="shared" si="3"/>
        <v>0</v>
      </c>
    </row>
    <row r="216" spans="1:8">
      <c r="A216" s="30"/>
      <c r="G216" s="27"/>
      <c r="H216" s="27">
        <f t="shared" si="3"/>
        <v>0</v>
      </c>
    </row>
    <row r="217" spans="1:8">
      <c r="A217" s="30"/>
      <c r="G217" s="27"/>
      <c r="H217" s="27">
        <f t="shared" si="3"/>
        <v>0</v>
      </c>
    </row>
    <row r="218" spans="1:8">
      <c r="A218" s="30"/>
      <c r="G218" s="27"/>
      <c r="H218" s="27">
        <f t="shared" si="3"/>
        <v>0</v>
      </c>
    </row>
    <row r="219" spans="1:8">
      <c r="A219" s="30"/>
      <c r="G219" s="27"/>
      <c r="H219" s="27">
        <f t="shared" si="3"/>
        <v>0</v>
      </c>
    </row>
    <row r="220" spans="1:8">
      <c r="A220" s="30"/>
      <c r="G220" s="27"/>
      <c r="H220" s="27">
        <f t="shared" si="3"/>
        <v>0</v>
      </c>
    </row>
    <row r="221" spans="1:8">
      <c r="A221" s="30"/>
      <c r="G221" s="27"/>
      <c r="H221" s="27">
        <f t="shared" si="3"/>
        <v>0</v>
      </c>
    </row>
    <row r="222" spans="1:8">
      <c r="A222" s="30"/>
      <c r="G222" s="27"/>
      <c r="H222" s="27">
        <f t="shared" si="3"/>
        <v>0</v>
      </c>
    </row>
    <row r="223" spans="1:8">
      <c r="A223" s="30"/>
      <c r="G223" s="27"/>
      <c r="H223" s="27">
        <f t="shared" si="3"/>
        <v>0</v>
      </c>
    </row>
    <row r="224" spans="1:8">
      <c r="A224" s="30"/>
      <c r="G224" s="27"/>
      <c r="H224" s="27">
        <f t="shared" si="3"/>
        <v>0</v>
      </c>
    </row>
    <row r="225" spans="1:8">
      <c r="A225" s="30"/>
      <c r="G225" s="27"/>
      <c r="H225" s="27">
        <f t="shared" si="3"/>
        <v>0</v>
      </c>
    </row>
    <row r="226" spans="1:8">
      <c r="A226" s="30"/>
      <c r="G226" s="27"/>
      <c r="H226" s="27">
        <f t="shared" si="3"/>
        <v>0</v>
      </c>
    </row>
    <row r="227" spans="1:8">
      <c r="A227" s="30"/>
      <c r="G227" s="27"/>
      <c r="H227" s="27">
        <f t="shared" si="3"/>
        <v>0</v>
      </c>
    </row>
    <row r="228" spans="1:8">
      <c r="A228" s="30"/>
      <c r="G228" s="27"/>
      <c r="H228" s="27">
        <f t="shared" si="3"/>
        <v>0</v>
      </c>
    </row>
    <row r="229" spans="1:8">
      <c r="A229" s="30"/>
      <c r="G229" s="27"/>
      <c r="H229" s="27">
        <f t="shared" si="3"/>
        <v>0</v>
      </c>
    </row>
    <row r="230" spans="1:8">
      <c r="A230" s="30"/>
      <c r="G230" s="27"/>
      <c r="H230" s="27">
        <f t="shared" si="3"/>
        <v>0</v>
      </c>
    </row>
    <row r="231" spans="1:8">
      <c r="A231" s="30"/>
      <c r="G231" s="27"/>
      <c r="H231" s="27">
        <f t="shared" si="3"/>
        <v>0</v>
      </c>
    </row>
    <row r="232" spans="1:8">
      <c r="A232" s="30"/>
      <c r="G232" s="27"/>
      <c r="H232" s="27">
        <f t="shared" si="3"/>
        <v>0</v>
      </c>
    </row>
    <row r="233" spans="1:8">
      <c r="A233" s="30"/>
      <c r="G233" s="27"/>
      <c r="H233" s="27">
        <f t="shared" si="3"/>
        <v>0</v>
      </c>
    </row>
    <row r="234" spans="1:8">
      <c r="A234" s="30"/>
      <c r="G234" s="27"/>
      <c r="H234" s="27">
        <f t="shared" si="3"/>
        <v>0</v>
      </c>
    </row>
    <row r="235" spans="1:8">
      <c r="A235" s="30"/>
      <c r="G235" s="27"/>
      <c r="H235" s="27">
        <f t="shared" si="3"/>
        <v>0</v>
      </c>
    </row>
    <row r="236" spans="1:8">
      <c r="A236" s="30"/>
      <c r="G236" s="27"/>
      <c r="H236" s="27">
        <f t="shared" si="3"/>
        <v>0</v>
      </c>
    </row>
    <row r="237" spans="1:8">
      <c r="A237" s="30"/>
      <c r="G237" s="27"/>
      <c r="H237" s="27">
        <f t="shared" si="3"/>
        <v>0</v>
      </c>
    </row>
    <row r="238" spans="1:8">
      <c r="A238" s="30"/>
      <c r="G238" s="27"/>
      <c r="H238" s="27">
        <f t="shared" si="3"/>
        <v>0</v>
      </c>
    </row>
    <row r="239" spans="1:8">
      <c r="A239" s="30"/>
      <c r="G239" s="27"/>
      <c r="H239" s="27">
        <f t="shared" si="3"/>
        <v>0</v>
      </c>
    </row>
    <row r="240" spans="1:8">
      <c r="A240" s="30"/>
      <c r="G240" s="27"/>
      <c r="H240" s="27">
        <f t="shared" si="3"/>
        <v>0</v>
      </c>
    </row>
    <row r="241" spans="1:8">
      <c r="A241" s="30"/>
      <c r="G241" s="27"/>
      <c r="H241" s="27">
        <f t="shared" si="3"/>
        <v>0</v>
      </c>
    </row>
    <row r="242" spans="1:8">
      <c r="A242" s="30"/>
      <c r="G242" s="27"/>
      <c r="H242" s="27">
        <f t="shared" si="3"/>
        <v>0</v>
      </c>
    </row>
    <row r="243" spans="1:8">
      <c r="A243" s="30"/>
      <c r="G243" s="27"/>
      <c r="H243" s="27">
        <f t="shared" si="3"/>
        <v>0</v>
      </c>
    </row>
    <row r="244" spans="1:8">
      <c r="A244" s="30"/>
      <c r="G244" s="27"/>
      <c r="H244" s="27">
        <f t="shared" si="3"/>
        <v>0</v>
      </c>
    </row>
    <row r="245" spans="1:8">
      <c r="A245" s="30"/>
      <c r="G245" s="27"/>
      <c r="H245" s="27">
        <f t="shared" si="3"/>
        <v>0</v>
      </c>
    </row>
    <row r="246" spans="1:8">
      <c r="A246" s="30"/>
      <c r="G246" s="27"/>
      <c r="H246" s="27">
        <f t="shared" si="3"/>
        <v>0</v>
      </c>
    </row>
    <row r="247" spans="1:8">
      <c r="A247" s="30"/>
      <c r="G247" s="27"/>
      <c r="H247" s="27">
        <f t="shared" si="3"/>
        <v>0</v>
      </c>
    </row>
    <row r="248" spans="1:8">
      <c r="A248" s="30"/>
      <c r="G248" s="27"/>
      <c r="H248" s="27">
        <f t="shared" si="3"/>
        <v>0</v>
      </c>
    </row>
    <row r="249" spans="1:8">
      <c r="A249" s="30"/>
      <c r="G249" s="27"/>
      <c r="H249" s="27">
        <f t="shared" si="3"/>
        <v>0</v>
      </c>
    </row>
    <row r="250" spans="1:8">
      <c r="A250" s="30"/>
      <c r="G250" s="27"/>
      <c r="H250" s="27">
        <f t="shared" si="3"/>
        <v>0</v>
      </c>
    </row>
    <row r="251" spans="1:8">
      <c r="A251" s="30"/>
      <c r="G251" s="27"/>
      <c r="H251" s="27">
        <f t="shared" si="3"/>
        <v>0</v>
      </c>
    </row>
    <row r="252" spans="1:8">
      <c r="A252" s="30"/>
      <c r="G252" s="27"/>
      <c r="H252" s="27">
        <f t="shared" si="3"/>
        <v>0</v>
      </c>
    </row>
    <row r="253" spans="1:8">
      <c r="A253" s="30"/>
      <c r="G253" s="27"/>
      <c r="H253" s="27">
        <f t="shared" si="3"/>
        <v>0</v>
      </c>
    </row>
    <row r="254" spans="1:8">
      <c r="A254" s="30"/>
      <c r="G254" s="27"/>
      <c r="H254" s="27">
        <f t="shared" si="3"/>
        <v>0</v>
      </c>
    </row>
    <row r="255" spans="1:8">
      <c r="A255" s="30"/>
      <c r="G255" s="27"/>
      <c r="H255" s="27">
        <f t="shared" si="3"/>
        <v>0</v>
      </c>
    </row>
    <row r="256" spans="1:8">
      <c r="A256" s="30"/>
      <c r="G256" s="27"/>
      <c r="H256" s="27">
        <f t="shared" si="3"/>
        <v>0</v>
      </c>
    </row>
    <row r="257" spans="1:8">
      <c r="A257" s="30"/>
      <c r="G257" s="27"/>
      <c r="H257" s="27">
        <f t="shared" si="3"/>
        <v>0</v>
      </c>
    </row>
    <row r="258" spans="1:8">
      <c r="A258" s="30"/>
      <c r="G258" s="27"/>
      <c r="H258" s="27">
        <f t="shared" ref="H258:H321" si="4">IF(OR(B258="Opening Float",B258="Cash Top-up",B258="Adjustment In"),G258,IF(OR(B258="Expense Paid",B258="Cash Returned",B258="Adjustment Out"),-G258,0))</f>
        <v>0</v>
      </c>
    </row>
    <row r="259" spans="1:8">
      <c r="A259" s="30"/>
      <c r="G259" s="27"/>
      <c r="H259" s="27">
        <f t="shared" si="4"/>
        <v>0</v>
      </c>
    </row>
    <row r="260" spans="1:8">
      <c r="A260" s="30"/>
      <c r="G260" s="27"/>
      <c r="H260" s="27">
        <f t="shared" si="4"/>
        <v>0</v>
      </c>
    </row>
    <row r="261" spans="1:8">
      <c r="A261" s="30"/>
      <c r="G261" s="27"/>
      <c r="H261" s="27">
        <f t="shared" si="4"/>
        <v>0</v>
      </c>
    </row>
    <row r="262" spans="1:8">
      <c r="A262" s="30"/>
      <c r="G262" s="27"/>
      <c r="H262" s="27">
        <f t="shared" si="4"/>
        <v>0</v>
      </c>
    </row>
    <row r="263" spans="1:8">
      <c r="A263" s="30"/>
      <c r="G263" s="27"/>
      <c r="H263" s="27">
        <f t="shared" si="4"/>
        <v>0</v>
      </c>
    </row>
    <row r="264" spans="1:8">
      <c r="A264" s="30"/>
      <c r="G264" s="27"/>
      <c r="H264" s="27">
        <f t="shared" si="4"/>
        <v>0</v>
      </c>
    </row>
    <row r="265" spans="1:8">
      <c r="A265" s="30"/>
      <c r="G265" s="27"/>
      <c r="H265" s="27">
        <f t="shared" si="4"/>
        <v>0</v>
      </c>
    </row>
    <row r="266" spans="1:8">
      <c r="A266" s="30"/>
      <c r="G266" s="27"/>
      <c r="H266" s="27">
        <f t="shared" si="4"/>
        <v>0</v>
      </c>
    </row>
    <row r="267" spans="1:8">
      <c r="A267" s="30"/>
      <c r="G267" s="27"/>
      <c r="H267" s="27">
        <f t="shared" si="4"/>
        <v>0</v>
      </c>
    </row>
    <row r="268" spans="1:8">
      <c r="A268" s="30"/>
      <c r="G268" s="27"/>
      <c r="H268" s="27">
        <f t="shared" si="4"/>
        <v>0</v>
      </c>
    </row>
    <row r="269" spans="1:8">
      <c r="A269" s="30"/>
      <c r="G269" s="27"/>
      <c r="H269" s="27">
        <f t="shared" si="4"/>
        <v>0</v>
      </c>
    </row>
    <row r="270" spans="1:8">
      <c r="A270" s="30"/>
      <c r="G270" s="27"/>
      <c r="H270" s="27">
        <f t="shared" si="4"/>
        <v>0</v>
      </c>
    </row>
    <row r="271" spans="1:8">
      <c r="A271" s="30"/>
      <c r="G271" s="27"/>
      <c r="H271" s="27">
        <f t="shared" si="4"/>
        <v>0</v>
      </c>
    </row>
    <row r="272" spans="1:8">
      <c r="A272" s="30"/>
      <c r="G272" s="27"/>
      <c r="H272" s="27">
        <f t="shared" si="4"/>
        <v>0</v>
      </c>
    </row>
    <row r="273" spans="1:8">
      <c r="A273" s="30"/>
      <c r="G273" s="27"/>
      <c r="H273" s="27">
        <f t="shared" si="4"/>
        <v>0</v>
      </c>
    </row>
    <row r="274" spans="1:8">
      <c r="A274" s="30"/>
      <c r="G274" s="27"/>
      <c r="H274" s="27">
        <f t="shared" si="4"/>
        <v>0</v>
      </c>
    </row>
    <row r="275" spans="1:8">
      <c r="A275" s="30"/>
      <c r="G275" s="27"/>
      <c r="H275" s="27">
        <f t="shared" si="4"/>
        <v>0</v>
      </c>
    </row>
    <row r="276" spans="1:8">
      <c r="A276" s="30"/>
      <c r="G276" s="27"/>
      <c r="H276" s="27">
        <f t="shared" si="4"/>
        <v>0</v>
      </c>
    </row>
    <row r="277" spans="1:8">
      <c r="A277" s="30"/>
      <c r="G277" s="27"/>
      <c r="H277" s="27">
        <f t="shared" si="4"/>
        <v>0</v>
      </c>
    </row>
    <row r="278" spans="1:8">
      <c r="A278" s="30"/>
      <c r="G278" s="27"/>
      <c r="H278" s="27">
        <f t="shared" si="4"/>
        <v>0</v>
      </c>
    </row>
    <row r="279" spans="1:8">
      <c r="A279" s="30"/>
      <c r="G279" s="27"/>
      <c r="H279" s="27">
        <f t="shared" si="4"/>
        <v>0</v>
      </c>
    </row>
    <row r="280" spans="1:8">
      <c r="A280" s="30"/>
      <c r="G280" s="27"/>
      <c r="H280" s="27">
        <f t="shared" si="4"/>
        <v>0</v>
      </c>
    </row>
    <row r="281" spans="1:8">
      <c r="A281" s="30"/>
      <c r="G281" s="27"/>
      <c r="H281" s="27">
        <f t="shared" si="4"/>
        <v>0</v>
      </c>
    </row>
    <row r="282" spans="1:8">
      <c r="A282" s="30"/>
      <c r="G282" s="27"/>
      <c r="H282" s="27">
        <f t="shared" si="4"/>
        <v>0</v>
      </c>
    </row>
    <row r="283" spans="1:8">
      <c r="A283" s="30"/>
      <c r="G283" s="27"/>
      <c r="H283" s="27">
        <f t="shared" si="4"/>
        <v>0</v>
      </c>
    </row>
    <row r="284" spans="1:8">
      <c r="A284" s="30"/>
      <c r="G284" s="27"/>
      <c r="H284" s="27">
        <f t="shared" si="4"/>
        <v>0</v>
      </c>
    </row>
    <row r="285" spans="1:8">
      <c r="A285" s="30"/>
      <c r="G285" s="27"/>
      <c r="H285" s="27">
        <f t="shared" si="4"/>
        <v>0</v>
      </c>
    </row>
    <row r="286" spans="1:8">
      <c r="A286" s="30"/>
      <c r="G286" s="27"/>
      <c r="H286" s="27">
        <f t="shared" si="4"/>
        <v>0</v>
      </c>
    </row>
    <row r="287" spans="1:8">
      <c r="A287" s="30"/>
      <c r="G287" s="27"/>
      <c r="H287" s="27">
        <f t="shared" si="4"/>
        <v>0</v>
      </c>
    </row>
    <row r="288" spans="1:8">
      <c r="A288" s="30"/>
      <c r="G288" s="27"/>
      <c r="H288" s="27">
        <f t="shared" si="4"/>
        <v>0</v>
      </c>
    </row>
    <row r="289" spans="1:8">
      <c r="A289" s="30"/>
      <c r="G289" s="27"/>
      <c r="H289" s="27">
        <f t="shared" si="4"/>
        <v>0</v>
      </c>
    </row>
    <row r="290" spans="1:8">
      <c r="A290" s="30"/>
      <c r="G290" s="27"/>
      <c r="H290" s="27">
        <f t="shared" si="4"/>
        <v>0</v>
      </c>
    </row>
    <row r="291" spans="1:8">
      <c r="A291" s="30"/>
      <c r="G291" s="27"/>
      <c r="H291" s="27">
        <f t="shared" si="4"/>
        <v>0</v>
      </c>
    </row>
    <row r="292" spans="1:8">
      <c r="A292" s="30"/>
      <c r="G292" s="27"/>
      <c r="H292" s="27">
        <f t="shared" si="4"/>
        <v>0</v>
      </c>
    </row>
    <row r="293" spans="1:8">
      <c r="A293" s="30"/>
      <c r="G293" s="27"/>
      <c r="H293" s="27">
        <f t="shared" si="4"/>
        <v>0</v>
      </c>
    </row>
    <row r="294" spans="1:8">
      <c r="A294" s="30"/>
      <c r="G294" s="27"/>
      <c r="H294" s="27">
        <f t="shared" si="4"/>
        <v>0</v>
      </c>
    </row>
    <row r="295" spans="1:8">
      <c r="A295" s="30"/>
      <c r="G295" s="27"/>
      <c r="H295" s="27">
        <f t="shared" si="4"/>
        <v>0</v>
      </c>
    </row>
    <row r="296" spans="1:8">
      <c r="A296" s="30"/>
      <c r="G296" s="27"/>
      <c r="H296" s="27">
        <f t="shared" si="4"/>
        <v>0</v>
      </c>
    </row>
    <row r="297" spans="1:8">
      <c r="A297" s="30"/>
      <c r="G297" s="27"/>
      <c r="H297" s="27">
        <f t="shared" si="4"/>
        <v>0</v>
      </c>
    </row>
    <row r="298" spans="1:8">
      <c r="A298" s="30"/>
      <c r="G298" s="27"/>
      <c r="H298" s="27">
        <f t="shared" si="4"/>
        <v>0</v>
      </c>
    </row>
    <row r="299" spans="1:8">
      <c r="A299" s="30"/>
      <c r="G299" s="27"/>
      <c r="H299" s="27">
        <f t="shared" si="4"/>
        <v>0</v>
      </c>
    </row>
    <row r="300" spans="1:8">
      <c r="A300" s="30"/>
      <c r="G300" s="27"/>
      <c r="H300" s="27">
        <f t="shared" si="4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500-000000000000}">
          <x14:formula1>
            <xm:f>Lists!$F$2:$F$7</xm:f>
          </x14:formula1>
          <xm:sqref>B11:B300</xm:sqref>
        </x14:dataValidation>
        <x14:dataValidation type="list" xr:uid="{00000000-0002-0000-0500-000001000000}">
          <x14:formula1>
            <xm:f>Lists!$A$2:$A$9</xm:f>
          </x14:formula1>
          <xm:sqref>C11:C300</xm:sqref>
        </x14:dataValidation>
        <x14:dataValidation type="list" xr:uid="{00000000-0002-0000-0500-000002000000}">
          <x14:formula1>
            <xm:f>Lists!$B$2:$B$46</xm:f>
          </x14:formula1>
          <xm:sqref>D11:D300</xm:sqref>
        </x14:dataValidation>
        <x14:dataValidation type="list" xr:uid="{00000000-0002-0000-0500-000003000000}">
          <x14:formula1>
            <xm:f>Lists!$D$2:$D$4</xm:f>
          </x14:formula1>
          <xm:sqref>F11:F300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0"/>
  <sheetViews>
    <sheetView workbookViewId="0"/>
  </sheetViews>
  <sheetFormatPr baseColWidth="10" defaultColWidth="8.83203125" defaultRowHeight="14"/>
  <cols>
    <col min="1" max="1" width="11" customWidth="1"/>
    <col min="2" max="2" width="10.83203125" customWidth="1"/>
    <col min="3" max="3" width="16.83203125" customWidth="1"/>
    <col min="4" max="4" width="4.83203125" customWidth="1"/>
  </cols>
  <sheetData>
    <row r="1" spans="1:4" ht="15">
      <c r="A1" s="1" t="s">
        <v>36</v>
      </c>
      <c r="B1" s="1" t="s">
        <v>28</v>
      </c>
      <c r="C1" s="1" t="s">
        <v>37</v>
      </c>
      <c r="D1" s="1" t="s">
        <v>35</v>
      </c>
    </row>
    <row r="2" spans="1:4">
      <c r="A2" s="29"/>
      <c r="C2" s="27"/>
    </row>
    <row r="3" spans="1:4">
      <c r="A3" s="29"/>
      <c r="C3" s="27"/>
    </row>
    <row r="4" spans="1:4">
      <c r="A4" s="29"/>
      <c r="C4" s="27"/>
    </row>
    <row r="5" spans="1:4">
      <c r="A5" s="29"/>
      <c r="C5" s="27"/>
    </row>
    <row r="6" spans="1:4">
      <c r="A6" s="29"/>
      <c r="C6" s="27"/>
    </row>
    <row r="7" spans="1:4">
      <c r="A7" s="29"/>
      <c r="C7" s="27"/>
    </row>
    <row r="8" spans="1:4">
      <c r="A8" s="29"/>
      <c r="C8" s="27"/>
    </row>
    <row r="9" spans="1:4">
      <c r="A9" s="29"/>
      <c r="C9" s="27"/>
    </row>
    <row r="10" spans="1:4">
      <c r="A10" s="29"/>
      <c r="C10" s="27"/>
    </row>
    <row r="11" spans="1:4">
      <c r="A11" s="29"/>
      <c r="C11" s="27"/>
    </row>
    <row r="12" spans="1:4">
      <c r="A12" s="29"/>
      <c r="C12" s="27"/>
    </row>
    <row r="13" spans="1:4">
      <c r="A13" s="29"/>
      <c r="C13" s="27"/>
    </row>
    <row r="14" spans="1:4">
      <c r="A14" s="29"/>
      <c r="C14" s="27"/>
    </row>
    <row r="15" spans="1:4">
      <c r="A15" s="29"/>
      <c r="C15" s="27"/>
    </row>
    <row r="16" spans="1:4">
      <c r="A16" s="29"/>
      <c r="C16" s="27"/>
    </row>
    <row r="17" spans="1:3">
      <c r="A17" s="29"/>
      <c r="C17" s="27"/>
    </row>
    <row r="18" spans="1:3">
      <c r="A18" s="29"/>
      <c r="C18" s="27"/>
    </row>
    <row r="19" spans="1:3">
      <c r="A19" s="29"/>
      <c r="C19" s="27"/>
    </row>
    <row r="20" spans="1:3">
      <c r="A20" s="29"/>
      <c r="C20" s="27"/>
    </row>
    <row r="21" spans="1:3">
      <c r="A21" s="29"/>
      <c r="C21" s="27"/>
    </row>
    <row r="22" spans="1:3">
      <c r="A22" s="29"/>
      <c r="C22" s="27"/>
    </row>
    <row r="23" spans="1:3">
      <c r="A23" s="29"/>
      <c r="C23" s="27"/>
    </row>
    <row r="24" spans="1:3">
      <c r="A24" s="29"/>
      <c r="C24" s="27"/>
    </row>
    <row r="25" spans="1:3">
      <c r="A25" s="29"/>
      <c r="C25" s="27"/>
    </row>
    <row r="26" spans="1:3">
      <c r="A26" s="29"/>
      <c r="C26" s="27"/>
    </row>
    <row r="27" spans="1:3">
      <c r="A27" s="29"/>
      <c r="C27" s="27"/>
    </row>
    <row r="28" spans="1:3">
      <c r="A28" s="29"/>
      <c r="C28" s="27"/>
    </row>
    <row r="29" spans="1:3">
      <c r="A29" s="29"/>
      <c r="C29" s="27"/>
    </row>
    <row r="30" spans="1:3">
      <c r="A30" s="29"/>
      <c r="C30" s="27"/>
    </row>
    <row r="31" spans="1:3">
      <c r="A31" s="29"/>
      <c r="C31" s="27"/>
    </row>
    <row r="32" spans="1:3">
      <c r="A32" s="29"/>
      <c r="C32" s="27"/>
    </row>
    <row r="33" spans="1:3">
      <c r="A33" s="29"/>
      <c r="C33" s="27"/>
    </row>
    <row r="34" spans="1:3">
      <c r="A34" s="29"/>
      <c r="C34" s="27"/>
    </row>
    <row r="35" spans="1:3">
      <c r="A35" s="29"/>
      <c r="C35" s="27"/>
    </row>
    <row r="36" spans="1:3">
      <c r="A36" s="29"/>
      <c r="C36" s="27"/>
    </row>
    <row r="37" spans="1:3">
      <c r="A37" s="29"/>
      <c r="C37" s="27"/>
    </row>
    <row r="38" spans="1:3">
      <c r="A38" s="29"/>
      <c r="C38" s="27"/>
    </row>
    <row r="39" spans="1:3">
      <c r="A39" s="29"/>
      <c r="C39" s="27"/>
    </row>
    <row r="40" spans="1:3">
      <c r="A40" s="29"/>
      <c r="C40" s="27"/>
    </row>
    <row r="41" spans="1:3">
      <c r="A41" s="29"/>
      <c r="C41" s="27"/>
    </row>
    <row r="42" spans="1:3">
      <c r="A42" s="29"/>
      <c r="C42" s="27"/>
    </row>
    <row r="43" spans="1:3">
      <c r="A43" s="29"/>
      <c r="C43" s="27"/>
    </row>
    <row r="44" spans="1:3">
      <c r="A44" s="29"/>
      <c r="C44" s="27"/>
    </row>
    <row r="45" spans="1:3">
      <c r="A45" s="29"/>
      <c r="C45" s="27"/>
    </row>
    <row r="46" spans="1:3">
      <c r="A46" s="29"/>
      <c r="C46" s="27"/>
    </row>
    <row r="47" spans="1:3">
      <c r="A47" s="29"/>
      <c r="C47" s="27"/>
    </row>
    <row r="48" spans="1:3">
      <c r="A48" s="29"/>
      <c r="C48" s="27"/>
    </row>
    <row r="49" spans="1:3">
      <c r="A49" s="29"/>
      <c r="C49" s="27"/>
    </row>
    <row r="50" spans="1:3">
      <c r="A50" s="29"/>
      <c r="C50" s="27"/>
    </row>
    <row r="51" spans="1:3">
      <c r="A51" s="29"/>
      <c r="C51" s="27"/>
    </row>
    <row r="52" spans="1:3">
      <c r="A52" s="29"/>
      <c r="C52" s="27"/>
    </row>
    <row r="53" spans="1:3">
      <c r="A53" s="29"/>
      <c r="C53" s="27"/>
    </row>
    <row r="54" spans="1:3">
      <c r="A54" s="29"/>
      <c r="C54" s="27"/>
    </row>
    <row r="55" spans="1:3">
      <c r="A55" s="29"/>
      <c r="C55" s="27"/>
    </row>
    <row r="56" spans="1:3">
      <c r="A56" s="29"/>
      <c r="C56" s="27"/>
    </row>
    <row r="57" spans="1:3">
      <c r="A57" s="29"/>
      <c r="C57" s="27"/>
    </row>
    <row r="58" spans="1:3">
      <c r="A58" s="29"/>
      <c r="C58" s="27"/>
    </row>
    <row r="59" spans="1:3">
      <c r="A59" s="29"/>
      <c r="C59" s="27"/>
    </row>
    <row r="60" spans="1:3">
      <c r="A60" s="29"/>
      <c r="C60" s="27"/>
    </row>
    <row r="61" spans="1:3">
      <c r="A61" s="29"/>
      <c r="C61" s="27"/>
    </row>
    <row r="62" spans="1:3">
      <c r="A62" s="29"/>
      <c r="C62" s="27"/>
    </row>
    <row r="63" spans="1:3">
      <c r="A63" s="29"/>
      <c r="C63" s="27"/>
    </row>
    <row r="64" spans="1:3">
      <c r="A64" s="29"/>
      <c r="C64" s="27"/>
    </row>
    <row r="65" spans="1:3">
      <c r="A65" s="29"/>
      <c r="C65" s="27"/>
    </row>
    <row r="66" spans="1:3">
      <c r="A66" s="29"/>
      <c r="C66" s="27"/>
    </row>
    <row r="67" spans="1:3">
      <c r="A67" s="29"/>
      <c r="C67" s="27"/>
    </row>
    <row r="68" spans="1:3">
      <c r="A68" s="29"/>
      <c r="C68" s="27"/>
    </row>
    <row r="69" spans="1:3">
      <c r="A69" s="29"/>
      <c r="C69" s="27"/>
    </row>
    <row r="70" spans="1:3">
      <c r="A70" s="29"/>
      <c r="C70" s="27"/>
    </row>
    <row r="71" spans="1:3">
      <c r="A71" s="29"/>
      <c r="C71" s="27"/>
    </row>
    <row r="72" spans="1:3">
      <c r="A72" s="29"/>
      <c r="C72" s="27"/>
    </row>
    <row r="73" spans="1:3">
      <c r="A73" s="29"/>
      <c r="C73" s="27"/>
    </row>
    <row r="74" spans="1:3">
      <c r="A74" s="29"/>
      <c r="C74" s="27"/>
    </row>
    <row r="75" spans="1:3">
      <c r="A75" s="29"/>
      <c r="C75" s="27"/>
    </row>
    <row r="76" spans="1:3">
      <c r="A76" s="29"/>
      <c r="C76" s="27"/>
    </row>
    <row r="77" spans="1:3">
      <c r="A77" s="29"/>
      <c r="C77" s="27"/>
    </row>
    <row r="78" spans="1:3">
      <c r="A78" s="29"/>
      <c r="C78" s="27"/>
    </row>
    <row r="79" spans="1:3">
      <c r="A79" s="29"/>
      <c r="C79" s="27"/>
    </row>
    <row r="80" spans="1:3">
      <c r="A80" s="29"/>
      <c r="C80" s="27"/>
    </row>
    <row r="81" spans="1:3">
      <c r="A81" s="29"/>
      <c r="C81" s="27"/>
    </row>
    <row r="82" spans="1:3">
      <c r="A82" s="29"/>
      <c r="C82" s="27"/>
    </row>
    <row r="83" spans="1:3">
      <c r="A83" s="29"/>
      <c r="C83" s="27"/>
    </row>
    <row r="84" spans="1:3">
      <c r="A84" s="29"/>
      <c r="C84" s="27"/>
    </row>
    <row r="85" spans="1:3">
      <c r="A85" s="29"/>
      <c r="C85" s="27"/>
    </row>
    <row r="86" spans="1:3">
      <c r="A86" s="29"/>
      <c r="C86" s="27"/>
    </row>
    <row r="87" spans="1:3">
      <c r="A87" s="29"/>
      <c r="C87" s="27"/>
    </row>
    <row r="88" spans="1:3">
      <c r="A88" s="29"/>
      <c r="C88" s="27"/>
    </row>
    <row r="89" spans="1:3">
      <c r="A89" s="29"/>
      <c r="C89" s="27"/>
    </row>
    <row r="90" spans="1:3">
      <c r="A90" s="29"/>
      <c r="C90" s="27"/>
    </row>
    <row r="91" spans="1:3">
      <c r="A91" s="29"/>
      <c r="C91" s="27"/>
    </row>
    <row r="92" spans="1:3">
      <c r="A92" s="29"/>
      <c r="C92" s="27"/>
    </row>
    <row r="93" spans="1:3">
      <c r="A93" s="29"/>
      <c r="C93" s="27"/>
    </row>
    <row r="94" spans="1:3">
      <c r="A94" s="29"/>
      <c r="C94" s="27"/>
    </row>
    <row r="95" spans="1:3">
      <c r="A95" s="29"/>
      <c r="C95" s="27"/>
    </row>
    <row r="96" spans="1:3">
      <c r="A96" s="29"/>
      <c r="C96" s="27"/>
    </row>
    <row r="97" spans="1:3">
      <c r="A97" s="29"/>
      <c r="C97" s="27"/>
    </row>
    <row r="98" spans="1:3">
      <c r="A98" s="29"/>
      <c r="C98" s="27"/>
    </row>
    <row r="99" spans="1:3">
      <c r="A99" s="29"/>
      <c r="C99" s="27"/>
    </row>
    <row r="100" spans="1:3">
      <c r="A100" s="29"/>
      <c r="C100" s="27"/>
    </row>
    <row r="101" spans="1:3">
      <c r="A101" s="29"/>
      <c r="C101" s="27"/>
    </row>
    <row r="102" spans="1:3">
      <c r="A102" s="29"/>
      <c r="C102" s="27"/>
    </row>
    <row r="103" spans="1:3">
      <c r="A103" s="29"/>
      <c r="C103" s="27"/>
    </row>
    <row r="104" spans="1:3">
      <c r="A104" s="29"/>
      <c r="C104" s="27"/>
    </row>
    <row r="105" spans="1:3">
      <c r="A105" s="29"/>
      <c r="C105" s="27"/>
    </row>
    <row r="106" spans="1:3">
      <c r="A106" s="29"/>
      <c r="C106" s="27"/>
    </row>
    <row r="107" spans="1:3">
      <c r="A107" s="29"/>
      <c r="C107" s="27"/>
    </row>
    <row r="108" spans="1:3">
      <c r="A108" s="29"/>
      <c r="C108" s="27"/>
    </row>
    <row r="109" spans="1:3">
      <c r="A109" s="29"/>
      <c r="C109" s="27"/>
    </row>
    <row r="110" spans="1:3">
      <c r="A110" s="29"/>
      <c r="C110" s="27"/>
    </row>
    <row r="111" spans="1:3">
      <c r="A111" s="29"/>
      <c r="C111" s="27"/>
    </row>
    <row r="112" spans="1:3">
      <c r="A112" s="29"/>
      <c r="C112" s="27"/>
    </row>
    <row r="113" spans="1:3">
      <c r="A113" s="29"/>
      <c r="C113" s="27"/>
    </row>
    <row r="114" spans="1:3">
      <c r="A114" s="29"/>
      <c r="C114" s="27"/>
    </row>
    <row r="115" spans="1:3">
      <c r="A115" s="29"/>
      <c r="C115" s="27"/>
    </row>
    <row r="116" spans="1:3">
      <c r="A116" s="29"/>
      <c r="C116" s="27"/>
    </row>
    <row r="117" spans="1:3">
      <c r="A117" s="29"/>
      <c r="C117" s="27"/>
    </row>
    <row r="118" spans="1:3">
      <c r="A118" s="29"/>
      <c r="C118" s="27"/>
    </row>
    <row r="119" spans="1:3">
      <c r="A119" s="29"/>
      <c r="C119" s="27"/>
    </row>
    <row r="120" spans="1:3">
      <c r="A120" s="29"/>
      <c r="C120" s="27"/>
    </row>
    <row r="121" spans="1:3">
      <c r="A121" s="29"/>
      <c r="C121" s="27"/>
    </row>
    <row r="122" spans="1:3">
      <c r="A122" s="29"/>
      <c r="C122" s="27"/>
    </row>
    <row r="123" spans="1:3">
      <c r="A123" s="29"/>
      <c r="C123" s="27"/>
    </row>
    <row r="124" spans="1:3">
      <c r="A124" s="29"/>
      <c r="C124" s="27"/>
    </row>
    <row r="125" spans="1:3">
      <c r="A125" s="29"/>
      <c r="C125" s="27"/>
    </row>
    <row r="126" spans="1:3">
      <c r="A126" s="29"/>
      <c r="C126" s="27"/>
    </row>
    <row r="127" spans="1:3">
      <c r="A127" s="29"/>
      <c r="C127" s="27"/>
    </row>
    <row r="128" spans="1:3">
      <c r="A128" s="29"/>
      <c r="C128" s="27"/>
    </row>
    <row r="129" spans="1:3">
      <c r="A129" s="29"/>
      <c r="C129" s="27"/>
    </row>
    <row r="130" spans="1:3">
      <c r="A130" s="29"/>
      <c r="C130" s="27"/>
    </row>
    <row r="131" spans="1:3">
      <c r="A131" s="29"/>
      <c r="C131" s="27"/>
    </row>
    <row r="132" spans="1:3">
      <c r="A132" s="29"/>
      <c r="C132" s="27"/>
    </row>
    <row r="133" spans="1:3">
      <c r="A133" s="29"/>
      <c r="C133" s="27"/>
    </row>
    <row r="134" spans="1:3">
      <c r="A134" s="29"/>
      <c r="C134" s="27"/>
    </row>
    <row r="135" spans="1:3">
      <c r="A135" s="29"/>
      <c r="C135" s="27"/>
    </row>
    <row r="136" spans="1:3">
      <c r="A136" s="29"/>
      <c r="C136" s="27"/>
    </row>
    <row r="137" spans="1:3">
      <c r="A137" s="29"/>
      <c r="C137" s="27"/>
    </row>
    <row r="138" spans="1:3">
      <c r="A138" s="29"/>
      <c r="C138" s="27"/>
    </row>
    <row r="139" spans="1:3">
      <c r="A139" s="29"/>
      <c r="C139" s="27"/>
    </row>
    <row r="140" spans="1:3">
      <c r="A140" s="29"/>
      <c r="C140" s="27"/>
    </row>
    <row r="141" spans="1:3">
      <c r="A141" s="29"/>
      <c r="C141" s="27"/>
    </row>
    <row r="142" spans="1:3">
      <c r="A142" s="29"/>
      <c r="C142" s="27"/>
    </row>
    <row r="143" spans="1:3">
      <c r="A143" s="29"/>
      <c r="C143" s="27"/>
    </row>
    <row r="144" spans="1:3">
      <c r="A144" s="29"/>
      <c r="C144" s="27"/>
    </row>
    <row r="145" spans="1:3">
      <c r="A145" s="29"/>
      <c r="C145" s="27"/>
    </row>
    <row r="146" spans="1:3">
      <c r="A146" s="29"/>
      <c r="C146" s="27"/>
    </row>
    <row r="147" spans="1:3">
      <c r="A147" s="29"/>
      <c r="C147" s="27"/>
    </row>
    <row r="148" spans="1:3">
      <c r="A148" s="29"/>
      <c r="C148" s="27"/>
    </row>
    <row r="149" spans="1:3">
      <c r="A149" s="29"/>
      <c r="C149" s="27"/>
    </row>
    <row r="150" spans="1:3">
      <c r="A150" s="29"/>
      <c r="C150" s="27"/>
    </row>
    <row r="151" spans="1:3">
      <c r="A151" s="29"/>
      <c r="C151" s="27"/>
    </row>
    <row r="152" spans="1:3">
      <c r="A152" s="29"/>
      <c r="C152" s="27"/>
    </row>
    <row r="153" spans="1:3">
      <c r="A153" s="29"/>
      <c r="C153" s="27"/>
    </row>
    <row r="154" spans="1:3">
      <c r="A154" s="29"/>
      <c r="C154" s="27"/>
    </row>
    <row r="155" spans="1:3">
      <c r="A155" s="29"/>
      <c r="C155" s="27"/>
    </row>
    <row r="156" spans="1:3">
      <c r="A156" s="29"/>
      <c r="C156" s="27"/>
    </row>
    <row r="157" spans="1:3">
      <c r="A157" s="29"/>
      <c r="C157" s="27"/>
    </row>
    <row r="158" spans="1:3">
      <c r="A158" s="29"/>
      <c r="C158" s="27"/>
    </row>
    <row r="159" spans="1:3">
      <c r="A159" s="29"/>
      <c r="C159" s="27"/>
    </row>
    <row r="160" spans="1:3">
      <c r="A160" s="29"/>
      <c r="C160" s="27"/>
    </row>
    <row r="161" spans="1:3">
      <c r="A161" s="29"/>
      <c r="C161" s="27"/>
    </row>
    <row r="162" spans="1:3">
      <c r="A162" s="29"/>
      <c r="C162" s="27"/>
    </row>
    <row r="163" spans="1:3">
      <c r="A163" s="29"/>
      <c r="C163" s="27"/>
    </row>
    <row r="164" spans="1:3">
      <c r="A164" s="29"/>
      <c r="C164" s="27"/>
    </row>
    <row r="165" spans="1:3">
      <c r="A165" s="29"/>
      <c r="C165" s="27"/>
    </row>
    <row r="166" spans="1:3">
      <c r="A166" s="29"/>
      <c r="C166" s="27"/>
    </row>
    <row r="167" spans="1:3">
      <c r="A167" s="29"/>
      <c r="C167" s="27"/>
    </row>
    <row r="168" spans="1:3">
      <c r="A168" s="29"/>
      <c r="C168" s="27"/>
    </row>
    <row r="169" spans="1:3">
      <c r="A169" s="29"/>
      <c r="C169" s="27"/>
    </row>
    <row r="170" spans="1:3">
      <c r="A170" s="29"/>
      <c r="C170" s="27"/>
    </row>
    <row r="171" spans="1:3">
      <c r="A171" s="29"/>
      <c r="C171" s="27"/>
    </row>
    <row r="172" spans="1:3">
      <c r="A172" s="29"/>
      <c r="C172" s="27"/>
    </row>
    <row r="173" spans="1:3">
      <c r="A173" s="29"/>
      <c r="C173" s="27"/>
    </row>
    <row r="174" spans="1:3">
      <c r="A174" s="29"/>
      <c r="C174" s="27"/>
    </row>
    <row r="175" spans="1:3">
      <c r="A175" s="29"/>
      <c r="C175" s="27"/>
    </row>
    <row r="176" spans="1:3">
      <c r="A176" s="29"/>
      <c r="C176" s="27"/>
    </row>
    <row r="177" spans="1:3">
      <c r="A177" s="29"/>
      <c r="C177" s="27"/>
    </row>
    <row r="178" spans="1:3">
      <c r="A178" s="29"/>
      <c r="C178" s="27"/>
    </row>
    <row r="179" spans="1:3">
      <c r="A179" s="29"/>
      <c r="C179" s="27"/>
    </row>
    <row r="180" spans="1:3">
      <c r="A180" s="29"/>
      <c r="C180" s="27"/>
    </row>
    <row r="181" spans="1:3">
      <c r="A181" s="29"/>
      <c r="C181" s="27"/>
    </row>
    <row r="182" spans="1:3">
      <c r="A182" s="29"/>
      <c r="C182" s="27"/>
    </row>
    <row r="183" spans="1:3">
      <c r="A183" s="29"/>
      <c r="C183" s="27"/>
    </row>
    <row r="184" spans="1:3">
      <c r="A184" s="29"/>
      <c r="C184" s="27"/>
    </row>
    <row r="185" spans="1:3">
      <c r="A185" s="29"/>
      <c r="C185" s="27"/>
    </row>
    <row r="186" spans="1:3">
      <c r="A186" s="29"/>
      <c r="C186" s="27"/>
    </row>
    <row r="187" spans="1:3">
      <c r="A187" s="29"/>
      <c r="C187" s="27"/>
    </row>
    <row r="188" spans="1:3">
      <c r="A188" s="29"/>
      <c r="C188" s="27"/>
    </row>
    <row r="189" spans="1:3">
      <c r="A189" s="29"/>
      <c r="C189" s="27"/>
    </row>
    <row r="190" spans="1:3">
      <c r="A190" s="29"/>
      <c r="C190" s="27"/>
    </row>
    <row r="191" spans="1:3">
      <c r="A191" s="29"/>
      <c r="C191" s="27"/>
    </row>
    <row r="192" spans="1:3">
      <c r="A192" s="29"/>
      <c r="C192" s="27"/>
    </row>
    <row r="193" spans="1:3">
      <c r="A193" s="29"/>
      <c r="C193" s="27"/>
    </row>
    <row r="194" spans="1:3">
      <c r="A194" s="29"/>
      <c r="C194" s="27"/>
    </row>
    <row r="195" spans="1:3">
      <c r="A195" s="29"/>
      <c r="C195" s="27"/>
    </row>
    <row r="196" spans="1:3">
      <c r="A196" s="29"/>
      <c r="C196" s="27"/>
    </row>
    <row r="197" spans="1:3">
      <c r="A197" s="29"/>
      <c r="C197" s="27"/>
    </row>
    <row r="198" spans="1:3">
      <c r="A198" s="29"/>
      <c r="C198" s="27"/>
    </row>
    <row r="199" spans="1:3">
      <c r="A199" s="29"/>
      <c r="C199" s="27"/>
    </row>
    <row r="200" spans="1:3">
      <c r="A200" s="29"/>
      <c r="C200" s="27"/>
    </row>
    <row r="201" spans="1:3">
      <c r="A201" s="29"/>
      <c r="C201" s="27"/>
    </row>
    <row r="202" spans="1:3">
      <c r="A202" s="29"/>
      <c r="C202" s="27"/>
    </row>
    <row r="203" spans="1:3">
      <c r="A203" s="29"/>
      <c r="C203" s="27"/>
    </row>
    <row r="204" spans="1:3">
      <c r="A204" s="29"/>
      <c r="C204" s="27"/>
    </row>
    <row r="205" spans="1:3">
      <c r="A205" s="29"/>
      <c r="C205" s="27"/>
    </row>
    <row r="206" spans="1:3">
      <c r="A206" s="29"/>
      <c r="C206" s="27"/>
    </row>
    <row r="207" spans="1:3">
      <c r="A207" s="29"/>
      <c r="C207" s="27"/>
    </row>
    <row r="208" spans="1:3">
      <c r="A208" s="29"/>
      <c r="C208" s="27"/>
    </row>
    <row r="209" spans="1:3">
      <c r="A209" s="29"/>
      <c r="C209" s="27"/>
    </row>
    <row r="210" spans="1:3">
      <c r="A210" s="29"/>
      <c r="C210" s="27"/>
    </row>
    <row r="211" spans="1:3">
      <c r="A211" s="29"/>
      <c r="C211" s="27"/>
    </row>
    <row r="212" spans="1:3">
      <c r="A212" s="29"/>
      <c r="C212" s="27"/>
    </row>
    <row r="213" spans="1:3">
      <c r="A213" s="29"/>
      <c r="C213" s="27"/>
    </row>
    <row r="214" spans="1:3">
      <c r="A214" s="29"/>
      <c r="C214" s="27"/>
    </row>
    <row r="215" spans="1:3">
      <c r="A215" s="29"/>
      <c r="C215" s="27"/>
    </row>
    <row r="216" spans="1:3">
      <c r="A216" s="29"/>
      <c r="C216" s="27"/>
    </row>
    <row r="217" spans="1:3">
      <c r="A217" s="29"/>
      <c r="C217" s="27"/>
    </row>
    <row r="218" spans="1:3">
      <c r="A218" s="29"/>
      <c r="C218" s="27"/>
    </row>
    <row r="219" spans="1:3">
      <c r="A219" s="29"/>
      <c r="C219" s="27"/>
    </row>
    <row r="220" spans="1:3">
      <c r="A220" s="29"/>
      <c r="C220" s="27"/>
    </row>
    <row r="221" spans="1:3">
      <c r="A221" s="29"/>
      <c r="C221" s="27"/>
    </row>
    <row r="222" spans="1:3">
      <c r="A222" s="29"/>
      <c r="C222" s="27"/>
    </row>
    <row r="223" spans="1:3">
      <c r="A223" s="29"/>
      <c r="C223" s="27"/>
    </row>
    <row r="224" spans="1:3">
      <c r="A224" s="29"/>
      <c r="C224" s="27"/>
    </row>
    <row r="225" spans="1:3">
      <c r="A225" s="29"/>
      <c r="C225" s="27"/>
    </row>
    <row r="226" spans="1:3">
      <c r="A226" s="29"/>
      <c r="C226" s="27"/>
    </row>
    <row r="227" spans="1:3">
      <c r="A227" s="29"/>
      <c r="C227" s="27"/>
    </row>
    <row r="228" spans="1:3">
      <c r="A228" s="29"/>
      <c r="C228" s="27"/>
    </row>
    <row r="229" spans="1:3">
      <c r="A229" s="29"/>
      <c r="C229" s="27"/>
    </row>
    <row r="230" spans="1:3">
      <c r="A230" s="29"/>
      <c r="C230" s="27"/>
    </row>
    <row r="231" spans="1:3">
      <c r="A231" s="29"/>
      <c r="C231" s="27"/>
    </row>
    <row r="232" spans="1:3">
      <c r="A232" s="29"/>
      <c r="C232" s="27"/>
    </row>
    <row r="233" spans="1:3">
      <c r="A233" s="29"/>
      <c r="C233" s="27"/>
    </row>
    <row r="234" spans="1:3">
      <c r="A234" s="29"/>
      <c r="C234" s="27"/>
    </row>
    <row r="235" spans="1:3">
      <c r="A235" s="29"/>
      <c r="C235" s="27"/>
    </row>
    <row r="236" spans="1:3">
      <c r="A236" s="29"/>
      <c r="C236" s="27"/>
    </row>
    <row r="237" spans="1:3">
      <c r="A237" s="29"/>
      <c r="C237" s="27"/>
    </row>
    <row r="238" spans="1:3">
      <c r="A238" s="29"/>
      <c r="C238" s="27"/>
    </row>
    <row r="239" spans="1:3">
      <c r="A239" s="29"/>
      <c r="C239" s="27"/>
    </row>
    <row r="240" spans="1:3">
      <c r="A240" s="29"/>
      <c r="C240" s="27"/>
    </row>
    <row r="241" spans="1:3">
      <c r="A241" s="29"/>
      <c r="C241" s="27"/>
    </row>
    <row r="242" spans="1:3">
      <c r="A242" s="29"/>
      <c r="C242" s="27"/>
    </row>
    <row r="243" spans="1:3">
      <c r="A243" s="29"/>
      <c r="C243" s="27"/>
    </row>
    <row r="244" spans="1:3">
      <c r="A244" s="29"/>
      <c r="C244" s="27"/>
    </row>
    <row r="245" spans="1:3">
      <c r="A245" s="29"/>
      <c r="C245" s="27"/>
    </row>
    <row r="246" spans="1:3">
      <c r="A246" s="29"/>
      <c r="C246" s="27"/>
    </row>
    <row r="247" spans="1:3">
      <c r="A247" s="29"/>
      <c r="C247" s="27"/>
    </row>
    <row r="248" spans="1:3">
      <c r="A248" s="29"/>
      <c r="C248" s="27"/>
    </row>
    <row r="249" spans="1:3">
      <c r="A249" s="29"/>
      <c r="C249" s="27"/>
    </row>
    <row r="250" spans="1:3">
      <c r="A250" s="29"/>
      <c r="C250" s="27"/>
    </row>
    <row r="251" spans="1:3">
      <c r="A251" s="29"/>
      <c r="C251" s="27"/>
    </row>
    <row r="252" spans="1:3">
      <c r="A252" s="29"/>
      <c r="C252" s="27"/>
    </row>
    <row r="253" spans="1:3">
      <c r="A253" s="29"/>
      <c r="C253" s="27"/>
    </row>
    <row r="254" spans="1:3">
      <c r="A254" s="29"/>
      <c r="C254" s="27"/>
    </row>
    <row r="255" spans="1:3">
      <c r="A255" s="29"/>
      <c r="C255" s="27"/>
    </row>
    <row r="256" spans="1:3">
      <c r="A256" s="29"/>
      <c r="C256" s="27"/>
    </row>
    <row r="257" spans="1:3">
      <c r="A257" s="29"/>
      <c r="C257" s="27"/>
    </row>
    <row r="258" spans="1:3">
      <c r="A258" s="29"/>
      <c r="C258" s="27"/>
    </row>
    <row r="259" spans="1:3">
      <c r="A259" s="29"/>
      <c r="C259" s="27"/>
    </row>
    <row r="260" spans="1:3">
      <c r="A260" s="29"/>
      <c r="C260" s="27"/>
    </row>
    <row r="261" spans="1:3">
      <c r="A261" s="29"/>
      <c r="C261" s="27"/>
    </row>
    <row r="262" spans="1:3">
      <c r="A262" s="29"/>
      <c r="C262" s="27"/>
    </row>
    <row r="263" spans="1:3">
      <c r="A263" s="29"/>
      <c r="C263" s="27"/>
    </row>
    <row r="264" spans="1:3">
      <c r="A264" s="29"/>
      <c r="C264" s="27"/>
    </row>
    <row r="265" spans="1:3">
      <c r="A265" s="29"/>
      <c r="C265" s="27"/>
    </row>
    <row r="266" spans="1:3">
      <c r="A266" s="29"/>
      <c r="C266" s="27"/>
    </row>
    <row r="267" spans="1:3">
      <c r="A267" s="29"/>
      <c r="C267" s="27"/>
    </row>
    <row r="268" spans="1:3">
      <c r="A268" s="29"/>
      <c r="C268" s="27"/>
    </row>
    <row r="269" spans="1:3">
      <c r="A269" s="29"/>
      <c r="C269" s="27"/>
    </row>
    <row r="270" spans="1:3">
      <c r="A270" s="29"/>
      <c r="C270" s="27"/>
    </row>
    <row r="271" spans="1:3">
      <c r="A271" s="29"/>
      <c r="C271" s="27"/>
    </row>
    <row r="272" spans="1:3">
      <c r="A272" s="29"/>
      <c r="C272" s="27"/>
    </row>
    <row r="273" spans="1:3">
      <c r="A273" s="29"/>
      <c r="C273" s="27"/>
    </row>
    <row r="274" spans="1:3">
      <c r="A274" s="29"/>
      <c r="C274" s="27"/>
    </row>
    <row r="275" spans="1:3">
      <c r="A275" s="29"/>
      <c r="C275" s="27"/>
    </row>
    <row r="276" spans="1:3">
      <c r="A276" s="29"/>
      <c r="C276" s="27"/>
    </row>
    <row r="277" spans="1:3">
      <c r="A277" s="29"/>
      <c r="C277" s="27"/>
    </row>
    <row r="278" spans="1:3">
      <c r="A278" s="29"/>
      <c r="C278" s="27"/>
    </row>
    <row r="279" spans="1:3">
      <c r="A279" s="29"/>
      <c r="C279" s="27"/>
    </row>
    <row r="280" spans="1:3">
      <c r="A280" s="29"/>
      <c r="C280" s="27"/>
    </row>
    <row r="281" spans="1:3">
      <c r="A281" s="29"/>
      <c r="C281" s="27"/>
    </row>
    <row r="282" spans="1:3">
      <c r="A282" s="29"/>
      <c r="C282" s="27"/>
    </row>
    <row r="283" spans="1:3">
      <c r="A283" s="29"/>
      <c r="C283" s="27"/>
    </row>
    <row r="284" spans="1:3">
      <c r="A284" s="29"/>
      <c r="C284" s="27"/>
    </row>
    <row r="285" spans="1:3">
      <c r="A285" s="29"/>
      <c r="C285" s="27"/>
    </row>
    <row r="286" spans="1:3">
      <c r="A286" s="29"/>
      <c r="C286" s="27"/>
    </row>
    <row r="287" spans="1:3">
      <c r="A287" s="29"/>
      <c r="C287" s="27"/>
    </row>
    <row r="288" spans="1:3">
      <c r="A288" s="29"/>
      <c r="C288" s="27"/>
    </row>
    <row r="289" spans="1:3">
      <c r="A289" s="29"/>
      <c r="C289" s="27"/>
    </row>
    <row r="290" spans="1:3">
      <c r="A290" s="29"/>
      <c r="C290" s="27"/>
    </row>
    <row r="291" spans="1:3">
      <c r="A291" s="29"/>
      <c r="C291" s="27"/>
    </row>
    <row r="292" spans="1:3">
      <c r="A292" s="29"/>
      <c r="C292" s="27"/>
    </row>
    <row r="293" spans="1:3">
      <c r="A293" s="29"/>
      <c r="C293" s="27"/>
    </row>
    <row r="294" spans="1:3">
      <c r="A294" s="29"/>
      <c r="C294" s="27"/>
    </row>
    <row r="295" spans="1:3">
      <c r="A295" s="29"/>
      <c r="C295" s="27"/>
    </row>
    <row r="296" spans="1:3">
      <c r="A296" s="29"/>
      <c r="C296" s="27"/>
    </row>
    <row r="297" spans="1:3">
      <c r="A297" s="29"/>
      <c r="C297" s="27"/>
    </row>
    <row r="298" spans="1:3">
      <c r="A298" s="29"/>
      <c r="C298" s="27"/>
    </row>
    <row r="299" spans="1:3">
      <c r="A299" s="29"/>
      <c r="C299" s="27"/>
    </row>
    <row r="300" spans="1:3">
      <c r="A300" s="29"/>
      <c r="C300" s="2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Lists!$A$2:$A$9</xm:f>
          </x14:formula1>
          <xm:sqref>B2:B300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6"/>
  <sheetViews>
    <sheetView workbookViewId="0"/>
  </sheetViews>
  <sheetFormatPr baseColWidth="10" defaultColWidth="8.83203125" defaultRowHeight="14"/>
  <cols>
    <col min="1" max="1" width="27.5" customWidth="1"/>
    <col min="2" max="2" width="23.1640625" customWidth="1"/>
    <col min="3" max="3" width="13.83203125" customWidth="1"/>
    <col min="4" max="4" width="12.83203125" customWidth="1"/>
    <col min="5" max="5" width="25.5" customWidth="1"/>
    <col min="6" max="6" width="13.1640625" customWidth="1"/>
    <col min="7" max="7" width="15.6640625" customWidth="1"/>
    <col min="8" max="8" width="9.33203125" customWidth="1"/>
  </cols>
  <sheetData>
    <row r="1" spans="1:8" ht="1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>
      <c r="A2" t="s">
        <v>6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</row>
    <row r="3" spans="1:8">
      <c r="A3" t="s">
        <v>8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</row>
    <row r="4" spans="1:8">
      <c r="A4" t="s">
        <v>10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</row>
    <row r="5" spans="1:8">
      <c r="A5" t="s">
        <v>12</v>
      </c>
      <c r="B5" t="s">
        <v>109</v>
      </c>
      <c r="C5" t="s">
        <v>110</v>
      </c>
      <c r="E5" t="s">
        <v>111</v>
      </c>
      <c r="F5" t="s">
        <v>112</v>
      </c>
      <c r="G5" t="s">
        <v>113</v>
      </c>
    </row>
    <row r="6" spans="1:8">
      <c r="A6" t="s">
        <v>14</v>
      </c>
      <c r="B6" t="s">
        <v>114</v>
      </c>
      <c r="C6" t="s">
        <v>115</v>
      </c>
      <c r="E6" t="s">
        <v>116</v>
      </c>
      <c r="F6" t="s">
        <v>117</v>
      </c>
    </row>
    <row r="7" spans="1:8">
      <c r="A7" t="s">
        <v>16</v>
      </c>
      <c r="B7" t="s">
        <v>118</v>
      </c>
      <c r="C7" t="s">
        <v>119</v>
      </c>
      <c r="E7" t="s">
        <v>120</v>
      </c>
      <c r="F7" t="s">
        <v>121</v>
      </c>
    </row>
    <row r="8" spans="1:8">
      <c r="A8" t="s">
        <v>18</v>
      </c>
      <c r="B8" t="s">
        <v>122</v>
      </c>
      <c r="E8" t="s">
        <v>123</v>
      </c>
    </row>
    <row r="9" spans="1:8">
      <c r="A9" t="s">
        <v>20</v>
      </c>
      <c r="B9" t="s">
        <v>124</v>
      </c>
      <c r="E9" t="s">
        <v>125</v>
      </c>
    </row>
    <row r="10" spans="1:8">
      <c r="B10" t="s">
        <v>126</v>
      </c>
      <c r="E10" t="s">
        <v>127</v>
      </c>
    </row>
    <row r="11" spans="1:8">
      <c r="B11" t="s">
        <v>128</v>
      </c>
      <c r="E11" t="s">
        <v>129</v>
      </c>
    </row>
    <row r="12" spans="1:8">
      <c r="B12" t="s">
        <v>130</v>
      </c>
      <c r="E12" t="s">
        <v>131</v>
      </c>
    </row>
    <row r="13" spans="1:8">
      <c r="B13" t="s">
        <v>132</v>
      </c>
    </row>
    <row r="14" spans="1:8">
      <c r="B14" t="s">
        <v>133</v>
      </c>
    </row>
    <row r="15" spans="1:8">
      <c r="B15" t="s">
        <v>134</v>
      </c>
    </row>
    <row r="16" spans="1:8">
      <c r="B16" t="s">
        <v>135</v>
      </c>
    </row>
    <row r="17" spans="2:2">
      <c r="B17" t="s">
        <v>136</v>
      </c>
    </row>
    <row r="18" spans="2:2">
      <c r="B18" t="s">
        <v>137</v>
      </c>
    </row>
    <row r="19" spans="2:2">
      <c r="B19" t="s">
        <v>138</v>
      </c>
    </row>
    <row r="20" spans="2:2">
      <c r="B20" t="s">
        <v>139</v>
      </c>
    </row>
    <row r="21" spans="2:2">
      <c r="B21" t="s">
        <v>140</v>
      </c>
    </row>
    <row r="22" spans="2:2">
      <c r="B22" t="s">
        <v>141</v>
      </c>
    </row>
    <row r="23" spans="2:2">
      <c r="B23" t="s">
        <v>142</v>
      </c>
    </row>
    <row r="24" spans="2:2">
      <c r="B24" t="s">
        <v>143</v>
      </c>
    </row>
    <row r="25" spans="2:2">
      <c r="B25" t="s">
        <v>144</v>
      </c>
    </row>
    <row r="26" spans="2:2">
      <c r="B26" t="s">
        <v>145</v>
      </c>
    </row>
    <row r="27" spans="2:2">
      <c r="B27" t="s">
        <v>146</v>
      </c>
    </row>
    <row r="28" spans="2:2">
      <c r="B28" t="s">
        <v>147</v>
      </c>
    </row>
    <row r="29" spans="2:2">
      <c r="B29" t="s">
        <v>148</v>
      </c>
    </row>
    <row r="30" spans="2:2">
      <c r="B30" t="s">
        <v>149</v>
      </c>
    </row>
    <row r="31" spans="2:2">
      <c r="B31" t="s">
        <v>150</v>
      </c>
    </row>
    <row r="32" spans="2:2">
      <c r="B32" t="s">
        <v>151</v>
      </c>
    </row>
    <row r="33" spans="2:2">
      <c r="B33" t="s">
        <v>152</v>
      </c>
    </row>
    <row r="34" spans="2:2">
      <c r="B34" t="s">
        <v>153</v>
      </c>
    </row>
    <row r="35" spans="2:2">
      <c r="B35" t="s">
        <v>154</v>
      </c>
    </row>
    <row r="36" spans="2:2">
      <c r="B36" t="s">
        <v>155</v>
      </c>
    </row>
    <row r="37" spans="2:2">
      <c r="B37" t="s">
        <v>156</v>
      </c>
    </row>
    <row r="38" spans="2:2">
      <c r="B38" t="s">
        <v>157</v>
      </c>
    </row>
    <row r="39" spans="2:2">
      <c r="B39" t="s">
        <v>158</v>
      </c>
    </row>
    <row r="40" spans="2:2">
      <c r="B40" t="s">
        <v>159</v>
      </c>
    </row>
    <row r="41" spans="2:2">
      <c r="B41" t="s">
        <v>160</v>
      </c>
    </row>
    <row r="42" spans="2:2">
      <c r="B42" t="s">
        <v>161</v>
      </c>
    </row>
    <row r="43" spans="2:2">
      <c r="B43" t="s">
        <v>162</v>
      </c>
    </row>
    <row r="44" spans="2:2">
      <c r="B44" t="s">
        <v>163</v>
      </c>
    </row>
    <row r="45" spans="2:2">
      <c r="B45" t="s">
        <v>164</v>
      </c>
    </row>
    <row r="46" spans="2:2">
      <c r="B46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Expenses</vt:lpstr>
      <vt:lpstr>Budget_Planner</vt:lpstr>
      <vt:lpstr>Daily_Sales</vt:lpstr>
      <vt:lpstr>Apartments</vt:lpstr>
      <vt:lpstr>Petty_Cash</vt:lpstr>
      <vt:lpstr>Petty_Cash_Budget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Boakye</cp:lastModifiedBy>
  <dcterms:modified xsi:type="dcterms:W3CDTF">2026-06-28T22:04:45Z</dcterms:modified>
</cp:coreProperties>
</file>