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14b888c8a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2c09e11fb04345"/>
    <x:sheet xmlns:r="http://schemas.openxmlformats.org/officeDocument/2006/relationships" name="Expenses" sheetId="2" r:id="Rcb3550c1107c42ec"/>
    <x:sheet xmlns:r="http://schemas.openxmlformats.org/officeDocument/2006/relationships" name="Budget_Planner" sheetId="3" r:id="Re1efe6fbf93c4450"/>
    <x:sheet xmlns:r="http://schemas.openxmlformats.org/officeDocument/2006/relationships" name="Daily_Sales" sheetId="4" r:id="Rb0256c52e7bb4a26"/>
    <x:sheet xmlns:r="http://schemas.openxmlformats.org/officeDocument/2006/relationships" name="Apartments" sheetId="5" r:id="R2a7c95e3600d4d2e"/>
    <x:sheet xmlns:r="http://schemas.openxmlformats.org/officeDocument/2006/relationships" name="Petty_Cash" sheetId="6" r:id="R28a7e4652f7a4d64"/>
    <x:sheet xmlns:r="http://schemas.openxmlformats.org/officeDocument/2006/relationships" name="Petty_Cash_Budget" sheetId="7" r:id="R3b57f94664444aad"/>
    <x:sheet xmlns:r="http://schemas.openxmlformats.org/officeDocument/2006/relationships" name="Salary_Register" sheetId="8" r:id="R823e39f90a464618"/>
    <x:sheet xmlns:r="http://schemas.openxmlformats.org/officeDocument/2006/relationships" name="Supplier_Ledger" sheetId="9" r:id="R833927820b814e21"/>
    <x:sheet xmlns:r="http://schemas.openxmlformats.org/officeDocument/2006/relationships" name="Recurring_Controls" sheetId="10" r:id="R99733e54896b446e"/>
    <x:sheet xmlns:r="http://schemas.openxmlformats.org/officeDocument/2006/relationships" name="Maintenance_Log" sheetId="11" r:id="Rf87787594e584768"/>
    <x:sheet xmlns:r="http://schemas.openxmlformats.org/officeDocument/2006/relationships" name="Lists" sheetId="12" r:id="Rc6a9598bd192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GH₵&quot; #,##0.00"/>
    <x:numFmt numFmtId="201" formatCode="#,##0"/>
    <x:numFmt numFmtId="202" formatCode="yyyy-mm-dd"/>
    <x:numFmt numFmtId="203" formatCode="mmm yyyy"/>
    <x:numFmt numFmtId="204" formatCode="0.00"/>
    <x:numFmt numFmtId="205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228"/>
      <x:name val="Carlito"/>
    </x:font>
    <x:font>
      <x:b/>
      <x:sz val="11"/>
      <x:color rgb="FFFFFFFF"/>
      <x:name val="Carlito"/>
    </x:font>
    <x:font>
      <x:b/>
      <x:sz val="11"/>
      <x:color rgb="FF243228"/>
      <x:name val="Carlito"/>
    </x:font>
    <x:font>
      <x:sz val="11"/>
      <x:color rgb="FF24322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3553F"/>
      </x:patternFill>
    </x:fill>
    <x:fill>
      <x:patternFill patternType="solid">
        <x:fgColor rgb="FFEEF4EC"/>
      </x:patternFill>
    </x:fill>
    <x:fill>
      <x:patternFill patternType="solid">
        <x:fgColor rgb="FF54805C"/>
      </x:patternFill>
    </x:fill>
    <x:fill>
      <x:patternFill patternType="solid">
        <x:fgColor rgb="FFF7F2E8"/>
      </x:patternFill>
    </x:fill>
    <x:fill>
      <x:patternFill patternType="solid">
        <x:fgColor rgb="FFD9E6D7"/>
      </x:patternFill>
    </x:fill>
    <x:fill>
      <x:patternFill patternType="solid">
        <x:fgColor rgb="FFF0E7D7"/>
      </x:patternFill>
    </x:fill>
    <x:fill>
      <x:patternFill patternType="solid">
        <x:fgColor rgb="FFE9F0EA"/>
      </x:patternFill>
    </x:fill>
  </x:fills>
  <x:borders count="17">
    <x:border/>
    <x:border>
      <x:left style="thin">
        <x:color rgb="FFD9E3D8"/>
      </x:left>
      <x:top style="thin">
        <x:color rgb="FFD9E3D8"/>
      </x:top>
    </x:border>
    <x:border>
      <x:right style="thin">
        <x:color rgb="FFD9E3D8"/>
      </x:right>
      <x:top style="thin">
        <x:color rgb="FFD9E3D8"/>
      </x:top>
    </x:border>
    <x:border>
      <x:left style="thin">
        <x:color rgb="FFD9E3D8"/>
      </x:left>
    </x:border>
    <x:border>
      <x:right style="thin">
        <x:color rgb="FFD9E3D8"/>
      </x:right>
    </x:border>
    <x:border>
      <x:left style="thin">
        <x:color rgb="FFD9E3D8"/>
      </x:left>
      <x:bottom style="thin">
        <x:color rgb="FFD9E3D8"/>
      </x:bottom>
    </x:border>
    <x:border>
      <x:right style="thin">
        <x:color rgb="FFD9E3D8"/>
      </x:right>
      <x:bottom style="thin">
        <x:color rgb="FFD9E3D8"/>
      </x:bottom>
    </x:border>
    <x:border>
      <x:top style="thin">
        <x:color rgb="FFD9E3D8"/>
      </x:top>
    </x:border>
    <x:border>
      <x:bottom style="thin">
        <x:color rgb="FFD9E3D8"/>
      </x:bottom>
    </x:border>
    <x:border>
      <x:left style="thin">
        <x:color rgb="FFE3E6DE"/>
      </x:left>
      <x:top style="thin">
        <x:color rgb="FFE3E6DE"/>
      </x:top>
    </x:border>
    <x:border>
      <x:top style="thin">
        <x:color rgb="FFE3E6DE"/>
      </x:top>
    </x:border>
    <x:border>
      <x:right style="thin">
        <x:color rgb="FFE3E6DE"/>
      </x:right>
      <x:top style="thin">
        <x:color rgb="FFE3E6DE"/>
      </x:top>
    </x:border>
    <x:border>
      <x:left style="thin">
        <x:color rgb="FFE3E6DE"/>
      </x:left>
    </x:border>
    <x:border>
      <x:right style="thin">
        <x:color rgb="FFE3E6DE"/>
      </x:right>
    </x:border>
    <x:border>
      <x:left style="thin">
        <x:color rgb="FFE3E6DE"/>
      </x:left>
      <x:bottom style="thin">
        <x:color rgb="FFE3E6DE"/>
      </x:bottom>
    </x:border>
    <x:border>
      <x:bottom style="thin">
        <x:color rgb="FFE3E6DE"/>
      </x:bottom>
    </x:border>
    <x:border>
      <x:right style="thin">
        <x:color rgb="FFE3E6DE"/>
      </x:right>
      <x:bottom style="thin">
        <x:color rgb="FFE3E6DE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200" fontId="0" fillId="5" borderId="4" xfId="0" applyNumberFormat="1" applyFont="1" applyFill="1" applyBorder="1" applyAlignment="1">
      <x:alignment wrapText="1"/>
    </x:xf>
    <x:xf numFmtId="201" fontId="0" fillId="5" borderId="4" xfId="0" applyNumberFormat="1" applyFont="1" applyFill="1" applyBorder="1" applyAlignment="1">
      <x:alignment wrapText="1"/>
    </x:xf>
    <x:xf numFmtId="200" fontId="0" fillId="5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4" fillId="0" borderId="3" xfId="0" applyNumberFormat="1" applyFont="1" applyFill="1" applyBorder="1"/>
    <x:xf numFmtId="0" fontId="0" fillId="0" borderId="0" xfId="0" applyNumberFormat="1" applyFont="1" applyFill="1" applyBorder="1"/>
    <x:xf numFmtId="0" fontId="4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4" fillId="6" borderId="4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2" fontId="0" fillId="0" borderId="14" xfId="0" applyNumberFormat="1" applyFont="1" applyFill="1" applyBorder="1"/>
    <x:xf numFmtId="200" fontId="0" fillId="0" borderId="10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3c9e3a52e412d" /><Relationship Type="http://schemas.openxmlformats.org/officeDocument/2006/relationships/theme" Target="/xl/theme/theme1.xml" Id="Rcbd47d7cbe9345a6" /><Relationship Type="http://schemas.openxmlformats.org/officeDocument/2006/relationships/sharedStrings" Target="/xl/sharedStrings.xml" Id="Rec6dca677d624efb" /><Relationship Type="http://schemas.openxmlformats.org/officeDocument/2006/relationships/worksheet" Target="/xl/worksheets/sheet1.xml" Id="R832c09e11fb04345" /><Relationship Type="http://schemas.openxmlformats.org/officeDocument/2006/relationships/worksheet" Target="/xl/worksheets/sheet2.xml" Id="Rcb3550c1107c42ec" /><Relationship Type="http://schemas.openxmlformats.org/officeDocument/2006/relationships/worksheet" Target="/xl/worksheets/sheet3.xml" Id="Re1efe6fbf93c4450" /><Relationship Type="http://schemas.openxmlformats.org/officeDocument/2006/relationships/worksheet" Target="/xl/worksheets/sheet4.xml" Id="Rb0256c52e7bb4a26" /><Relationship Type="http://schemas.openxmlformats.org/officeDocument/2006/relationships/worksheet" Target="/xl/worksheets/sheet5.xml" Id="R2a7c95e3600d4d2e" /><Relationship Type="http://schemas.openxmlformats.org/officeDocument/2006/relationships/worksheet" Target="/xl/worksheets/sheet6.xml" Id="R28a7e4652f7a4d64" /><Relationship Type="http://schemas.openxmlformats.org/officeDocument/2006/relationships/worksheet" Target="/xl/worksheets/sheet7.xml" Id="R3b57f94664444aad" /><Relationship Type="http://schemas.openxmlformats.org/officeDocument/2006/relationships/worksheet" Target="/xl/worksheets/sheet8.xml" Id="R823e39f90a464618" /><Relationship Type="http://schemas.openxmlformats.org/officeDocument/2006/relationships/worksheet" Target="/xl/worksheets/sheet9.xml" Id="R833927820b814e21" /><Relationship Type="http://schemas.openxmlformats.org/officeDocument/2006/relationships/worksheet" Target="/xl/worksheets/sheet10.xml" Id="R99733e54896b446e" /><Relationship Type="http://schemas.openxmlformats.org/officeDocument/2006/relationships/worksheet" Target="/xl/worksheets/sheet11.xml" Id="Rf87787594e584768" /><Relationship Type="http://schemas.openxmlformats.org/officeDocument/2006/relationships/worksheet" Target="/xl/worksheets/sheet12.xml" Id="Rc6a9598bd1924d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0.22000122070312" hidden="0" customWidth="1"/>
    <x:col min="2" max="2" width="7.670000076293945" hidden="0" customWidth="1"/>
    <x:col min="4" max="4" width="35.779998779296875" hidden="0" customWidth="1"/>
  </x:cols>
  <x:sheetData>
    <x:row r="1" ht="19.200000762939453" hidden="0" customHeight="1">
      <x:c r="A1" s="47" t="str">
        <x:v>OneRoot Essentials Operations Register</x:v>
      </x:c>
      <x:c r="B1" s="48"/>
      <x:c r="C1" s="48"/>
      <x:c r="D1" s="48"/>
      <x:c r="E1" s="48"/>
      <x:c r="F1" s="48"/>
      <x:c r="G1" s="48"/>
      <x:c r="H1" s="49"/>
    </x:row>
    <x:row r="2" ht="15" hidden="0" customHeight="1">
      <x:c r="A2" s="50" t="str">
        <x:v>Capture expenses, sales, apartments, petty cash, salary, suppliers, recurring controls, and maintenance without using business-unit columns.</x:v>
      </x:c>
      <x:c r="B2" s="4"/>
      <x:c r="C2" s="4"/>
      <x:c r="D2" s="4"/>
      <x:c r="E2" s="4"/>
      <x:c r="F2" s="4"/>
      <x:c r="G2" s="4"/>
      <x:c r="H2" s="51"/>
    </x:row>
    <x:row r="3">
      <x:c r="A3" s="9"/>
      <x:c r="B3" s="33"/>
      <x:c r="C3" s="33"/>
      <x:c r="D3" s="33"/>
      <x:c r="E3" s="33"/>
      <x:c r="F3" s="33"/>
      <x:c r="G3" s="33"/>
      <x:c r="H3" s="10"/>
    </x:row>
    <x:row r="4" ht="15" hidden="0" customHeight="1">
      <x:c r="A4" s="13" t="str">
        <x:v>Metric</x:v>
      </x:c>
      <x:c r="B4" s="14" t="str">
        <x:v>Value</x:v>
      </x:c>
      <x:c r="C4" s="33"/>
      <x:c r="D4" s="27" t="str">
        <x:v>OneRoot business areas covered</x:v>
      </x:c>
      <x:c r="E4" s="27"/>
      <x:c r="F4" s="27"/>
      <x:c r="G4" s="27"/>
      <x:c r="H4" s="52"/>
    </x:row>
    <x:row r="5" ht="15" hidden="0" customHeight="1">
      <x:c r="A5" s="19" t="str">
        <x:v>Total Expenses</x:v>
      </x:c>
      <x:c r="B5" s="23" t="n">
        <x:f>SUM('Expenses'!H2:H300)</x:f>
        <x:v>0</x:v>
      </x:c>
      <x:c r="C5" s="33"/>
      <x:c r="D5" s="29" t="str">
        <x:v>OneRoot Water &amp; Equipment Rentals</x:v>
      </x:c>
      <x:c r="E5" s="30" t="str"/>
      <x:c r="F5" s="30" t="str"/>
      <x:c r="G5" s="30" t="str"/>
      <x:c r="H5" s="31" t="str"/>
    </x:row>
    <x:row r="6" ht="15" hidden="0" customHeight="1">
      <x:c r="A6" s="19" t="str">
        <x:v>Expense Budgeted</x:v>
      </x:c>
      <x:c r="B6" s="23" t="n">
        <x:f>SUM('Budget_Planner'!D2:D300)</x:f>
        <x:v>0</x:v>
      </x:c>
      <x:c r="C6" s="33"/>
      <x:c r="D6" s="32" t="str">
        <x:v>OneRoot Cold Store &amp; Kitchen</x:v>
      </x:c>
      <x:c r="E6" s="33" t="str"/>
      <x:c r="F6" s="33" t="str"/>
      <x:c r="G6" s="33" t="str"/>
      <x:c r="H6" s="10" t="str"/>
    </x:row>
    <x:row r="7" ht="15" hidden="0" customHeight="1">
      <x:c r="A7" s="19" t="str">
        <x:v>Total Daily Sales</x:v>
      </x:c>
      <x:c r="B7" s="23" t="n">
        <x:f>SUM('Daily_Sales'!C2:C300)</x:f>
        <x:v>0</x:v>
      </x:c>
      <x:c r="C7" s="33"/>
      <x:c r="D7" s="32" t="str">
        <x:v>OneRoot Groceries &amp; More</x:v>
      </x:c>
      <x:c r="E7" s="33" t="str"/>
      <x:c r="F7" s="33" t="str"/>
      <x:c r="G7" s="33" t="str"/>
      <x:c r="H7" s="10" t="str"/>
    </x:row>
    <x:row r="8" ht="15" hidden="0" customHeight="1">
      <x:c r="A8" s="19" t="str">
        <x:v>Rent Collected</x:v>
      </x:c>
      <x:c r="B8" s="23" t="n">
        <x:f>SUM('Apartments'!N2:N300)</x:f>
        <x:v>0</x:v>
      </x:c>
      <x:c r="C8" s="33"/>
      <x:c r="D8" s="32" t="str">
        <x:v>OneRoot Phone Accessories &amp; Charging</x:v>
      </x:c>
      <x:c r="E8" s="33" t="str"/>
      <x:c r="F8" s="33" t="str"/>
      <x:c r="G8" s="33" t="str"/>
      <x:c r="H8" s="10" t="str"/>
    </x:row>
    <x:row r="9" ht="15" hidden="0" customHeight="1">
      <x:c r="A9" s="19" t="str">
        <x:v>Captured Revenue</x:v>
      </x:c>
      <x:c r="B9" s="23" t="n">
        <x:f>B7+B8</x:f>
        <x:v>0</x:v>
      </x:c>
      <x:c r="C9" s="33"/>
      <x:c r="D9" s="32" t="str">
        <x:v>OneRoot Construction Consumables Express</x:v>
      </x:c>
      <x:c r="E9" s="33" t="str"/>
      <x:c r="F9" s="33" t="str"/>
      <x:c r="G9" s="33" t="str"/>
      <x:c r="H9" s="10" t="str"/>
    </x:row>
    <x:row r="10" ht="15" hidden="0" customHeight="1">
      <x:c r="A10" s="19" t="str">
        <x:v>Captured Spend</x:v>
      </x:c>
      <x:c r="B10" s="23" t="n">
        <x:f>SUM('Expenses'!H2:H300)+SUM('Salary_Register'!I2:I300)</x:f>
        <x:v>0</x:v>
      </x:c>
      <x:c r="C10" s="33"/>
      <x:c r="D10" s="32" t="str">
        <x:v>OneRoot Laundry Services</x:v>
      </x:c>
      <x:c r="E10" s="33" t="str"/>
      <x:c r="F10" s="33" t="str"/>
      <x:c r="G10" s="33" t="str"/>
      <x:c r="H10" s="10" t="str"/>
    </x:row>
    <x:row r="11" ht="15" hidden="0" customHeight="1">
      <x:c r="A11" s="19" t="str">
        <x:v>Operating Margin</x:v>
      </x:c>
      <x:c r="B11" s="23" t="n">
        <x:f>B9-B10</x:f>
        <x:v>0</x:v>
      </x:c>
      <x:c r="C11" s="33"/>
      <x:c r="D11" s="32" t="str">
        <x:v>OneRoot Mobile Money Services</x:v>
      </x:c>
      <x:c r="E11" s="33" t="str"/>
      <x:c r="F11" s="33" t="str"/>
      <x:c r="G11" s="33" t="str"/>
      <x:c r="H11" s="10" t="str"/>
    </x:row>
    <x:row r="12" ht="15" hidden="0" customHeight="1">
      <x:c r="A12" s="19" t="str">
        <x:v>Bills Paid</x:v>
      </x:c>
      <x:c r="B12" s="23" t="n">
        <x:f>SUM('Apartments'!AA2:AA300)</x:f>
        <x:v>0</x:v>
      </x:c>
      <x:c r="C12" s="33"/>
      <x:c r="D12" s="32" t="str">
        <x:v>OneRoot Rentals &amp; Apartments</x:v>
      </x:c>
      <x:c r="E12" s="33" t="str"/>
      <x:c r="F12" s="33" t="str"/>
      <x:c r="G12" s="33" t="str"/>
      <x:c r="H12" s="10" t="str"/>
    </x:row>
    <x:row r="13" ht="15" hidden="0" customHeight="1">
      <x:c r="A13" s="19" t="str">
        <x:v>Supplier Outstanding</x:v>
      </x:c>
      <x:c r="B13" s="23" t="n">
        <x:f>SUM('Supplier_Ledger'!L2:L300)</x:f>
        <x:v>0</x:v>
      </x:c>
      <x:c r="C13" s="33"/>
      <x:c r="D13" s="32" t="str">
        <x:v>OneRoot Fresh Foods &amp; Drinks</x:v>
      </x:c>
      <x:c r="E13" s="33" t="str"/>
      <x:c r="F13" s="33" t="str"/>
      <x:c r="G13" s="33" t="str"/>
      <x:c r="H13" s="10" t="str"/>
    </x:row>
    <x:row r="14" ht="15" hidden="0" customHeight="1">
      <x:c r="A14" s="19" t="str">
        <x:v>Maintenance Open Estimate</x:v>
      </x:c>
      <x:c r="B14" s="23" t="n">
        <x:f>SUMIFS('Maintenance_Log'!I2:I300,'Maintenance_Log'!G2:G300,"&lt;&gt;Completed")</x:f>
        <x:v>0</x:v>
      </x:c>
      <x:c r="C14" s="33"/>
      <x:c r="D14" s="32" t="str">
        <x:v>OneRoot Kitchen</x:v>
      </x:c>
      <x:c r="E14" s="33" t="str"/>
      <x:c r="F14" s="33" t="str"/>
      <x:c r="G14" s="33" t="str"/>
      <x:c r="H14" s="10" t="str"/>
    </x:row>
    <x:row r="15" ht="15" hidden="0" customHeight="1">
      <x:c r="A15" s="19" t="str">
        <x:v>Petty Cash Budgeted</x:v>
      </x:c>
      <x:c r="B15" s="23" t="n">
        <x:f>SUM('Petty_Cash_Budget'!C2:C300)</x:f>
        <x:v>0</x:v>
      </x:c>
      <x:c r="C15" s="33"/>
      <x:c r="D15" s="34" t="str">
        <x:v>OneRoot Shared Operations</x:v>
      </x:c>
      <x:c r="E15" s="35" t="str"/>
      <x:c r="F15" s="35" t="str"/>
      <x:c r="G15" s="35" t="str"/>
      <x:c r="H15" s="12" t="str"/>
    </x:row>
    <x:row r="16" ht="15" hidden="0" customHeight="1">
      <x:c r="A16" s="19" t="str">
        <x:v>Petty Cash Expense Paid</x:v>
      </x:c>
      <x:c r="B16" s="23" t="n">
        <x:f>SUMIF('Petty_Cash'!B2:B300,"Expense Paid",'Petty_Cash'!G2:G300)</x:f>
        <x:v>0</x:v>
      </x:c>
      <x:c r="C16" s="33"/>
      <x:c r="D16" s="33"/>
      <x:c r="E16" s="33"/>
      <x:c r="F16" s="33"/>
      <x:c r="G16" s="33"/>
      <x:c r="H16" s="10"/>
    </x:row>
    <x:row r="17" ht="15" hidden="0" customHeight="1">
      <x:c r="A17" s="19" t="str">
        <x:v>Petty Cash Balance</x:v>
      </x:c>
      <x:c r="B17" s="23" t="n">
        <x:f>SUM('Petty_Cash'!H2:H300)</x:f>
        <x:v>0</x:v>
      </x:c>
      <x:c r="C17" s="33"/>
      <x:c r="D17" s="33"/>
      <x:c r="E17" s="33"/>
      <x:c r="F17" s="33"/>
      <x:c r="G17" s="33"/>
      <x:c r="H17" s="10"/>
    </x:row>
    <x:row r="18" ht="15" hidden="0" customHeight="1">
      <x:c r="A18" s="19" t="str">
        <x:v>Petty Cash Budget Remaining</x:v>
      </x:c>
      <x:c r="B18" s="23" t="n">
        <x:f>B15-B16</x:f>
        <x:v>0</x:v>
      </x:c>
      <x:c r="C18" s="33"/>
      <x:c r="D18" s="33"/>
      <x:c r="E18" s="33"/>
      <x:c r="F18" s="33"/>
      <x:c r="G18" s="33"/>
      <x:c r="H18" s="10"/>
    </x:row>
    <x:row r="19" ht="15" hidden="0" customHeight="1">
      <x:c r="A19" s="19" t="str">
        <x:v>Active Recurring Controls</x:v>
      </x:c>
      <x:c r="B19" s="24" t="n">
        <x:f>COUNTIF('Recurring_Controls'!M2:M300,"Active")</x:f>
        <x:v>0</x:v>
      </x:c>
      <x:c r="C19" s="33"/>
      <x:c r="D19" s="33"/>
      <x:c r="E19" s="33"/>
      <x:c r="F19" s="33"/>
      <x:c r="G19" s="33"/>
      <x:c r="H19" s="10"/>
    </x:row>
    <x:row r="20" ht="15" hidden="0" customHeight="1">
      <x:c r="A20" s="19" t="str">
        <x:v>Controls Due Soon</x:v>
      </x:c>
      <x:c r="B20" s="24" t="n">
        <x:f>COUNTIF('Recurring_Controls'!O2:O300,"Due Soon")+COUNTIF('Recurring_Controls'!O2:O300,"Overdue")</x:f>
        <x:v>0</x:v>
      </x:c>
      <x:c r="C20" s="33"/>
      <x:c r="D20" s="33"/>
      <x:c r="E20" s="33"/>
      <x:c r="F20" s="33"/>
      <x:c r="G20" s="33"/>
      <x:c r="H20" s="10"/>
    </x:row>
    <x:row r="21" ht="15" hidden="0" customHeight="1">
      <x:c r="A21" s="19" t="str">
        <x:v>Completed Maintenance Cost</x:v>
      </x:c>
      <x:c r="B21" s="23" t="n">
        <x:f>SUMIFS('Maintenance_Log'!J2:J300,'Maintenance_Log'!G2:G300,"Completed")</x:f>
        <x:v>0</x:v>
      </x:c>
      <x:c r="C21" s="33"/>
      <x:c r="D21" s="33"/>
      <x:c r="E21" s="33"/>
      <x:c r="F21" s="33"/>
      <x:c r="G21" s="33"/>
      <x:c r="H21" s="10"/>
    </x:row>
    <x:row r="22" ht="15" hidden="0" customHeight="1">
      <x:c r="A22" s="19" t="str">
        <x:v>Payroll Net Due</x:v>
      </x:c>
      <x:c r="B22" s="23" t="n">
        <x:f>SUM('Salary_Register'!H2:H300)</x:f>
        <x:v>0</x:v>
      </x:c>
      <x:c r="C22" s="33"/>
      <x:c r="D22" s="33"/>
      <x:c r="E22" s="33"/>
      <x:c r="F22" s="33"/>
      <x:c r="G22" s="33"/>
      <x:c r="H22" s="10"/>
    </x:row>
    <x:row r="23" ht="15" hidden="0" customHeight="1">
      <x:c r="A23" s="19" t="str">
        <x:v>Payroll Paid</x:v>
      </x:c>
      <x:c r="B23" s="23" t="n">
        <x:f>SUM('Salary_Register'!I2:I300)</x:f>
        <x:v>0</x:v>
      </x:c>
      <x:c r="C23" s="33"/>
      <x:c r="D23" s="33"/>
      <x:c r="E23" s="33"/>
      <x:c r="F23" s="33"/>
      <x:c r="G23" s="33"/>
      <x:c r="H23" s="10"/>
    </x:row>
    <x:row r="24" ht="15" hidden="0" customHeight="1">
      <x:c r="A24" s="20" t="str">
        <x:v>Payroll Outstanding</x:v>
      </x:c>
      <x:c r="B24" s="25" t="n">
        <x:f>SUM('Salary_Register'!J2:J300)</x:f>
        <x:v>0</x:v>
      </x:c>
      <x:c r="C24" s="33"/>
      <x:c r="D24" s="33"/>
      <x:c r="E24" s="33"/>
      <x:c r="F24" s="33"/>
      <x:c r="G24" s="33"/>
      <x:c r="H24" s="10"/>
    </x:row>
    <x:row r="25">
      <x:c r="A25" s="9"/>
      <x:c r="B25" s="33"/>
      <x:c r="C25" s="33"/>
      <x:c r="D25" s="33"/>
      <x:c r="E25" s="33"/>
      <x:c r="F25" s="33"/>
      <x:c r="G25" s="33"/>
      <x:c r="H25" s="10"/>
    </x:row>
    <x:row r="26" ht="15" hidden="0" customHeight="1">
      <x:c r="A26" s="53" t="str">
        <x:v>Workbook workflow: fill Expenses, Budget_Planner, Daily_Sales, Apartments, Petty_Cash, Petty_Cash_Budget, Salary_Register, Supplier_Ledger, Recurring_Controls, and Maintenance_Log. Dropdown columns are preloaded from Lists.</x:v>
      </x:c>
      <x:c r="B26" s="38"/>
      <x:c r="C26" s="38"/>
      <x:c r="D26" s="38"/>
      <x:c r="E26" s="38"/>
      <x:c r="F26" s="38"/>
      <x:c r="G26" s="38"/>
      <x:c r="H26" s="54"/>
    </x:row>
    <x:row r="27" ht="15" hidden="0" customHeight="1">
      <x:c r="A27" s="55" t="str">
        <x:v>Apartment bills captured: water bill, toilet bill, sweeping and gutter cleaning bill, and waste management bill.</x:v>
      </x:c>
      <x:c r="B27" s="40"/>
      <x:c r="C27" s="40"/>
      <x:c r="D27" s="40"/>
      <x:c r="E27" s="40"/>
      <x:c r="F27" s="40"/>
      <x:c r="G27" s="40"/>
      <x:c r="H27" s="56"/>
    </x:row>
    <x:row r="28" ht="15" hidden="0" customHeight="1">
      <x:c r="A28" s="57" t="str">
        <x:v>Petty cash ledger captures opening float, top-ups, expense-paid entries, cash returns, adjustments, and monthly budgets.</x:v>
      </x:c>
      <x:c r="B28" s="43"/>
      <x:c r="C28" s="43"/>
      <x:c r="D28" s="43"/>
      <x:c r="E28" s="43"/>
      <x:c r="F28" s="43"/>
      <x:c r="G28" s="43"/>
      <x:c r="H28" s="58"/>
    </x:row>
    <x:row r="29" ht="15" hidden="0" customHeight="1">
      <x:c r="A29" s="59" t="str">
        <x:v>Use Salary_Register to manage payroll and deductions, Supplier_Ledger to track payables, Recurring_Controls to schedule repeat work, and Maintenance_Log to monitor repairs and service tasks.</x:v>
      </x:c>
      <x:c r="B29" s="60"/>
      <x:c r="C29" s="60"/>
      <x:c r="D29" s="60"/>
      <x:c r="E29" s="60"/>
      <x:c r="F29" s="60"/>
      <x:c r="G29" s="60"/>
      <x:c r="H29" s="61"/>
    </x:row>
  </x:sheetData>
  <x:mergeCells>
    <x:mergeCell ref="A1:H1"/>
    <x:mergeCell ref="A2:H2"/>
    <x:mergeCell ref="D4:H4"/>
    <x:mergeCell ref="A26:H26"/>
    <x:mergeCell ref="A27:H27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.110000133514404" hidden="0" customWidth="1"/>
    <x:col min="2" max="2" width="11.5600004196167" hidden="0" customWidth="1"/>
    <x:col min="3" max="3" width="12.220000267028809" hidden="0" customWidth="1"/>
    <x:col min="4" max="4" width="11.220000267028809" hidden="0" customWidth="1"/>
    <x:col min="5" max="5" width="9.4399995803833" hidden="0" customWidth="1"/>
    <x:col min="6" max="6" width="13.670000076293945" hidden="0" customWidth="1"/>
    <x:col min="7" max="7" width="11.890000343322754" hidden="0" customWidth="1"/>
    <x:col min="8" max="8" width="11.5600004196167" hidden="0" customWidth="1"/>
    <x:col min="9" max="9" width="5.110000133514404" hidden="0" customWidth="1"/>
  </x:cols>
  <x:sheetData>
    <x:row r="1">
      <x:c r="A1" s="6" t="str">
        <x:v>Date</x:v>
      </x:c>
      <x:c r="B1" s="6" t="str">
        <x:v>Business Area</x:v>
      </x:c>
      <x:c r="C1" s="6" t="str">
        <x:v>Vendor / Payee</x:v>
      </x:c>
      <x:c r="D1" s="6" t="str">
        <x:v>Expense Type</x:v>
      </x:c>
      <x:c r="E1" s="6" t="str">
        <x:v>Description</x:v>
      </x:c>
      <x:c r="F1" s="6" t="str">
        <x:v>Payment Method</x:v>
      </x:c>
      <x:c r="G1" s="6" t="str">
        <x:v>Receipt Status</x:v>
      </x:c>
      <x:c r="H1" s="6" t="str">
        <x:v>Amount (GHS)</x:v>
      </x:c>
      <x:c r="I1" s="6" t="str">
        <x:v>Notes</x:v>
      </x:c>
    </x:row>
    <x:row r="2">
      <x:c r="A2" s="70"/>
      <x:c r="B2" s="63"/>
      <x:c r="C2" s="63"/>
      <x:c r="D2" s="63"/>
      <x:c r="E2" s="63"/>
      <x:c r="F2" s="63"/>
      <x:c r="G2" s="63"/>
      <x:c r="H2" s="73"/>
      <x:c r="I2" s="64"/>
    </x:row>
    <x:row r="3">
      <x:c r="A3" s="71"/>
      <x:c r="B3" s="33"/>
      <x:c r="C3" s="33"/>
      <x:c r="D3" s="33"/>
      <x:c r="E3" s="33"/>
      <x:c r="F3" s="33"/>
      <x:c r="G3" s="33"/>
      <x:c r="H3" s="74"/>
      <x:c r="I3" s="66"/>
    </x:row>
    <x:row r="4">
      <x:c r="A4" s="71"/>
      <x:c r="B4" s="33"/>
      <x:c r="C4" s="33"/>
      <x:c r="D4" s="33"/>
      <x:c r="E4" s="33"/>
      <x:c r="F4" s="33"/>
      <x:c r="G4" s="33"/>
      <x:c r="H4" s="74"/>
      <x:c r="I4" s="66"/>
    </x:row>
    <x:row r="5">
      <x:c r="A5" s="71"/>
      <x:c r="B5" s="33"/>
      <x:c r="C5" s="33"/>
      <x:c r="D5" s="33"/>
      <x:c r="E5" s="33"/>
      <x:c r="F5" s="33"/>
      <x:c r="G5" s="33"/>
      <x:c r="H5" s="74"/>
      <x:c r="I5" s="66"/>
    </x:row>
    <x:row r="6">
      <x:c r="A6" s="71"/>
      <x:c r="B6" s="33"/>
      <x:c r="C6" s="33"/>
      <x:c r="D6" s="33"/>
      <x:c r="E6" s="33"/>
      <x:c r="F6" s="33"/>
      <x:c r="G6" s="33"/>
      <x:c r="H6" s="74"/>
      <x:c r="I6" s="66"/>
    </x:row>
    <x:row r="7">
      <x:c r="A7" s="71"/>
      <x:c r="B7" s="33"/>
      <x:c r="C7" s="33"/>
      <x:c r="D7" s="33"/>
      <x:c r="E7" s="33"/>
      <x:c r="F7" s="33"/>
      <x:c r="G7" s="33"/>
      <x:c r="H7" s="74"/>
      <x:c r="I7" s="66"/>
    </x:row>
    <x:row r="8">
      <x:c r="A8" s="71"/>
      <x:c r="B8" s="33"/>
      <x:c r="C8" s="33"/>
      <x:c r="D8" s="33"/>
      <x:c r="E8" s="33"/>
      <x:c r="F8" s="33"/>
      <x:c r="G8" s="33"/>
      <x:c r="H8" s="74"/>
      <x:c r="I8" s="66"/>
    </x:row>
    <x:row r="9">
      <x:c r="A9" s="71"/>
      <x:c r="B9" s="33"/>
      <x:c r="C9" s="33"/>
      <x:c r="D9" s="33"/>
      <x:c r="E9" s="33"/>
      <x:c r="F9" s="33"/>
      <x:c r="G9" s="33"/>
      <x:c r="H9" s="74"/>
      <x:c r="I9" s="66"/>
    </x:row>
    <x:row r="10">
      <x:c r="A10" s="71"/>
      <x:c r="B10" s="33"/>
      <x:c r="C10" s="33"/>
      <x:c r="D10" s="33"/>
      <x:c r="E10" s="33"/>
      <x:c r="F10" s="33"/>
      <x:c r="G10" s="33"/>
      <x:c r="H10" s="74"/>
      <x:c r="I10" s="66"/>
    </x:row>
    <x:row r="11">
      <x:c r="A11" s="71"/>
      <x:c r="B11" s="33"/>
      <x:c r="C11" s="33"/>
      <x:c r="D11" s="33"/>
      <x:c r="E11" s="33"/>
      <x:c r="F11" s="33"/>
      <x:c r="G11" s="33"/>
      <x:c r="H11" s="74"/>
      <x:c r="I11" s="66"/>
    </x:row>
    <x:row r="12">
      <x:c r="A12" s="71"/>
      <x:c r="B12" s="33"/>
      <x:c r="C12" s="33"/>
      <x:c r="D12" s="33"/>
      <x:c r="E12" s="33"/>
      <x:c r="F12" s="33"/>
      <x:c r="G12" s="33"/>
      <x:c r="H12" s="74"/>
      <x:c r="I12" s="66"/>
    </x:row>
    <x:row r="13">
      <x:c r="A13" s="71"/>
      <x:c r="B13" s="33"/>
      <x:c r="C13" s="33"/>
      <x:c r="D13" s="33"/>
      <x:c r="E13" s="33"/>
      <x:c r="F13" s="33"/>
      <x:c r="G13" s="33"/>
      <x:c r="H13" s="74"/>
      <x:c r="I13" s="66"/>
    </x:row>
    <x:row r="14">
      <x:c r="A14" s="71"/>
      <x:c r="B14" s="33"/>
      <x:c r="C14" s="33"/>
      <x:c r="D14" s="33"/>
      <x:c r="E14" s="33"/>
      <x:c r="F14" s="33"/>
      <x:c r="G14" s="33"/>
      <x:c r="H14" s="74"/>
      <x:c r="I14" s="66"/>
    </x:row>
    <x:row r="15">
      <x:c r="A15" s="71"/>
      <x:c r="B15" s="33"/>
      <x:c r="C15" s="33"/>
      <x:c r="D15" s="33"/>
      <x:c r="E15" s="33"/>
      <x:c r="F15" s="33"/>
      <x:c r="G15" s="33"/>
      <x:c r="H15" s="74"/>
      <x:c r="I15" s="66"/>
    </x:row>
    <x:row r="16">
      <x:c r="A16" s="71"/>
      <x:c r="B16" s="33"/>
      <x:c r="C16" s="33"/>
      <x:c r="D16" s="33"/>
      <x:c r="E16" s="33"/>
      <x:c r="F16" s="33"/>
      <x:c r="G16" s="33"/>
      <x:c r="H16" s="74"/>
      <x:c r="I16" s="66"/>
    </x:row>
    <x:row r="17">
      <x:c r="A17" s="71"/>
      <x:c r="B17" s="33"/>
      <x:c r="C17" s="33"/>
      <x:c r="D17" s="33"/>
      <x:c r="E17" s="33"/>
      <x:c r="F17" s="33"/>
      <x:c r="G17" s="33"/>
      <x:c r="H17" s="74"/>
      <x:c r="I17" s="66"/>
    </x:row>
    <x:row r="18">
      <x:c r="A18" s="71"/>
      <x:c r="B18" s="33"/>
      <x:c r="C18" s="33"/>
      <x:c r="D18" s="33"/>
      <x:c r="E18" s="33"/>
      <x:c r="F18" s="33"/>
      <x:c r="G18" s="33"/>
      <x:c r="H18" s="74"/>
      <x:c r="I18" s="66"/>
    </x:row>
    <x:row r="19">
      <x:c r="A19" s="71"/>
      <x:c r="B19" s="33"/>
      <x:c r="C19" s="33"/>
      <x:c r="D19" s="33"/>
      <x:c r="E19" s="33"/>
      <x:c r="F19" s="33"/>
      <x:c r="G19" s="33"/>
      <x:c r="H19" s="74"/>
      <x:c r="I19" s="66"/>
    </x:row>
    <x:row r="20">
      <x:c r="A20" s="71"/>
      <x:c r="B20" s="33"/>
      <x:c r="C20" s="33"/>
      <x:c r="D20" s="33"/>
      <x:c r="E20" s="33"/>
      <x:c r="F20" s="33"/>
      <x:c r="G20" s="33"/>
      <x:c r="H20" s="74"/>
      <x:c r="I20" s="66"/>
    </x:row>
    <x:row r="21">
      <x:c r="A21" s="71"/>
      <x:c r="B21" s="33"/>
      <x:c r="C21" s="33"/>
      <x:c r="D21" s="33"/>
      <x:c r="E21" s="33"/>
      <x:c r="F21" s="33"/>
      <x:c r="G21" s="33"/>
      <x:c r="H21" s="74"/>
      <x:c r="I21" s="66"/>
    </x:row>
    <x:row r="22">
      <x:c r="A22" s="71"/>
      <x:c r="B22" s="33"/>
      <x:c r="C22" s="33"/>
      <x:c r="D22" s="33"/>
      <x:c r="E22" s="33"/>
      <x:c r="F22" s="33"/>
      <x:c r="G22" s="33"/>
      <x:c r="H22" s="74"/>
      <x:c r="I22" s="66"/>
    </x:row>
    <x:row r="23">
      <x:c r="A23" s="71"/>
      <x:c r="B23" s="33"/>
      <x:c r="C23" s="33"/>
      <x:c r="D23" s="33"/>
      <x:c r="E23" s="33"/>
      <x:c r="F23" s="33"/>
      <x:c r="G23" s="33"/>
      <x:c r="H23" s="74"/>
      <x:c r="I23" s="66"/>
    </x:row>
    <x:row r="24">
      <x:c r="A24" s="71"/>
      <x:c r="B24" s="33"/>
      <x:c r="C24" s="33"/>
      <x:c r="D24" s="33"/>
      <x:c r="E24" s="33"/>
      <x:c r="F24" s="33"/>
      <x:c r="G24" s="33"/>
      <x:c r="H24" s="74"/>
      <x:c r="I24" s="66"/>
    </x:row>
    <x:row r="25">
      <x:c r="A25" s="71"/>
      <x:c r="B25" s="33"/>
      <x:c r="C25" s="33"/>
      <x:c r="D25" s="33"/>
      <x:c r="E25" s="33"/>
      <x:c r="F25" s="33"/>
      <x:c r="G25" s="33"/>
      <x:c r="H25" s="74"/>
      <x:c r="I25" s="66"/>
    </x:row>
    <x:row r="26">
      <x:c r="A26" s="71"/>
      <x:c r="B26" s="33"/>
      <x:c r="C26" s="33"/>
      <x:c r="D26" s="33"/>
      <x:c r="E26" s="33"/>
      <x:c r="F26" s="33"/>
      <x:c r="G26" s="33"/>
      <x:c r="H26" s="74"/>
      <x:c r="I26" s="66"/>
    </x:row>
    <x:row r="27">
      <x:c r="A27" s="71"/>
      <x:c r="B27" s="33"/>
      <x:c r="C27" s="33"/>
      <x:c r="D27" s="33"/>
      <x:c r="E27" s="33"/>
      <x:c r="F27" s="33"/>
      <x:c r="G27" s="33"/>
      <x:c r="H27" s="74"/>
      <x:c r="I27" s="66"/>
    </x:row>
    <x:row r="28">
      <x:c r="A28" s="71"/>
      <x:c r="B28" s="33"/>
      <x:c r="C28" s="33"/>
      <x:c r="D28" s="33"/>
      <x:c r="E28" s="33"/>
      <x:c r="F28" s="33"/>
      <x:c r="G28" s="33"/>
      <x:c r="H28" s="74"/>
      <x:c r="I28" s="66"/>
    </x:row>
    <x:row r="29">
      <x:c r="A29" s="71"/>
      <x:c r="B29" s="33"/>
      <x:c r="C29" s="33"/>
      <x:c r="D29" s="33"/>
      <x:c r="E29" s="33"/>
      <x:c r="F29" s="33"/>
      <x:c r="G29" s="33"/>
      <x:c r="H29" s="74"/>
      <x:c r="I29" s="66"/>
    </x:row>
    <x:row r="30">
      <x:c r="A30" s="71"/>
      <x:c r="B30" s="33"/>
      <x:c r="C30" s="33"/>
      <x:c r="D30" s="33"/>
      <x:c r="E30" s="33"/>
      <x:c r="F30" s="33"/>
      <x:c r="G30" s="33"/>
      <x:c r="H30" s="74"/>
      <x:c r="I30" s="66"/>
    </x:row>
    <x:row r="31">
      <x:c r="A31" s="71"/>
      <x:c r="B31" s="33"/>
      <x:c r="C31" s="33"/>
      <x:c r="D31" s="33"/>
      <x:c r="E31" s="33"/>
      <x:c r="F31" s="33"/>
      <x:c r="G31" s="33"/>
      <x:c r="H31" s="74"/>
      <x:c r="I31" s="66"/>
    </x:row>
    <x:row r="32">
      <x:c r="A32" s="71"/>
      <x:c r="B32" s="33"/>
      <x:c r="C32" s="33"/>
      <x:c r="D32" s="33"/>
      <x:c r="E32" s="33"/>
      <x:c r="F32" s="33"/>
      <x:c r="G32" s="33"/>
      <x:c r="H32" s="74"/>
      <x:c r="I32" s="66"/>
    </x:row>
    <x:row r="33">
      <x:c r="A33" s="71"/>
      <x:c r="B33" s="33"/>
      <x:c r="C33" s="33"/>
      <x:c r="D33" s="33"/>
      <x:c r="E33" s="33"/>
      <x:c r="F33" s="33"/>
      <x:c r="G33" s="33"/>
      <x:c r="H33" s="74"/>
      <x:c r="I33" s="66"/>
    </x:row>
    <x:row r="34">
      <x:c r="A34" s="71"/>
      <x:c r="B34" s="33"/>
      <x:c r="C34" s="33"/>
      <x:c r="D34" s="33"/>
      <x:c r="E34" s="33"/>
      <x:c r="F34" s="33"/>
      <x:c r="G34" s="33"/>
      <x:c r="H34" s="74"/>
      <x:c r="I34" s="66"/>
    </x:row>
    <x:row r="35">
      <x:c r="A35" s="71"/>
      <x:c r="B35" s="33"/>
      <x:c r="C35" s="33"/>
      <x:c r="D35" s="33"/>
      <x:c r="E35" s="33"/>
      <x:c r="F35" s="33"/>
      <x:c r="G35" s="33"/>
      <x:c r="H35" s="74"/>
      <x:c r="I35" s="66"/>
    </x:row>
    <x:row r="36">
      <x:c r="A36" s="71"/>
      <x:c r="B36" s="33"/>
      <x:c r="C36" s="33"/>
      <x:c r="D36" s="33"/>
      <x:c r="E36" s="33"/>
      <x:c r="F36" s="33"/>
      <x:c r="G36" s="33"/>
      <x:c r="H36" s="74"/>
      <x:c r="I36" s="66"/>
    </x:row>
    <x:row r="37">
      <x:c r="A37" s="71"/>
      <x:c r="B37" s="33"/>
      <x:c r="C37" s="33"/>
      <x:c r="D37" s="33"/>
      <x:c r="E37" s="33"/>
      <x:c r="F37" s="33"/>
      <x:c r="G37" s="33"/>
      <x:c r="H37" s="74"/>
      <x:c r="I37" s="66"/>
    </x:row>
    <x:row r="38">
      <x:c r="A38" s="71"/>
      <x:c r="B38" s="33"/>
      <x:c r="C38" s="33"/>
      <x:c r="D38" s="33"/>
      <x:c r="E38" s="33"/>
      <x:c r="F38" s="33"/>
      <x:c r="G38" s="33"/>
      <x:c r="H38" s="74"/>
      <x:c r="I38" s="66"/>
    </x:row>
    <x:row r="39">
      <x:c r="A39" s="71"/>
      <x:c r="B39" s="33"/>
      <x:c r="C39" s="33"/>
      <x:c r="D39" s="33"/>
      <x:c r="E39" s="33"/>
      <x:c r="F39" s="33"/>
      <x:c r="G39" s="33"/>
      <x:c r="H39" s="74"/>
      <x:c r="I39" s="66"/>
    </x:row>
    <x:row r="40">
      <x:c r="A40" s="71"/>
      <x:c r="B40" s="33"/>
      <x:c r="C40" s="33"/>
      <x:c r="D40" s="33"/>
      <x:c r="E40" s="33"/>
      <x:c r="F40" s="33"/>
      <x:c r="G40" s="33"/>
      <x:c r="H40" s="74"/>
      <x:c r="I40" s="66"/>
    </x:row>
    <x:row r="41">
      <x:c r="A41" s="71"/>
      <x:c r="B41" s="33"/>
      <x:c r="C41" s="33"/>
      <x:c r="D41" s="33"/>
      <x:c r="E41" s="33"/>
      <x:c r="F41" s="33"/>
      <x:c r="G41" s="33"/>
      <x:c r="H41" s="74"/>
      <x:c r="I41" s="66"/>
    </x:row>
    <x:row r="42">
      <x:c r="A42" s="71"/>
      <x:c r="B42" s="33"/>
      <x:c r="C42" s="33"/>
      <x:c r="D42" s="33"/>
      <x:c r="E42" s="33"/>
      <x:c r="F42" s="33"/>
      <x:c r="G42" s="33"/>
      <x:c r="H42" s="74"/>
      <x:c r="I42" s="66"/>
    </x:row>
    <x:row r="43">
      <x:c r="A43" s="71"/>
      <x:c r="B43" s="33"/>
      <x:c r="C43" s="33"/>
      <x:c r="D43" s="33"/>
      <x:c r="E43" s="33"/>
      <x:c r="F43" s="33"/>
      <x:c r="G43" s="33"/>
      <x:c r="H43" s="74"/>
      <x:c r="I43" s="66"/>
    </x:row>
    <x:row r="44">
      <x:c r="A44" s="71"/>
      <x:c r="B44" s="33"/>
      <x:c r="C44" s="33"/>
      <x:c r="D44" s="33"/>
      <x:c r="E44" s="33"/>
      <x:c r="F44" s="33"/>
      <x:c r="G44" s="33"/>
      <x:c r="H44" s="74"/>
      <x:c r="I44" s="66"/>
    </x:row>
    <x:row r="45">
      <x:c r="A45" s="71"/>
      <x:c r="B45" s="33"/>
      <x:c r="C45" s="33"/>
      <x:c r="D45" s="33"/>
      <x:c r="E45" s="33"/>
      <x:c r="F45" s="33"/>
      <x:c r="G45" s="33"/>
      <x:c r="H45" s="74"/>
      <x:c r="I45" s="66"/>
    </x:row>
    <x:row r="46">
      <x:c r="A46" s="71"/>
      <x:c r="B46" s="33"/>
      <x:c r="C46" s="33"/>
      <x:c r="D46" s="33"/>
      <x:c r="E46" s="33"/>
      <x:c r="F46" s="33"/>
      <x:c r="G46" s="33"/>
      <x:c r="H46" s="74"/>
      <x:c r="I46" s="66"/>
    </x:row>
    <x:row r="47">
      <x:c r="A47" s="71"/>
      <x:c r="B47" s="33"/>
      <x:c r="C47" s="33"/>
      <x:c r="D47" s="33"/>
      <x:c r="E47" s="33"/>
      <x:c r="F47" s="33"/>
      <x:c r="G47" s="33"/>
      <x:c r="H47" s="74"/>
      <x:c r="I47" s="66"/>
    </x:row>
    <x:row r="48">
      <x:c r="A48" s="71"/>
      <x:c r="B48" s="33"/>
      <x:c r="C48" s="33"/>
      <x:c r="D48" s="33"/>
      <x:c r="E48" s="33"/>
      <x:c r="F48" s="33"/>
      <x:c r="G48" s="33"/>
      <x:c r="H48" s="74"/>
      <x:c r="I48" s="66"/>
    </x:row>
    <x:row r="49">
      <x:c r="A49" s="71"/>
      <x:c r="B49" s="33"/>
      <x:c r="C49" s="33"/>
      <x:c r="D49" s="33"/>
      <x:c r="E49" s="33"/>
      <x:c r="F49" s="33"/>
      <x:c r="G49" s="33"/>
      <x:c r="H49" s="74"/>
      <x:c r="I49" s="66"/>
    </x:row>
    <x:row r="50">
      <x:c r="A50" s="71"/>
      <x:c r="B50" s="33"/>
      <x:c r="C50" s="33"/>
      <x:c r="D50" s="33"/>
      <x:c r="E50" s="33"/>
      <x:c r="F50" s="33"/>
      <x:c r="G50" s="33"/>
      <x:c r="H50" s="74"/>
      <x:c r="I50" s="66"/>
    </x:row>
    <x:row r="51">
      <x:c r="A51" s="71"/>
      <x:c r="B51" s="33"/>
      <x:c r="C51" s="33"/>
      <x:c r="D51" s="33"/>
      <x:c r="E51" s="33"/>
      <x:c r="F51" s="33"/>
      <x:c r="G51" s="33"/>
      <x:c r="H51" s="74"/>
      <x:c r="I51" s="66"/>
    </x:row>
    <x:row r="52">
      <x:c r="A52" s="71"/>
      <x:c r="B52" s="33"/>
      <x:c r="C52" s="33"/>
      <x:c r="D52" s="33"/>
      <x:c r="E52" s="33"/>
      <x:c r="F52" s="33"/>
      <x:c r="G52" s="33"/>
      <x:c r="H52" s="74"/>
      <x:c r="I52" s="66"/>
    </x:row>
    <x:row r="53">
      <x:c r="A53" s="71"/>
      <x:c r="B53" s="33"/>
      <x:c r="C53" s="33"/>
      <x:c r="D53" s="33"/>
      <x:c r="E53" s="33"/>
      <x:c r="F53" s="33"/>
      <x:c r="G53" s="33"/>
      <x:c r="H53" s="74"/>
      <x:c r="I53" s="66"/>
    </x:row>
    <x:row r="54">
      <x:c r="A54" s="71"/>
      <x:c r="B54" s="33"/>
      <x:c r="C54" s="33"/>
      <x:c r="D54" s="33"/>
      <x:c r="E54" s="33"/>
      <x:c r="F54" s="33"/>
      <x:c r="G54" s="33"/>
      <x:c r="H54" s="74"/>
      <x:c r="I54" s="66"/>
    </x:row>
    <x:row r="55">
      <x:c r="A55" s="71"/>
      <x:c r="B55" s="33"/>
      <x:c r="C55" s="33"/>
      <x:c r="D55" s="33"/>
      <x:c r="E55" s="33"/>
      <x:c r="F55" s="33"/>
      <x:c r="G55" s="33"/>
      <x:c r="H55" s="74"/>
      <x:c r="I55" s="66"/>
    </x:row>
    <x:row r="56">
      <x:c r="A56" s="71"/>
      <x:c r="B56" s="33"/>
      <x:c r="C56" s="33"/>
      <x:c r="D56" s="33"/>
      <x:c r="E56" s="33"/>
      <x:c r="F56" s="33"/>
      <x:c r="G56" s="33"/>
      <x:c r="H56" s="74"/>
      <x:c r="I56" s="66"/>
    </x:row>
    <x:row r="57">
      <x:c r="A57" s="71"/>
      <x:c r="B57" s="33"/>
      <x:c r="C57" s="33"/>
      <x:c r="D57" s="33"/>
      <x:c r="E57" s="33"/>
      <x:c r="F57" s="33"/>
      <x:c r="G57" s="33"/>
      <x:c r="H57" s="74"/>
      <x:c r="I57" s="66"/>
    </x:row>
    <x:row r="58">
      <x:c r="A58" s="71"/>
      <x:c r="B58" s="33"/>
      <x:c r="C58" s="33"/>
      <x:c r="D58" s="33"/>
      <x:c r="E58" s="33"/>
      <x:c r="F58" s="33"/>
      <x:c r="G58" s="33"/>
      <x:c r="H58" s="74"/>
      <x:c r="I58" s="66"/>
    </x:row>
    <x:row r="59">
      <x:c r="A59" s="71"/>
      <x:c r="B59" s="33"/>
      <x:c r="C59" s="33"/>
      <x:c r="D59" s="33"/>
      <x:c r="E59" s="33"/>
      <x:c r="F59" s="33"/>
      <x:c r="G59" s="33"/>
      <x:c r="H59" s="74"/>
      <x:c r="I59" s="66"/>
    </x:row>
    <x:row r="60">
      <x:c r="A60" s="71"/>
      <x:c r="B60" s="33"/>
      <x:c r="C60" s="33"/>
      <x:c r="D60" s="33"/>
      <x:c r="E60" s="33"/>
      <x:c r="F60" s="33"/>
      <x:c r="G60" s="33"/>
      <x:c r="H60" s="74"/>
      <x:c r="I60" s="66"/>
    </x:row>
    <x:row r="61">
      <x:c r="A61" s="71"/>
      <x:c r="B61" s="33"/>
      <x:c r="C61" s="33"/>
      <x:c r="D61" s="33"/>
      <x:c r="E61" s="33"/>
      <x:c r="F61" s="33"/>
      <x:c r="G61" s="33"/>
      <x:c r="H61" s="74"/>
      <x:c r="I61" s="66"/>
    </x:row>
    <x:row r="62">
      <x:c r="A62" s="71"/>
      <x:c r="B62" s="33"/>
      <x:c r="C62" s="33"/>
      <x:c r="D62" s="33"/>
      <x:c r="E62" s="33"/>
      <x:c r="F62" s="33"/>
      <x:c r="G62" s="33"/>
      <x:c r="H62" s="74"/>
      <x:c r="I62" s="66"/>
    </x:row>
    <x:row r="63">
      <x:c r="A63" s="71"/>
      <x:c r="B63" s="33"/>
      <x:c r="C63" s="33"/>
      <x:c r="D63" s="33"/>
      <x:c r="E63" s="33"/>
      <x:c r="F63" s="33"/>
      <x:c r="G63" s="33"/>
      <x:c r="H63" s="74"/>
      <x:c r="I63" s="66"/>
    </x:row>
    <x:row r="64">
      <x:c r="A64" s="71"/>
      <x:c r="B64" s="33"/>
      <x:c r="C64" s="33"/>
      <x:c r="D64" s="33"/>
      <x:c r="E64" s="33"/>
      <x:c r="F64" s="33"/>
      <x:c r="G64" s="33"/>
      <x:c r="H64" s="74"/>
      <x:c r="I64" s="66"/>
    </x:row>
    <x:row r="65">
      <x:c r="A65" s="71"/>
      <x:c r="B65" s="33"/>
      <x:c r="C65" s="33"/>
      <x:c r="D65" s="33"/>
      <x:c r="E65" s="33"/>
      <x:c r="F65" s="33"/>
      <x:c r="G65" s="33"/>
      <x:c r="H65" s="74"/>
      <x:c r="I65" s="66"/>
    </x:row>
    <x:row r="66">
      <x:c r="A66" s="71"/>
      <x:c r="B66" s="33"/>
      <x:c r="C66" s="33"/>
      <x:c r="D66" s="33"/>
      <x:c r="E66" s="33"/>
      <x:c r="F66" s="33"/>
      <x:c r="G66" s="33"/>
      <x:c r="H66" s="74"/>
      <x:c r="I66" s="66"/>
    </x:row>
    <x:row r="67">
      <x:c r="A67" s="71"/>
      <x:c r="B67" s="33"/>
      <x:c r="C67" s="33"/>
      <x:c r="D67" s="33"/>
      <x:c r="E67" s="33"/>
      <x:c r="F67" s="33"/>
      <x:c r="G67" s="33"/>
      <x:c r="H67" s="74"/>
      <x:c r="I67" s="66"/>
    </x:row>
    <x:row r="68">
      <x:c r="A68" s="71"/>
      <x:c r="B68" s="33"/>
      <x:c r="C68" s="33"/>
      <x:c r="D68" s="33"/>
      <x:c r="E68" s="33"/>
      <x:c r="F68" s="33"/>
      <x:c r="G68" s="33"/>
      <x:c r="H68" s="74"/>
      <x:c r="I68" s="66"/>
    </x:row>
    <x:row r="69">
      <x:c r="A69" s="71"/>
      <x:c r="B69" s="33"/>
      <x:c r="C69" s="33"/>
      <x:c r="D69" s="33"/>
      <x:c r="E69" s="33"/>
      <x:c r="F69" s="33"/>
      <x:c r="G69" s="33"/>
      <x:c r="H69" s="74"/>
      <x:c r="I69" s="66"/>
    </x:row>
    <x:row r="70">
      <x:c r="A70" s="71"/>
      <x:c r="B70" s="33"/>
      <x:c r="C70" s="33"/>
      <x:c r="D70" s="33"/>
      <x:c r="E70" s="33"/>
      <x:c r="F70" s="33"/>
      <x:c r="G70" s="33"/>
      <x:c r="H70" s="74"/>
      <x:c r="I70" s="66"/>
    </x:row>
    <x:row r="71">
      <x:c r="A71" s="71"/>
      <x:c r="B71" s="33"/>
      <x:c r="C71" s="33"/>
      <x:c r="D71" s="33"/>
      <x:c r="E71" s="33"/>
      <x:c r="F71" s="33"/>
      <x:c r="G71" s="33"/>
      <x:c r="H71" s="74"/>
      <x:c r="I71" s="66"/>
    </x:row>
    <x:row r="72">
      <x:c r="A72" s="71"/>
      <x:c r="B72" s="33"/>
      <x:c r="C72" s="33"/>
      <x:c r="D72" s="33"/>
      <x:c r="E72" s="33"/>
      <x:c r="F72" s="33"/>
      <x:c r="G72" s="33"/>
      <x:c r="H72" s="74"/>
      <x:c r="I72" s="66"/>
    </x:row>
    <x:row r="73">
      <x:c r="A73" s="71"/>
      <x:c r="B73" s="33"/>
      <x:c r="C73" s="33"/>
      <x:c r="D73" s="33"/>
      <x:c r="E73" s="33"/>
      <x:c r="F73" s="33"/>
      <x:c r="G73" s="33"/>
      <x:c r="H73" s="74"/>
      <x:c r="I73" s="66"/>
    </x:row>
    <x:row r="74">
      <x:c r="A74" s="71"/>
      <x:c r="B74" s="33"/>
      <x:c r="C74" s="33"/>
      <x:c r="D74" s="33"/>
      <x:c r="E74" s="33"/>
      <x:c r="F74" s="33"/>
      <x:c r="G74" s="33"/>
      <x:c r="H74" s="74"/>
      <x:c r="I74" s="66"/>
    </x:row>
    <x:row r="75">
      <x:c r="A75" s="71"/>
      <x:c r="B75" s="33"/>
      <x:c r="C75" s="33"/>
      <x:c r="D75" s="33"/>
      <x:c r="E75" s="33"/>
      <x:c r="F75" s="33"/>
      <x:c r="G75" s="33"/>
      <x:c r="H75" s="74"/>
      <x:c r="I75" s="66"/>
    </x:row>
    <x:row r="76">
      <x:c r="A76" s="71"/>
      <x:c r="B76" s="33"/>
      <x:c r="C76" s="33"/>
      <x:c r="D76" s="33"/>
      <x:c r="E76" s="33"/>
      <x:c r="F76" s="33"/>
      <x:c r="G76" s="33"/>
      <x:c r="H76" s="74"/>
      <x:c r="I76" s="66"/>
    </x:row>
    <x:row r="77">
      <x:c r="A77" s="71"/>
      <x:c r="B77" s="33"/>
      <x:c r="C77" s="33"/>
      <x:c r="D77" s="33"/>
      <x:c r="E77" s="33"/>
      <x:c r="F77" s="33"/>
      <x:c r="G77" s="33"/>
      <x:c r="H77" s="74"/>
      <x:c r="I77" s="66"/>
    </x:row>
    <x:row r="78">
      <x:c r="A78" s="71"/>
      <x:c r="B78" s="33"/>
      <x:c r="C78" s="33"/>
      <x:c r="D78" s="33"/>
      <x:c r="E78" s="33"/>
      <x:c r="F78" s="33"/>
      <x:c r="G78" s="33"/>
      <x:c r="H78" s="74"/>
      <x:c r="I78" s="66"/>
    </x:row>
    <x:row r="79">
      <x:c r="A79" s="71"/>
      <x:c r="B79" s="33"/>
      <x:c r="C79" s="33"/>
      <x:c r="D79" s="33"/>
      <x:c r="E79" s="33"/>
      <x:c r="F79" s="33"/>
      <x:c r="G79" s="33"/>
      <x:c r="H79" s="74"/>
      <x:c r="I79" s="66"/>
    </x:row>
    <x:row r="80">
      <x:c r="A80" s="71"/>
      <x:c r="B80" s="33"/>
      <x:c r="C80" s="33"/>
      <x:c r="D80" s="33"/>
      <x:c r="E80" s="33"/>
      <x:c r="F80" s="33"/>
      <x:c r="G80" s="33"/>
      <x:c r="H80" s="74"/>
      <x:c r="I80" s="66"/>
    </x:row>
    <x:row r="81">
      <x:c r="A81" s="71"/>
      <x:c r="B81" s="33"/>
      <x:c r="C81" s="33"/>
      <x:c r="D81" s="33"/>
      <x:c r="E81" s="33"/>
      <x:c r="F81" s="33"/>
      <x:c r="G81" s="33"/>
      <x:c r="H81" s="74"/>
      <x:c r="I81" s="66"/>
    </x:row>
    <x:row r="82">
      <x:c r="A82" s="71"/>
      <x:c r="B82" s="33"/>
      <x:c r="C82" s="33"/>
      <x:c r="D82" s="33"/>
      <x:c r="E82" s="33"/>
      <x:c r="F82" s="33"/>
      <x:c r="G82" s="33"/>
      <x:c r="H82" s="74"/>
      <x:c r="I82" s="66"/>
    </x:row>
    <x:row r="83">
      <x:c r="A83" s="71"/>
      <x:c r="B83" s="33"/>
      <x:c r="C83" s="33"/>
      <x:c r="D83" s="33"/>
      <x:c r="E83" s="33"/>
      <x:c r="F83" s="33"/>
      <x:c r="G83" s="33"/>
      <x:c r="H83" s="74"/>
      <x:c r="I83" s="66"/>
    </x:row>
    <x:row r="84">
      <x:c r="A84" s="71"/>
      <x:c r="B84" s="33"/>
      <x:c r="C84" s="33"/>
      <x:c r="D84" s="33"/>
      <x:c r="E84" s="33"/>
      <x:c r="F84" s="33"/>
      <x:c r="G84" s="33"/>
      <x:c r="H84" s="74"/>
      <x:c r="I84" s="66"/>
    </x:row>
    <x:row r="85">
      <x:c r="A85" s="71"/>
      <x:c r="B85" s="33"/>
      <x:c r="C85" s="33"/>
      <x:c r="D85" s="33"/>
      <x:c r="E85" s="33"/>
      <x:c r="F85" s="33"/>
      <x:c r="G85" s="33"/>
      <x:c r="H85" s="74"/>
      <x:c r="I85" s="66"/>
    </x:row>
    <x:row r="86">
      <x:c r="A86" s="71"/>
      <x:c r="B86" s="33"/>
      <x:c r="C86" s="33"/>
      <x:c r="D86" s="33"/>
      <x:c r="E86" s="33"/>
      <x:c r="F86" s="33"/>
      <x:c r="G86" s="33"/>
      <x:c r="H86" s="74"/>
      <x:c r="I86" s="66"/>
    </x:row>
    <x:row r="87">
      <x:c r="A87" s="71"/>
      <x:c r="B87" s="33"/>
      <x:c r="C87" s="33"/>
      <x:c r="D87" s="33"/>
      <x:c r="E87" s="33"/>
      <x:c r="F87" s="33"/>
      <x:c r="G87" s="33"/>
      <x:c r="H87" s="74"/>
      <x:c r="I87" s="66"/>
    </x:row>
    <x:row r="88">
      <x:c r="A88" s="71"/>
      <x:c r="B88" s="33"/>
      <x:c r="C88" s="33"/>
      <x:c r="D88" s="33"/>
      <x:c r="E88" s="33"/>
      <x:c r="F88" s="33"/>
      <x:c r="G88" s="33"/>
      <x:c r="H88" s="74"/>
      <x:c r="I88" s="66"/>
    </x:row>
    <x:row r="89">
      <x:c r="A89" s="71"/>
      <x:c r="B89" s="33"/>
      <x:c r="C89" s="33"/>
      <x:c r="D89" s="33"/>
      <x:c r="E89" s="33"/>
      <x:c r="F89" s="33"/>
      <x:c r="G89" s="33"/>
      <x:c r="H89" s="74"/>
      <x:c r="I89" s="66"/>
    </x:row>
    <x:row r="90">
      <x:c r="A90" s="71"/>
      <x:c r="B90" s="33"/>
      <x:c r="C90" s="33"/>
      <x:c r="D90" s="33"/>
      <x:c r="E90" s="33"/>
      <x:c r="F90" s="33"/>
      <x:c r="G90" s="33"/>
      <x:c r="H90" s="74"/>
      <x:c r="I90" s="66"/>
    </x:row>
    <x:row r="91">
      <x:c r="A91" s="71"/>
      <x:c r="B91" s="33"/>
      <x:c r="C91" s="33"/>
      <x:c r="D91" s="33"/>
      <x:c r="E91" s="33"/>
      <x:c r="F91" s="33"/>
      <x:c r="G91" s="33"/>
      <x:c r="H91" s="74"/>
      <x:c r="I91" s="66"/>
    </x:row>
    <x:row r="92">
      <x:c r="A92" s="71"/>
      <x:c r="B92" s="33"/>
      <x:c r="C92" s="33"/>
      <x:c r="D92" s="33"/>
      <x:c r="E92" s="33"/>
      <x:c r="F92" s="33"/>
      <x:c r="G92" s="33"/>
      <x:c r="H92" s="74"/>
      <x:c r="I92" s="66"/>
    </x:row>
    <x:row r="93">
      <x:c r="A93" s="71"/>
      <x:c r="B93" s="33"/>
      <x:c r="C93" s="33"/>
      <x:c r="D93" s="33"/>
      <x:c r="E93" s="33"/>
      <x:c r="F93" s="33"/>
      <x:c r="G93" s="33"/>
      <x:c r="H93" s="74"/>
      <x:c r="I93" s="66"/>
    </x:row>
    <x:row r="94">
      <x:c r="A94" s="71"/>
      <x:c r="B94" s="33"/>
      <x:c r="C94" s="33"/>
      <x:c r="D94" s="33"/>
      <x:c r="E94" s="33"/>
      <x:c r="F94" s="33"/>
      <x:c r="G94" s="33"/>
      <x:c r="H94" s="74"/>
      <x:c r="I94" s="66"/>
    </x:row>
    <x:row r="95">
      <x:c r="A95" s="71"/>
      <x:c r="B95" s="33"/>
      <x:c r="C95" s="33"/>
      <x:c r="D95" s="33"/>
      <x:c r="E95" s="33"/>
      <x:c r="F95" s="33"/>
      <x:c r="G95" s="33"/>
      <x:c r="H95" s="74"/>
      <x:c r="I95" s="66"/>
    </x:row>
    <x:row r="96">
      <x:c r="A96" s="71"/>
      <x:c r="B96" s="33"/>
      <x:c r="C96" s="33"/>
      <x:c r="D96" s="33"/>
      <x:c r="E96" s="33"/>
      <x:c r="F96" s="33"/>
      <x:c r="G96" s="33"/>
      <x:c r="H96" s="74"/>
      <x:c r="I96" s="66"/>
    </x:row>
    <x:row r="97">
      <x:c r="A97" s="71"/>
      <x:c r="B97" s="33"/>
      <x:c r="C97" s="33"/>
      <x:c r="D97" s="33"/>
      <x:c r="E97" s="33"/>
      <x:c r="F97" s="33"/>
      <x:c r="G97" s="33"/>
      <x:c r="H97" s="74"/>
      <x:c r="I97" s="66"/>
    </x:row>
    <x:row r="98">
      <x:c r="A98" s="71"/>
      <x:c r="B98" s="33"/>
      <x:c r="C98" s="33"/>
      <x:c r="D98" s="33"/>
      <x:c r="E98" s="33"/>
      <x:c r="F98" s="33"/>
      <x:c r="G98" s="33"/>
      <x:c r="H98" s="74"/>
      <x:c r="I98" s="66"/>
    </x:row>
    <x:row r="99">
      <x:c r="A99" s="71"/>
      <x:c r="B99" s="33"/>
      <x:c r="C99" s="33"/>
      <x:c r="D99" s="33"/>
      <x:c r="E99" s="33"/>
      <x:c r="F99" s="33"/>
      <x:c r="G99" s="33"/>
      <x:c r="H99" s="74"/>
      <x:c r="I99" s="66"/>
    </x:row>
    <x:row r="100">
      <x:c r="A100" s="71"/>
      <x:c r="B100" s="33"/>
      <x:c r="C100" s="33"/>
      <x:c r="D100" s="33"/>
      <x:c r="E100" s="33"/>
      <x:c r="F100" s="33"/>
      <x:c r="G100" s="33"/>
      <x:c r="H100" s="74"/>
      <x:c r="I100" s="66"/>
    </x:row>
    <x:row r="101">
      <x:c r="A101" s="71"/>
      <x:c r="B101" s="33"/>
      <x:c r="C101" s="33"/>
      <x:c r="D101" s="33"/>
      <x:c r="E101" s="33"/>
      <x:c r="F101" s="33"/>
      <x:c r="G101" s="33"/>
      <x:c r="H101" s="74"/>
      <x:c r="I101" s="66"/>
    </x:row>
    <x:row r="102">
      <x:c r="A102" s="71"/>
      <x:c r="B102" s="33"/>
      <x:c r="C102" s="33"/>
      <x:c r="D102" s="33"/>
      <x:c r="E102" s="33"/>
      <x:c r="F102" s="33"/>
      <x:c r="G102" s="33"/>
      <x:c r="H102" s="74"/>
      <x:c r="I102" s="66"/>
    </x:row>
    <x:row r="103">
      <x:c r="A103" s="71"/>
      <x:c r="B103" s="33"/>
      <x:c r="C103" s="33"/>
      <x:c r="D103" s="33"/>
      <x:c r="E103" s="33"/>
      <x:c r="F103" s="33"/>
      <x:c r="G103" s="33"/>
      <x:c r="H103" s="74"/>
      <x:c r="I103" s="66"/>
    </x:row>
    <x:row r="104">
      <x:c r="A104" s="71"/>
      <x:c r="B104" s="33"/>
      <x:c r="C104" s="33"/>
      <x:c r="D104" s="33"/>
      <x:c r="E104" s="33"/>
      <x:c r="F104" s="33"/>
      <x:c r="G104" s="33"/>
      <x:c r="H104" s="74"/>
      <x:c r="I104" s="66"/>
    </x:row>
    <x:row r="105">
      <x:c r="A105" s="71"/>
      <x:c r="B105" s="33"/>
      <x:c r="C105" s="33"/>
      <x:c r="D105" s="33"/>
      <x:c r="E105" s="33"/>
      <x:c r="F105" s="33"/>
      <x:c r="G105" s="33"/>
      <x:c r="H105" s="74"/>
      <x:c r="I105" s="66"/>
    </x:row>
    <x:row r="106">
      <x:c r="A106" s="71"/>
      <x:c r="B106" s="33"/>
      <x:c r="C106" s="33"/>
      <x:c r="D106" s="33"/>
      <x:c r="E106" s="33"/>
      <x:c r="F106" s="33"/>
      <x:c r="G106" s="33"/>
      <x:c r="H106" s="74"/>
      <x:c r="I106" s="66"/>
    </x:row>
    <x:row r="107">
      <x:c r="A107" s="71"/>
      <x:c r="B107" s="33"/>
      <x:c r="C107" s="33"/>
      <x:c r="D107" s="33"/>
      <x:c r="E107" s="33"/>
      <x:c r="F107" s="33"/>
      <x:c r="G107" s="33"/>
      <x:c r="H107" s="74"/>
      <x:c r="I107" s="66"/>
    </x:row>
    <x:row r="108">
      <x:c r="A108" s="71"/>
      <x:c r="B108" s="33"/>
      <x:c r="C108" s="33"/>
      <x:c r="D108" s="33"/>
      <x:c r="E108" s="33"/>
      <x:c r="F108" s="33"/>
      <x:c r="G108" s="33"/>
      <x:c r="H108" s="74"/>
      <x:c r="I108" s="66"/>
    </x:row>
    <x:row r="109">
      <x:c r="A109" s="71"/>
      <x:c r="B109" s="33"/>
      <x:c r="C109" s="33"/>
      <x:c r="D109" s="33"/>
      <x:c r="E109" s="33"/>
      <x:c r="F109" s="33"/>
      <x:c r="G109" s="33"/>
      <x:c r="H109" s="74"/>
      <x:c r="I109" s="66"/>
    </x:row>
    <x:row r="110">
      <x:c r="A110" s="71"/>
      <x:c r="B110" s="33"/>
      <x:c r="C110" s="33"/>
      <x:c r="D110" s="33"/>
      <x:c r="E110" s="33"/>
      <x:c r="F110" s="33"/>
      <x:c r="G110" s="33"/>
      <x:c r="H110" s="74"/>
      <x:c r="I110" s="66"/>
    </x:row>
    <x:row r="111">
      <x:c r="A111" s="71"/>
      <x:c r="B111" s="33"/>
      <x:c r="C111" s="33"/>
      <x:c r="D111" s="33"/>
      <x:c r="E111" s="33"/>
      <x:c r="F111" s="33"/>
      <x:c r="G111" s="33"/>
      <x:c r="H111" s="74"/>
      <x:c r="I111" s="66"/>
    </x:row>
    <x:row r="112">
      <x:c r="A112" s="71"/>
      <x:c r="B112" s="33"/>
      <x:c r="C112" s="33"/>
      <x:c r="D112" s="33"/>
      <x:c r="E112" s="33"/>
      <x:c r="F112" s="33"/>
      <x:c r="G112" s="33"/>
      <x:c r="H112" s="74"/>
      <x:c r="I112" s="66"/>
    </x:row>
    <x:row r="113">
      <x:c r="A113" s="71"/>
      <x:c r="B113" s="33"/>
      <x:c r="C113" s="33"/>
      <x:c r="D113" s="33"/>
      <x:c r="E113" s="33"/>
      <x:c r="F113" s="33"/>
      <x:c r="G113" s="33"/>
      <x:c r="H113" s="74"/>
      <x:c r="I113" s="66"/>
    </x:row>
    <x:row r="114">
      <x:c r="A114" s="71"/>
      <x:c r="B114" s="33"/>
      <x:c r="C114" s="33"/>
      <x:c r="D114" s="33"/>
      <x:c r="E114" s="33"/>
      <x:c r="F114" s="33"/>
      <x:c r="G114" s="33"/>
      <x:c r="H114" s="74"/>
      <x:c r="I114" s="66"/>
    </x:row>
    <x:row r="115">
      <x:c r="A115" s="71"/>
      <x:c r="B115" s="33"/>
      <x:c r="C115" s="33"/>
      <x:c r="D115" s="33"/>
      <x:c r="E115" s="33"/>
      <x:c r="F115" s="33"/>
      <x:c r="G115" s="33"/>
      <x:c r="H115" s="74"/>
      <x:c r="I115" s="66"/>
    </x:row>
    <x:row r="116">
      <x:c r="A116" s="71"/>
      <x:c r="B116" s="33"/>
      <x:c r="C116" s="33"/>
      <x:c r="D116" s="33"/>
      <x:c r="E116" s="33"/>
      <x:c r="F116" s="33"/>
      <x:c r="G116" s="33"/>
      <x:c r="H116" s="74"/>
      <x:c r="I116" s="66"/>
    </x:row>
    <x:row r="117">
      <x:c r="A117" s="71"/>
      <x:c r="B117" s="33"/>
      <x:c r="C117" s="33"/>
      <x:c r="D117" s="33"/>
      <x:c r="E117" s="33"/>
      <x:c r="F117" s="33"/>
      <x:c r="G117" s="33"/>
      <x:c r="H117" s="74"/>
      <x:c r="I117" s="66"/>
    </x:row>
    <x:row r="118">
      <x:c r="A118" s="71"/>
      <x:c r="B118" s="33"/>
      <x:c r="C118" s="33"/>
      <x:c r="D118" s="33"/>
      <x:c r="E118" s="33"/>
      <x:c r="F118" s="33"/>
      <x:c r="G118" s="33"/>
      <x:c r="H118" s="74"/>
      <x:c r="I118" s="66"/>
    </x:row>
    <x:row r="119">
      <x:c r="A119" s="71"/>
      <x:c r="B119" s="33"/>
      <x:c r="C119" s="33"/>
      <x:c r="D119" s="33"/>
      <x:c r="E119" s="33"/>
      <x:c r="F119" s="33"/>
      <x:c r="G119" s="33"/>
      <x:c r="H119" s="74"/>
      <x:c r="I119" s="66"/>
    </x:row>
    <x:row r="120">
      <x:c r="A120" s="71"/>
      <x:c r="B120" s="33"/>
      <x:c r="C120" s="33"/>
      <x:c r="D120" s="33"/>
      <x:c r="E120" s="33"/>
      <x:c r="F120" s="33"/>
      <x:c r="G120" s="33"/>
      <x:c r="H120" s="74"/>
      <x:c r="I120" s="66"/>
    </x:row>
    <x:row r="121">
      <x:c r="A121" s="71"/>
      <x:c r="B121" s="33"/>
      <x:c r="C121" s="33"/>
      <x:c r="D121" s="33"/>
      <x:c r="E121" s="33"/>
      <x:c r="F121" s="33"/>
      <x:c r="G121" s="33"/>
      <x:c r="H121" s="74"/>
      <x:c r="I121" s="66"/>
    </x:row>
    <x:row r="122">
      <x:c r="A122" s="71"/>
      <x:c r="B122" s="33"/>
      <x:c r="C122" s="33"/>
      <x:c r="D122" s="33"/>
      <x:c r="E122" s="33"/>
      <x:c r="F122" s="33"/>
      <x:c r="G122" s="33"/>
      <x:c r="H122" s="74"/>
      <x:c r="I122" s="66"/>
    </x:row>
    <x:row r="123">
      <x:c r="A123" s="71"/>
      <x:c r="B123" s="33"/>
      <x:c r="C123" s="33"/>
      <x:c r="D123" s="33"/>
      <x:c r="E123" s="33"/>
      <x:c r="F123" s="33"/>
      <x:c r="G123" s="33"/>
      <x:c r="H123" s="74"/>
      <x:c r="I123" s="66"/>
    </x:row>
    <x:row r="124">
      <x:c r="A124" s="71"/>
      <x:c r="B124" s="33"/>
      <x:c r="C124" s="33"/>
      <x:c r="D124" s="33"/>
      <x:c r="E124" s="33"/>
      <x:c r="F124" s="33"/>
      <x:c r="G124" s="33"/>
      <x:c r="H124" s="74"/>
      <x:c r="I124" s="66"/>
    </x:row>
    <x:row r="125">
      <x:c r="A125" s="71"/>
      <x:c r="B125" s="33"/>
      <x:c r="C125" s="33"/>
      <x:c r="D125" s="33"/>
      <x:c r="E125" s="33"/>
      <x:c r="F125" s="33"/>
      <x:c r="G125" s="33"/>
      <x:c r="H125" s="74"/>
      <x:c r="I125" s="66"/>
    </x:row>
    <x:row r="126">
      <x:c r="A126" s="71"/>
      <x:c r="B126" s="33"/>
      <x:c r="C126" s="33"/>
      <x:c r="D126" s="33"/>
      <x:c r="E126" s="33"/>
      <x:c r="F126" s="33"/>
      <x:c r="G126" s="33"/>
      <x:c r="H126" s="74"/>
      <x:c r="I126" s="66"/>
    </x:row>
    <x:row r="127">
      <x:c r="A127" s="71"/>
      <x:c r="B127" s="33"/>
      <x:c r="C127" s="33"/>
      <x:c r="D127" s="33"/>
      <x:c r="E127" s="33"/>
      <x:c r="F127" s="33"/>
      <x:c r="G127" s="33"/>
      <x:c r="H127" s="74"/>
      <x:c r="I127" s="66"/>
    </x:row>
    <x:row r="128">
      <x:c r="A128" s="71"/>
      <x:c r="B128" s="33"/>
      <x:c r="C128" s="33"/>
      <x:c r="D128" s="33"/>
      <x:c r="E128" s="33"/>
      <x:c r="F128" s="33"/>
      <x:c r="G128" s="33"/>
      <x:c r="H128" s="74"/>
      <x:c r="I128" s="66"/>
    </x:row>
    <x:row r="129">
      <x:c r="A129" s="71"/>
      <x:c r="B129" s="33"/>
      <x:c r="C129" s="33"/>
      <x:c r="D129" s="33"/>
      <x:c r="E129" s="33"/>
      <x:c r="F129" s="33"/>
      <x:c r="G129" s="33"/>
      <x:c r="H129" s="74"/>
      <x:c r="I129" s="66"/>
    </x:row>
    <x:row r="130">
      <x:c r="A130" s="71"/>
      <x:c r="B130" s="33"/>
      <x:c r="C130" s="33"/>
      <x:c r="D130" s="33"/>
      <x:c r="E130" s="33"/>
      <x:c r="F130" s="33"/>
      <x:c r="G130" s="33"/>
      <x:c r="H130" s="74"/>
      <x:c r="I130" s="66"/>
    </x:row>
    <x:row r="131">
      <x:c r="A131" s="71"/>
      <x:c r="B131" s="33"/>
      <x:c r="C131" s="33"/>
      <x:c r="D131" s="33"/>
      <x:c r="E131" s="33"/>
      <x:c r="F131" s="33"/>
      <x:c r="G131" s="33"/>
      <x:c r="H131" s="74"/>
      <x:c r="I131" s="66"/>
    </x:row>
    <x:row r="132">
      <x:c r="A132" s="71"/>
      <x:c r="B132" s="33"/>
      <x:c r="C132" s="33"/>
      <x:c r="D132" s="33"/>
      <x:c r="E132" s="33"/>
      <x:c r="F132" s="33"/>
      <x:c r="G132" s="33"/>
      <x:c r="H132" s="74"/>
      <x:c r="I132" s="66"/>
    </x:row>
    <x:row r="133">
      <x:c r="A133" s="71"/>
      <x:c r="B133" s="33"/>
      <x:c r="C133" s="33"/>
      <x:c r="D133" s="33"/>
      <x:c r="E133" s="33"/>
      <x:c r="F133" s="33"/>
      <x:c r="G133" s="33"/>
      <x:c r="H133" s="74"/>
      <x:c r="I133" s="66"/>
    </x:row>
    <x:row r="134">
      <x:c r="A134" s="71"/>
      <x:c r="B134" s="33"/>
      <x:c r="C134" s="33"/>
      <x:c r="D134" s="33"/>
      <x:c r="E134" s="33"/>
      <x:c r="F134" s="33"/>
      <x:c r="G134" s="33"/>
      <x:c r="H134" s="74"/>
      <x:c r="I134" s="66"/>
    </x:row>
    <x:row r="135">
      <x:c r="A135" s="71"/>
      <x:c r="B135" s="33"/>
      <x:c r="C135" s="33"/>
      <x:c r="D135" s="33"/>
      <x:c r="E135" s="33"/>
      <x:c r="F135" s="33"/>
      <x:c r="G135" s="33"/>
      <x:c r="H135" s="74"/>
      <x:c r="I135" s="66"/>
    </x:row>
    <x:row r="136">
      <x:c r="A136" s="71"/>
      <x:c r="B136" s="33"/>
      <x:c r="C136" s="33"/>
      <x:c r="D136" s="33"/>
      <x:c r="E136" s="33"/>
      <x:c r="F136" s="33"/>
      <x:c r="G136" s="33"/>
      <x:c r="H136" s="74"/>
      <x:c r="I136" s="66"/>
    </x:row>
    <x:row r="137">
      <x:c r="A137" s="71"/>
      <x:c r="B137" s="33"/>
      <x:c r="C137" s="33"/>
      <x:c r="D137" s="33"/>
      <x:c r="E137" s="33"/>
      <x:c r="F137" s="33"/>
      <x:c r="G137" s="33"/>
      <x:c r="H137" s="74"/>
      <x:c r="I137" s="66"/>
    </x:row>
    <x:row r="138">
      <x:c r="A138" s="71"/>
      <x:c r="B138" s="33"/>
      <x:c r="C138" s="33"/>
      <x:c r="D138" s="33"/>
      <x:c r="E138" s="33"/>
      <x:c r="F138" s="33"/>
      <x:c r="G138" s="33"/>
      <x:c r="H138" s="74"/>
      <x:c r="I138" s="66"/>
    </x:row>
    <x:row r="139">
      <x:c r="A139" s="71"/>
      <x:c r="B139" s="33"/>
      <x:c r="C139" s="33"/>
      <x:c r="D139" s="33"/>
      <x:c r="E139" s="33"/>
      <x:c r="F139" s="33"/>
      <x:c r="G139" s="33"/>
      <x:c r="H139" s="74"/>
      <x:c r="I139" s="66"/>
    </x:row>
    <x:row r="140">
      <x:c r="A140" s="71"/>
      <x:c r="B140" s="33"/>
      <x:c r="C140" s="33"/>
      <x:c r="D140" s="33"/>
      <x:c r="E140" s="33"/>
      <x:c r="F140" s="33"/>
      <x:c r="G140" s="33"/>
      <x:c r="H140" s="74"/>
      <x:c r="I140" s="66"/>
    </x:row>
    <x:row r="141">
      <x:c r="A141" s="71"/>
      <x:c r="B141" s="33"/>
      <x:c r="C141" s="33"/>
      <x:c r="D141" s="33"/>
      <x:c r="E141" s="33"/>
      <x:c r="F141" s="33"/>
      <x:c r="G141" s="33"/>
      <x:c r="H141" s="74"/>
      <x:c r="I141" s="66"/>
    </x:row>
    <x:row r="142">
      <x:c r="A142" s="71"/>
      <x:c r="B142" s="33"/>
      <x:c r="C142" s="33"/>
      <x:c r="D142" s="33"/>
      <x:c r="E142" s="33"/>
      <x:c r="F142" s="33"/>
      <x:c r="G142" s="33"/>
      <x:c r="H142" s="74"/>
      <x:c r="I142" s="66"/>
    </x:row>
    <x:row r="143">
      <x:c r="A143" s="71"/>
      <x:c r="B143" s="33"/>
      <x:c r="C143" s="33"/>
      <x:c r="D143" s="33"/>
      <x:c r="E143" s="33"/>
      <x:c r="F143" s="33"/>
      <x:c r="G143" s="33"/>
      <x:c r="H143" s="74"/>
      <x:c r="I143" s="66"/>
    </x:row>
    <x:row r="144">
      <x:c r="A144" s="71"/>
      <x:c r="B144" s="33"/>
      <x:c r="C144" s="33"/>
      <x:c r="D144" s="33"/>
      <x:c r="E144" s="33"/>
      <x:c r="F144" s="33"/>
      <x:c r="G144" s="33"/>
      <x:c r="H144" s="74"/>
      <x:c r="I144" s="66"/>
    </x:row>
    <x:row r="145">
      <x:c r="A145" s="71"/>
      <x:c r="B145" s="33"/>
      <x:c r="C145" s="33"/>
      <x:c r="D145" s="33"/>
      <x:c r="E145" s="33"/>
      <x:c r="F145" s="33"/>
      <x:c r="G145" s="33"/>
      <x:c r="H145" s="74"/>
      <x:c r="I145" s="66"/>
    </x:row>
    <x:row r="146">
      <x:c r="A146" s="71"/>
      <x:c r="B146" s="33"/>
      <x:c r="C146" s="33"/>
      <x:c r="D146" s="33"/>
      <x:c r="E146" s="33"/>
      <x:c r="F146" s="33"/>
      <x:c r="G146" s="33"/>
      <x:c r="H146" s="74"/>
      <x:c r="I146" s="66"/>
    </x:row>
    <x:row r="147">
      <x:c r="A147" s="71"/>
      <x:c r="B147" s="33"/>
      <x:c r="C147" s="33"/>
      <x:c r="D147" s="33"/>
      <x:c r="E147" s="33"/>
      <x:c r="F147" s="33"/>
      <x:c r="G147" s="33"/>
      <x:c r="H147" s="74"/>
      <x:c r="I147" s="66"/>
    </x:row>
    <x:row r="148">
      <x:c r="A148" s="71"/>
      <x:c r="B148" s="33"/>
      <x:c r="C148" s="33"/>
      <x:c r="D148" s="33"/>
      <x:c r="E148" s="33"/>
      <x:c r="F148" s="33"/>
      <x:c r="G148" s="33"/>
      <x:c r="H148" s="74"/>
      <x:c r="I148" s="66"/>
    </x:row>
    <x:row r="149">
      <x:c r="A149" s="71"/>
      <x:c r="B149" s="33"/>
      <x:c r="C149" s="33"/>
      <x:c r="D149" s="33"/>
      <x:c r="E149" s="33"/>
      <x:c r="F149" s="33"/>
      <x:c r="G149" s="33"/>
      <x:c r="H149" s="74"/>
      <x:c r="I149" s="66"/>
    </x:row>
    <x:row r="150">
      <x:c r="A150" s="71"/>
      <x:c r="B150" s="33"/>
      <x:c r="C150" s="33"/>
      <x:c r="D150" s="33"/>
      <x:c r="E150" s="33"/>
      <x:c r="F150" s="33"/>
      <x:c r="G150" s="33"/>
      <x:c r="H150" s="74"/>
      <x:c r="I150" s="66"/>
    </x:row>
    <x:row r="151">
      <x:c r="A151" s="71"/>
      <x:c r="B151" s="33"/>
      <x:c r="C151" s="33"/>
      <x:c r="D151" s="33"/>
      <x:c r="E151" s="33"/>
      <x:c r="F151" s="33"/>
      <x:c r="G151" s="33"/>
      <x:c r="H151" s="74"/>
      <x:c r="I151" s="66"/>
    </x:row>
    <x:row r="152">
      <x:c r="A152" s="71"/>
      <x:c r="B152" s="33"/>
      <x:c r="C152" s="33"/>
      <x:c r="D152" s="33"/>
      <x:c r="E152" s="33"/>
      <x:c r="F152" s="33"/>
      <x:c r="G152" s="33"/>
      <x:c r="H152" s="74"/>
      <x:c r="I152" s="66"/>
    </x:row>
    <x:row r="153">
      <x:c r="A153" s="71"/>
      <x:c r="B153" s="33"/>
      <x:c r="C153" s="33"/>
      <x:c r="D153" s="33"/>
      <x:c r="E153" s="33"/>
      <x:c r="F153" s="33"/>
      <x:c r="G153" s="33"/>
      <x:c r="H153" s="74"/>
      <x:c r="I153" s="66"/>
    </x:row>
    <x:row r="154">
      <x:c r="A154" s="71"/>
      <x:c r="B154" s="33"/>
      <x:c r="C154" s="33"/>
      <x:c r="D154" s="33"/>
      <x:c r="E154" s="33"/>
      <x:c r="F154" s="33"/>
      <x:c r="G154" s="33"/>
      <x:c r="H154" s="74"/>
      <x:c r="I154" s="66"/>
    </x:row>
    <x:row r="155">
      <x:c r="A155" s="71"/>
      <x:c r="B155" s="33"/>
      <x:c r="C155" s="33"/>
      <x:c r="D155" s="33"/>
      <x:c r="E155" s="33"/>
      <x:c r="F155" s="33"/>
      <x:c r="G155" s="33"/>
      <x:c r="H155" s="74"/>
      <x:c r="I155" s="66"/>
    </x:row>
    <x:row r="156">
      <x:c r="A156" s="71"/>
      <x:c r="B156" s="33"/>
      <x:c r="C156" s="33"/>
      <x:c r="D156" s="33"/>
      <x:c r="E156" s="33"/>
      <x:c r="F156" s="33"/>
      <x:c r="G156" s="33"/>
      <x:c r="H156" s="74"/>
      <x:c r="I156" s="66"/>
    </x:row>
    <x:row r="157">
      <x:c r="A157" s="71"/>
      <x:c r="B157" s="33"/>
      <x:c r="C157" s="33"/>
      <x:c r="D157" s="33"/>
      <x:c r="E157" s="33"/>
      <x:c r="F157" s="33"/>
      <x:c r="G157" s="33"/>
      <x:c r="H157" s="74"/>
      <x:c r="I157" s="66"/>
    </x:row>
    <x:row r="158">
      <x:c r="A158" s="71"/>
      <x:c r="B158" s="33"/>
      <x:c r="C158" s="33"/>
      <x:c r="D158" s="33"/>
      <x:c r="E158" s="33"/>
      <x:c r="F158" s="33"/>
      <x:c r="G158" s="33"/>
      <x:c r="H158" s="74"/>
      <x:c r="I158" s="66"/>
    </x:row>
    <x:row r="159">
      <x:c r="A159" s="71"/>
      <x:c r="B159" s="33"/>
      <x:c r="C159" s="33"/>
      <x:c r="D159" s="33"/>
      <x:c r="E159" s="33"/>
      <x:c r="F159" s="33"/>
      <x:c r="G159" s="33"/>
      <x:c r="H159" s="74"/>
      <x:c r="I159" s="66"/>
    </x:row>
    <x:row r="160">
      <x:c r="A160" s="71"/>
      <x:c r="B160" s="33"/>
      <x:c r="C160" s="33"/>
      <x:c r="D160" s="33"/>
      <x:c r="E160" s="33"/>
      <x:c r="F160" s="33"/>
      <x:c r="G160" s="33"/>
      <x:c r="H160" s="74"/>
      <x:c r="I160" s="66"/>
    </x:row>
    <x:row r="161">
      <x:c r="A161" s="71"/>
      <x:c r="B161" s="33"/>
      <x:c r="C161" s="33"/>
      <x:c r="D161" s="33"/>
      <x:c r="E161" s="33"/>
      <x:c r="F161" s="33"/>
      <x:c r="G161" s="33"/>
      <x:c r="H161" s="74"/>
      <x:c r="I161" s="66"/>
    </x:row>
    <x:row r="162">
      <x:c r="A162" s="71"/>
      <x:c r="B162" s="33"/>
      <x:c r="C162" s="33"/>
      <x:c r="D162" s="33"/>
      <x:c r="E162" s="33"/>
      <x:c r="F162" s="33"/>
      <x:c r="G162" s="33"/>
      <x:c r="H162" s="74"/>
      <x:c r="I162" s="66"/>
    </x:row>
    <x:row r="163">
      <x:c r="A163" s="71"/>
      <x:c r="B163" s="33"/>
      <x:c r="C163" s="33"/>
      <x:c r="D163" s="33"/>
      <x:c r="E163" s="33"/>
      <x:c r="F163" s="33"/>
      <x:c r="G163" s="33"/>
      <x:c r="H163" s="74"/>
      <x:c r="I163" s="66"/>
    </x:row>
    <x:row r="164">
      <x:c r="A164" s="71"/>
      <x:c r="B164" s="33"/>
      <x:c r="C164" s="33"/>
      <x:c r="D164" s="33"/>
      <x:c r="E164" s="33"/>
      <x:c r="F164" s="33"/>
      <x:c r="G164" s="33"/>
      <x:c r="H164" s="74"/>
      <x:c r="I164" s="66"/>
    </x:row>
    <x:row r="165">
      <x:c r="A165" s="71"/>
      <x:c r="B165" s="33"/>
      <x:c r="C165" s="33"/>
      <x:c r="D165" s="33"/>
      <x:c r="E165" s="33"/>
      <x:c r="F165" s="33"/>
      <x:c r="G165" s="33"/>
      <x:c r="H165" s="74"/>
      <x:c r="I165" s="66"/>
    </x:row>
    <x:row r="166">
      <x:c r="A166" s="71"/>
      <x:c r="B166" s="33"/>
      <x:c r="C166" s="33"/>
      <x:c r="D166" s="33"/>
      <x:c r="E166" s="33"/>
      <x:c r="F166" s="33"/>
      <x:c r="G166" s="33"/>
      <x:c r="H166" s="74"/>
      <x:c r="I166" s="66"/>
    </x:row>
    <x:row r="167">
      <x:c r="A167" s="71"/>
      <x:c r="B167" s="33"/>
      <x:c r="C167" s="33"/>
      <x:c r="D167" s="33"/>
      <x:c r="E167" s="33"/>
      <x:c r="F167" s="33"/>
      <x:c r="G167" s="33"/>
      <x:c r="H167" s="74"/>
      <x:c r="I167" s="66"/>
    </x:row>
    <x:row r="168">
      <x:c r="A168" s="71"/>
      <x:c r="B168" s="33"/>
      <x:c r="C168" s="33"/>
      <x:c r="D168" s="33"/>
      <x:c r="E168" s="33"/>
      <x:c r="F168" s="33"/>
      <x:c r="G168" s="33"/>
      <x:c r="H168" s="74"/>
      <x:c r="I168" s="66"/>
    </x:row>
    <x:row r="169">
      <x:c r="A169" s="71"/>
      <x:c r="B169" s="33"/>
      <x:c r="C169" s="33"/>
      <x:c r="D169" s="33"/>
      <x:c r="E169" s="33"/>
      <x:c r="F169" s="33"/>
      <x:c r="G169" s="33"/>
      <x:c r="H169" s="74"/>
      <x:c r="I169" s="66"/>
    </x:row>
    <x:row r="170">
      <x:c r="A170" s="71"/>
      <x:c r="B170" s="33"/>
      <x:c r="C170" s="33"/>
      <x:c r="D170" s="33"/>
      <x:c r="E170" s="33"/>
      <x:c r="F170" s="33"/>
      <x:c r="G170" s="33"/>
      <x:c r="H170" s="74"/>
      <x:c r="I170" s="66"/>
    </x:row>
    <x:row r="171">
      <x:c r="A171" s="71"/>
      <x:c r="B171" s="33"/>
      <x:c r="C171" s="33"/>
      <x:c r="D171" s="33"/>
      <x:c r="E171" s="33"/>
      <x:c r="F171" s="33"/>
      <x:c r="G171" s="33"/>
      <x:c r="H171" s="74"/>
      <x:c r="I171" s="66"/>
    </x:row>
    <x:row r="172">
      <x:c r="A172" s="71"/>
      <x:c r="B172" s="33"/>
      <x:c r="C172" s="33"/>
      <x:c r="D172" s="33"/>
      <x:c r="E172" s="33"/>
      <x:c r="F172" s="33"/>
      <x:c r="G172" s="33"/>
      <x:c r="H172" s="74"/>
      <x:c r="I172" s="66"/>
    </x:row>
    <x:row r="173">
      <x:c r="A173" s="71"/>
      <x:c r="B173" s="33"/>
      <x:c r="C173" s="33"/>
      <x:c r="D173" s="33"/>
      <x:c r="E173" s="33"/>
      <x:c r="F173" s="33"/>
      <x:c r="G173" s="33"/>
      <x:c r="H173" s="74"/>
      <x:c r="I173" s="66"/>
    </x:row>
    <x:row r="174">
      <x:c r="A174" s="71"/>
      <x:c r="B174" s="33"/>
      <x:c r="C174" s="33"/>
      <x:c r="D174" s="33"/>
      <x:c r="E174" s="33"/>
      <x:c r="F174" s="33"/>
      <x:c r="G174" s="33"/>
      <x:c r="H174" s="74"/>
      <x:c r="I174" s="66"/>
    </x:row>
    <x:row r="175">
      <x:c r="A175" s="71"/>
      <x:c r="B175" s="33"/>
      <x:c r="C175" s="33"/>
      <x:c r="D175" s="33"/>
      <x:c r="E175" s="33"/>
      <x:c r="F175" s="33"/>
      <x:c r="G175" s="33"/>
      <x:c r="H175" s="74"/>
      <x:c r="I175" s="66"/>
    </x:row>
    <x:row r="176">
      <x:c r="A176" s="71"/>
      <x:c r="B176" s="33"/>
      <x:c r="C176" s="33"/>
      <x:c r="D176" s="33"/>
      <x:c r="E176" s="33"/>
      <x:c r="F176" s="33"/>
      <x:c r="G176" s="33"/>
      <x:c r="H176" s="74"/>
      <x:c r="I176" s="66"/>
    </x:row>
    <x:row r="177">
      <x:c r="A177" s="71"/>
      <x:c r="B177" s="33"/>
      <x:c r="C177" s="33"/>
      <x:c r="D177" s="33"/>
      <x:c r="E177" s="33"/>
      <x:c r="F177" s="33"/>
      <x:c r="G177" s="33"/>
      <x:c r="H177" s="74"/>
      <x:c r="I177" s="66"/>
    </x:row>
    <x:row r="178">
      <x:c r="A178" s="71"/>
      <x:c r="B178" s="33"/>
      <x:c r="C178" s="33"/>
      <x:c r="D178" s="33"/>
      <x:c r="E178" s="33"/>
      <x:c r="F178" s="33"/>
      <x:c r="G178" s="33"/>
      <x:c r="H178" s="74"/>
      <x:c r="I178" s="66"/>
    </x:row>
    <x:row r="179">
      <x:c r="A179" s="71"/>
      <x:c r="B179" s="33"/>
      <x:c r="C179" s="33"/>
      <x:c r="D179" s="33"/>
      <x:c r="E179" s="33"/>
      <x:c r="F179" s="33"/>
      <x:c r="G179" s="33"/>
      <x:c r="H179" s="74"/>
      <x:c r="I179" s="66"/>
    </x:row>
    <x:row r="180">
      <x:c r="A180" s="71"/>
      <x:c r="B180" s="33"/>
      <x:c r="C180" s="33"/>
      <x:c r="D180" s="33"/>
      <x:c r="E180" s="33"/>
      <x:c r="F180" s="33"/>
      <x:c r="G180" s="33"/>
      <x:c r="H180" s="74"/>
      <x:c r="I180" s="66"/>
    </x:row>
    <x:row r="181">
      <x:c r="A181" s="71"/>
      <x:c r="B181" s="33"/>
      <x:c r="C181" s="33"/>
      <x:c r="D181" s="33"/>
      <x:c r="E181" s="33"/>
      <x:c r="F181" s="33"/>
      <x:c r="G181" s="33"/>
      <x:c r="H181" s="74"/>
      <x:c r="I181" s="66"/>
    </x:row>
    <x:row r="182">
      <x:c r="A182" s="71"/>
      <x:c r="B182" s="33"/>
      <x:c r="C182" s="33"/>
      <x:c r="D182" s="33"/>
      <x:c r="E182" s="33"/>
      <x:c r="F182" s="33"/>
      <x:c r="G182" s="33"/>
      <x:c r="H182" s="74"/>
      <x:c r="I182" s="66"/>
    </x:row>
    <x:row r="183">
      <x:c r="A183" s="71"/>
      <x:c r="B183" s="33"/>
      <x:c r="C183" s="33"/>
      <x:c r="D183" s="33"/>
      <x:c r="E183" s="33"/>
      <x:c r="F183" s="33"/>
      <x:c r="G183" s="33"/>
      <x:c r="H183" s="74"/>
      <x:c r="I183" s="66"/>
    </x:row>
    <x:row r="184">
      <x:c r="A184" s="71"/>
      <x:c r="B184" s="33"/>
      <x:c r="C184" s="33"/>
      <x:c r="D184" s="33"/>
      <x:c r="E184" s="33"/>
      <x:c r="F184" s="33"/>
      <x:c r="G184" s="33"/>
      <x:c r="H184" s="74"/>
      <x:c r="I184" s="66"/>
    </x:row>
    <x:row r="185">
      <x:c r="A185" s="71"/>
      <x:c r="B185" s="33"/>
      <x:c r="C185" s="33"/>
      <x:c r="D185" s="33"/>
      <x:c r="E185" s="33"/>
      <x:c r="F185" s="33"/>
      <x:c r="G185" s="33"/>
      <x:c r="H185" s="74"/>
      <x:c r="I185" s="66"/>
    </x:row>
    <x:row r="186">
      <x:c r="A186" s="71"/>
      <x:c r="B186" s="33"/>
      <x:c r="C186" s="33"/>
      <x:c r="D186" s="33"/>
      <x:c r="E186" s="33"/>
      <x:c r="F186" s="33"/>
      <x:c r="G186" s="33"/>
      <x:c r="H186" s="74"/>
      <x:c r="I186" s="66"/>
    </x:row>
    <x:row r="187">
      <x:c r="A187" s="71"/>
      <x:c r="B187" s="33"/>
      <x:c r="C187" s="33"/>
      <x:c r="D187" s="33"/>
      <x:c r="E187" s="33"/>
      <x:c r="F187" s="33"/>
      <x:c r="G187" s="33"/>
      <x:c r="H187" s="74"/>
      <x:c r="I187" s="66"/>
    </x:row>
    <x:row r="188">
      <x:c r="A188" s="71"/>
      <x:c r="B188" s="33"/>
      <x:c r="C188" s="33"/>
      <x:c r="D188" s="33"/>
      <x:c r="E188" s="33"/>
      <x:c r="F188" s="33"/>
      <x:c r="G188" s="33"/>
      <x:c r="H188" s="74"/>
      <x:c r="I188" s="66"/>
    </x:row>
    <x:row r="189">
      <x:c r="A189" s="71"/>
      <x:c r="B189" s="33"/>
      <x:c r="C189" s="33"/>
      <x:c r="D189" s="33"/>
      <x:c r="E189" s="33"/>
      <x:c r="F189" s="33"/>
      <x:c r="G189" s="33"/>
      <x:c r="H189" s="74"/>
      <x:c r="I189" s="66"/>
    </x:row>
    <x:row r="190">
      <x:c r="A190" s="71"/>
      <x:c r="B190" s="33"/>
      <x:c r="C190" s="33"/>
      <x:c r="D190" s="33"/>
      <x:c r="E190" s="33"/>
      <x:c r="F190" s="33"/>
      <x:c r="G190" s="33"/>
      <x:c r="H190" s="74"/>
      <x:c r="I190" s="66"/>
    </x:row>
    <x:row r="191">
      <x:c r="A191" s="71"/>
      <x:c r="B191" s="33"/>
      <x:c r="C191" s="33"/>
      <x:c r="D191" s="33"/>
      <x:c r="E191" s="33"/>
      <x:c r="F191" s="33"/>
      <x:c r="G191" s="33"/>
      <x:c r="H191" s="74"/>
      <x:c r="I191" s="66"/>
    </x:row>
    <x:row r="192">
      <x:c r="A192" s="71"/>
      <x:c r="B192" s="33"/>
      <x:c r="C192" s="33"/>
      <x:c r="D192" s="33"/>
      <x:c r="E192" s="33"/>
      <x:c r="F192" s="33"/>
      <x:c r="G192" s="33"/>
      <x:c r="H192" s="74"/>
      <x:c r="I192" s="66"/>
    </x:row>
    <x:row r="193">
      <x:c r="A193" s="71"/>
      <x:c r="B193" s="33"/>
      <x:c r="C193" s="33"/>
      <x:c r="D193" s="33"/>
      <x:c r="E193" s="33"/>
      <x:c r="F193" s="33"/>
      <x:c r="G193" s="33"/>
      <x:c r="H193" s="74"/>
      <x:c r="I193" s="66"/>
    </x:row>
    <x:row r="194">
      <x:c r="A194" s="71"/>
      <x:c r="B194" s="33"/>
      <x:c r="C194" s="33"/>
      <x:c r="D194" s="33"/>
      <x:c r="E194" s="33"/>
      <x:c r="F194" s="33"/>
      <x:c r="G194" s="33"/>
      <x:c r="H194" s="74"/>
      <x:c r="I194" s="66"/>
    </x:row>
    <x:row r="195">
      <x:c r="A195" s="71"/>
      <x:c r="B195" s="33"/>
      <x:c r="C195" s="33"/>
      <x:c r="D195" s="33"/>
      <x:c r="E195" s="33"/>
      <x:c r="F195" s="33"/>
      <x:c r="G195" s="33"/>
      <x:c r="H195" s="74"/>
      <x:c r="I195" s="66"/>
    </x:row>
    <x:row r="196">
      <x:c r="A196" s="71"/>
      <x:c r="B196" s="33"/>
      <x:c r="C196" s="33"/>
      <x:c r="D196" s="33"/>
      <x:c r="E196" s="33"/>
      <x:c r="F196" s="33"/>
      <x:c r="G196" s="33"/>
      <x:c r="H196" s="74"/>
      <x:c r="I196" s="66"/>
    </x:row>
    <x:row r="197">
      <x:c r="A197" s="71"/>
      <x:c r="B197" s="33"/>
      <x:c r="C197" s="33"/>
      <x:c r="D197" s="33"/>
      <x:c r="E197" s="33"/>
      <x:c r="F197" s="33"/>
      <x:c r="G197" s="33"/>
      <x:c r="H197" s="74"/>
      <x:c r="I197" s="66"/>
    </x:row>
    <x:row r="198">
      <x:c r="A198" s="71"/>
      <x:c r="B198" s="33"/>
      <x:c r="C198" s="33"/>
      <x:c r="D198" s="33"/>
      <x:c r="E198" s="33"/>
      <x:c r="F198" s="33"/>
      <x:c r="G198" s="33"/>
      <x:c r="H198" s="74"/>
      <x:c r="I198" s="66"/>
    </x:row>
    <x:row r="199">
      <x:c r="A199" s="71"/>
      <x:c r="B199" s="33"/>
      <x:c r="C199" s="33"/>
      <x:c r="D199" s="33"/>
      <x:c r="E199" s="33"/>
      <x:c r="F199" s="33"/>
      <x:c r="G199" s="33"/>
      <x:c r="H199" s="74"/>
      <x:c r="I199" s="66"/>
    </x:row>
    <x:row r="200">
      <x:c r="A200" s="71"/>
      <x:c r="B200" s="33"/>
      <x:c r="C200" s="33"/>
      <x:c r="D200" s="33"/>
      <x:c r="E200" s="33"/>
      <x:c r="F200" s="33"/>
      <x:c r="G200" s="33"/>
      <x:c r="H200" s="74"/>
      <x:c r="I200" s="66"/>
    </x:row>
    <x:row r="201">
      <x:c r="A201" s="71"/>
      <x:c r="B201" s="33"/>
      <x:c r="C201" s="33"/>
      <x:c r="D201" s="33"/>
      <x:c r="E201" s="33"/>
      <x:c r="F201" s="33"/>
      <x:c r="G201" s="33"/>
      <x:c r="H201" s="74"/>
      <x:c r="I201" s="66"/>
    </x:row>
    <x:row r="202">
      <x:c r="A202" s="71"/>
      <x:c r="B202" s="33"/>
      <x:c r="C202" s="33"/>
      <x:c r="D202" s="33"/>
      <x:c r="E202" s="33"/>
      <x:c r="F202" s="33"/>
      <x:c r="G202" s="33"/>
      <x:c r="H202" s="74"/>
      <x:c r="I202" s="66"/>
    </x:row>
    <x:row r="203">
      <x:c r="A203" s="71"/>
      <x:c r="B203" s="33"/>
      <x:c r="C203" s="33"/>
      <x:c r="D203" s="33"/>
      <x:c r="E203" s="33"/>
      <x:c r="F203" s="33"/>
      <x:c r="G203" s="33"/>
      <x:c r="H203" s="74"/>
      <x:c r="I203" s="66"/>
    </x:row>
    <x:row r="204">
      <x:c r="A204" s="71"/>
      <x:c r="B204" s="33"/>
      <x:c r="C204" s="33"/>
      <x:c r="D204" s="33"/>
      <x:c r="E204" s="33"/>
      <x:c r="F204" s="33"/>
      <x:c r="G204" s="33"/>
      <x:c r="H204" s="74"/>
      <x:c r="I204" s="66"/>
    </x:row>
    <x:row r="205">
      <x:c r="A205" s="71"/>
      <x:c r="B205" s="33"/>
      <x:c r="C205" s="33"/>
      <x:c r="D205" s="33"/>
      <x:c r="E205" s="33"/>
      <x:c r="F205" s="33"/>
      <x:c r="G205" s="33"/>
      <x:c r="H205" s="74"/>
      <x:c r="I205" s="66"/>
    </x:row>
    <x:row r="206">
      <x:c r="A206" s="71"/>
      <x:c r="B206" s="33"/>
      <x:c r="C206" s="33"/>
      <x:c r="D206" s="33"/>
      <x:c r="E206" s="33"/>
      <x:c r="F206" s="33"/>
      <x:c r="G206" s="33"/>
      <x:c r="H206" s="74"/>
      <x:c r="I206" s="66"/>
    </x:row>
    <x:row r="207">
      <x:c r="A207" s="71"/>
      <x:c r="B207" s="33"/>
      <x:c r="C207" s="33"/>
      <x:c r="D207" s="33"/>
      <x:c r="E207" s="33"/>
      <x:c r="F207" s="33"/>
      <x:c r="G207" s="33"/>
      <x:c r="H207" s="74"/>
      <x:c r="I207" s="66"/>
    </x:row>
    <x:row r="208">
      <x:c r="A208" s="71"/>
      <x:c r="B208" s="33"/>
      <x:c r="C208" s="33"/>
      <x:c r="D208" s="33"/>
      <x:c r="E208" s="33"/>
      <x:c r="F208" s="33"/>
      <x:c r="G208" s="33"/>
      <x:c r="H208" s="74"/>
      <x:c r="I208" s="66"/>
    </x:row>
    <x:row r="209">
      <x:c r="A209" s="71"/>
      <x:c r="B209" s="33"/>
      <x:c r="C209" s="33"/>
      <x:c r="D209" s="33"/>
      <x:c r="E209" s="33"/>
      <x:c r="F209" s="33"/>
      <x:c r="G209" s="33"/>
      <x:c r="H209" s="74"/>
      <x:c r="I209" s="66"/>
    </x:row>
    <x:row r="210">
      <x:c r="A210" s="71"/>
      <x:c r="B210" s="33"/>
      <x:c r="C210" s="33"/>
      <x:c r="D210" s="33"/>
      <x:c r="E210" s="33"/>
      <x:c r="F210" s="33"/>
      <x:c r="G210" s="33"/>
      <x:c r="H210" s="74"/>
      <x:c r="I210" s="66"/>
    </x:row>
    <x:row r="211">
      <x:c r="A211" s="71"/>
      <x:c r="B211" s="33"/>
      <x:c r="C211" s="33"/>
      <x:c r="D211" s="33"/>
      <x:c r="E211" s="33"/>
      <x:c r="F211" s="33"/>
      <x:c r="G211" s="33"/>
      <x:c r="H211" s="74"/>
      <x:c r="I211" s="66"/>
    </x:row>
    <x:row r="212">
      <x:c r="A212" s="71"/>
      <x:c r="B212" s="33"/>
      <x:c r="C212" s="33"/>
      <x:c r="D212" s="33"/>
      <x:c r="E212" s="33"/>
      <x:c r="F212" s="33"/>
      <x:c r="G212" s="33"/>
      <x:c r="H212" s="74"/>
      <x:c r="I212" s="66"/>
    </x:row>
    <x:row r="213">
      <x:c r="A213" s="71"/>
      <x:c r="B213" s="33"/>
      <x:c r="C213" s="33"/>
      <x:c r="D213" s="33"/>
      <x:c r="E213" s="33"/>
      <x:c r="F213" s="33"/>
      <x:c r="G213" s="33"/>
      <x:c r="H213" s="74"/>
      <x:c r="I213" s="66"/>
    </x:row>
    <x:row r="214">
      <x:c r="A214" s="71"/>
      <x:c r="B214" s="33"/>
      <x:c r="C214" s="33"/>
      <x:c r="D214" s="33"/>
      <x:c r="E214" s="33"/>
      <x:c r="F214" s="33"/>
      <x:c r="G214" s="33"/>
      <x:c r="H214" s="74"/>
      <x:c r="I214" s="66"/>
    </x:row>
    <x:row r="215">
      <x:c r="A215" s="71"/>
      <x:c r="B215" s="33"/>
      <x:c r="C215" s="33"/>
      <x:c r="D215" s="33"/>
      <x:c r="E215" s="33"/>
      <x:c r="F215" s="33"/>
      <x:c r="G215" s="33"/>
      <x:c r="H215" s="74"/>
      <x:c r="I215" s="66"/>
    </x:row>
    <x:row r="216">
      <x:c r="A216" s="71"/>
      <x:c r="B216" s="33"/>
      <x:c r="C216" s="33"/>
      <x:c r="D216" s="33"/>
      <x:c r="E216" s="33"/>
      <x:c r="F216" s="33"/>
      <x:c r="G216" s="33"/>
      <x:c r="H216" s="74"/>
      <x:c r="I216" s="66"/>
    </x:row>
    <x:row r="217">
      <x:c r="A217" s="71"/>
      <x:c r="B217" s="33"/>
      <x:c r="C217" s="33"/>
      <x:c r="D217" s="33"/>
      <x:c r="E217" s="33"/>
      <x:c r="F217" s="33"/>
      <x:c r="G217" s="33"/>
      <x:c r="H217" s="74"/>
      <x:c r="I217" s="66"/>
    </x:row>
    <x:row r="218">
      <x:c r="A218" s="71"/>
      <x:c r="B218" s="33"/>
      <x:c r="C218" s="33"/>
      <x:c r="D218" s="33"/>
      <x:c r="E218" s="33"/>
      <x:c r="F218" s="33"/>
      <x:c r="G218" s="33"/>
      <x:c r="H218" s="74"/>
      <x:c r="I218" s="66"/>
    </x:row>
    <x:row r="219">
      <x:c r="A219" s="71"/>
      <x:c r="B219" s="33"/>
      <x:c r="C219" s="33"/>
      <x:c r="D219" s="33"/>
      <x:c r="E219" s="33"/>
      <x:c r="F219" s="33"/>
      <x:c r="G219" s="33"/>
      <x:c r="H219" s="74"/>
      <x:c r="I219" s="66"/>
    </x:row>
    <x:row r="220">
      <x:c r="A220" s="71"/>
      <x:c r="B220" s="33"/>
      <x:c r="C220" s="33"/>
      <x:c r="D220" s="33"/>
      <x:c r="E220" s="33"/>
      <x:c r="F220" s="33"/>
      <x:c r="G220" s="33"/>
      <x:c r="H220" s="74"/>
      <x:c r="I220" s="66"/>
    </x:row>
    <x:row r="221">
      <x:c r="A221" s="71"/>
      <x:c r="B221" s="33"/>
      <x:c r="C221" s="33"/>
      <x:c r="D221" s="33"/>
      <x:c r="E221" s="33"/>
      <x:c r="F221" s="33"/>
      <x:c r="G221" s="33"/>
      <x:c r="H221" s="74"/>
      <x:c r="I221" s="66"/>
    </x:row>
    <x:row r="222">
      <x:c r="A222" s="71"/>
      <x:c r="B222" s="33"/>
      <x:c r="C222" s="33"/>
      <x:c r="D222" s="33"/>
      <x:c r="E222" s="33"/>
      <x:c r="F222" s="33"/>
      <x:c r="G222" s="33"/>
      <x:c r="H222" s="74"/>
      <x:c r="I222" s="66"/>
    </x:row>
    <x:row r="223">
      <x:c r="A223" s="71"/>
      <x:c r="B223" s="33"/>
      <x:c r="C223" s="33"/>
      <x:c r="D223" s="33"/>
      <x:c r="E223" s="33"/>
      <x:c r="F223" s="33"/>
      <x:c r="G223" s="33"/>
      <x:c r="H223" s="74"/>
      <x:c r="I223" s="66"/>
    </x:row>
    <x:row r="224">
      <x:c r="A224" s="71"/>
      <x:c r="B224" s="33"/>
      <x:c r="C224" s="33"/>
      <x:c r="D224" s="33"/>
      <x:c r="E224" s="33"/>
      <x:c r="F224" s="33"/>
      <x:c r="G224" s="33"/>
      <x:c r="H224" s="74"/>
      <x:c r="I224" s="66"/>
    </x:row>
    <x:row r="225">
      <x:c r="A225" s="71"/>
      <x:c r="B225" s="33"/>
      <x:c r="C225" s="33"/>
      <x:c r="D225" s="33"/>
      <x:c r="E225" s="33"/>
      <x:c r="F225" s="33"/>
      <x:c r="G225" s="33"/>
      <x:c r="H225" s="74"/>
      <x:c r="I225" s="66"/>
    </x:row>
    <x:row r="226">
      <x:c r="A226" s="71"/>
      <x:c r="B226" s="33"/>
      <x:c r="C226" s="33"/>
      <x:c r="D226" s="33"/>
      <x:c r="E226" s="33"/>
      <x:c r="F226" s="33"/>
      <x:c r="G226" s="33"/>
      <x:c r="H226" s="74"/>
      <x:c r="I226" s="66"/>
    </x:row>
    <x:row r="227">
      <x:c r="A227" s="71"/>
      <x:c r="B227" s="33"/>
      <x:c r="C227" s="33"/>
      <x:c r="D227" s="33"/>
      <x:c r="E227" s="33"/>
      <x:c r="F227" s="33"/>
      <x:c r="G227" s="33"/>
      <x:c r="H227" s="74"/>
      <x:c r="I227" s="66"/>
    </x:row>
    <x:row r="228">
      <x:c r="A228" s="71"/>
      <x:c r="B228" s="33"/>
      <x:c r="C228" s="33"/>
      <x:c r="D228" s="33"/>
      <x:c r="E228" s="33"/>
      <x:c r="F228" s="33"/>
      <x:c r="G228" s="33"/>
      <x:c r="H228" s="74"/>
      <x:c r="I228" s="66"/>
    </x:row>
    <x:row r="229">
      <x:c r="A229" s="71"/>
      <x:c r="B229" s="33"/>
      <x:c r="C229" s="33"/>
      <x:c r="D229" s="33"/>
      <x:c r="E229" s="33"/>
      <x:c r="F229" s="33"/>
      <x:c r="G229" s="33"/>
      <x:c r="H229" s="74"/>
      <x:c r="I229" s="66"/>
    </x:row>
    <x:row r="230">
      <x:c r="A230" s="71"/>
      <x:c r="B230" s="33"/>
      <x:c r="C230" s="33"/>
      <x:c r="D230" s="33"/>
      <x:c r="E230" s="33"/>
      <x:c r="F230" s="33"/>
      <x:c r="G230" s="33"/>
      <x:c r="H230" s="74"/>
      <x:c r="I230" s="66"/>
    </x:row>
    <x:row r="231">
      <x:c r="A231" s="71"/>
      <x:c r="B231" s="33"/>
      <x:c r="C231" s="33"/>
      <x:c r="D231" s="33"/>
      <x:c r="E231" s="33"/>
      <x:c r="F231" s="33"/>
      <x:c r="G231" s="33"/>
      <x:c r="H231" s="74"/>
      <x:c r="I231" s="66"/>
    </x:row>
    <x:row r="232">
      <x:c r="A232" s="71"/>
      <x:c r="B232" s="33"/>
      <x:c r="C232" s="33"/>
      <x:c r="D232" s="33"/>
      <x:c r="E232" s="33"/>
      <x:c r="F232" s="33"/>
      <x:c r="G232" s="33"/>
      <x:c r="H232" s="74"/>
      <x:c r="I232" s="66"/>
    </x:row>
    <x:row r="233">
      <x:c r="A233" s="71"/>
      <x:c r="B233" s="33"/>
      <x:c r="C233" s="33"/>
      <x:c r="D233" s="33"/>
      <x:c r="E233" s="33"/>
      <x:c r="F233" s="33"/>
      <x:c r="G233" s="33"/>
      <x:c r="H233" s="74"/>
      <x:c r="I233" s="66"/>
    </x:row>
    <x:row r="234">
      <x:c r="A234" s="71"/>
      <x:c r="B234" s="33"/>
      <x:c r="C234" s="33"/>
      <x:c r="D234" s="33"/>
      <x:c r="E234" s="33"/>
      <x:c r="F234" s="33"/>
      <x:c r="G234" s="33"/>
      <x:c r="H234" s="74"/>
      <x:c r="I234" s="66"/>
    </x:row>
    <x:row r="235">
      <x:c r="A235" s="71"/>
      <x:c r="B235" s="33"/>
      <x:c r="C235" s="33"/>
      <x:c r="D235" s="33"/>
      <x:c r="E235" s="33"/>
      <x:c r="F235" s="33"/>
      <x:c r="G235" s="33"/>
      <x:c r="H235" s="74"/>
      <x:c r="I235" s="66"/>
    </x:row>
    <x:row r="236">
      <x:c r="A236" s="71"/>
      <x:c r="B236" s="33"/>
      <x:c r="C236" s="33"/>
      <x:c r="D236" s="33"/>
      <x:c r="E236" s="33"/>
      <x:c r="F236" s="33"/>
      <x:c r="G236" s="33"/>
      <x:c r="H236" s="74"/>
      <x:c r="I236" s="66"/>
    </x:row>
    <x:row r="237">
      <x:c r="A237" s="71"/>
      <x:c r="B237" s="33"/>
      <x:c r="C237" s="33"/>
      <x:c r="D237" s="33"/>
      <x:c r="E237" s="33"/>
      <x:c r="F237" s="33"/>
      <x:c r="G237" s="33"/>
      <x:c r="H237" s="74"/>
      <x:c r="I237" s="66"/>
    </x:row>
    <x:row r="238">
      <x:c r="A238" s="71"/>
      <x:c r="B238" s="33"/>
      <x:c r="C238" s="33"/>
      <x:c r="D238" s="33"/>
      <x:c r="E238" s="33"/>
      <x:c r="F238" s="33"/>
      <x:c r="G238" s="33"/>
      <x:c r="H238" s="74"/>
      <x:c r="I238" s="66"/>
    </x:row>
    <x:row r="239">
      <x:c r="A239" s="71"/>
      <x:c r="B239" s="33"/>
      <x:c r="C239" s="33"/>
      <x:c r="D239" s="33"/>
      <x:c r="E239" s="33"/>
      <x:c r="F239" s="33"/>
      <x:c r="G239" s="33"/>
      <x:c r="H239" s="74"/>
      <x:c r="I239" s="66"/>
    </x:row>
    <x:row r="240">
      <x:c r="A240" s="71"/>
      <x:c r="B240" s="33"/>
      <x:c r="C240" s="33"/>
      <x:c r="D240" s="33"/>
      <x:c r="E240" s="33"/>
      <x:c r="F240" s="33"/>
      <x:c r="G240" s="33"/>
      <x:c r="H240" s="74"/>
      <x:c r="I240" s="66"/>
    </x:row>
    <x:row r="241">
      <x:c r="A241" s="71"/>
      <x:c r="B241" s="33"/>
      <x:c r="C241" s="33"/>
      <x:c r="D241" s="33"/>
      <x:c r="E241" s="33"/>
      <x:c r="F241" s="33"/>
      <x:c r="G241" s="33"/>
      <x:c r="H241" s="74"/>
      <x:c r="I241" s="66"/>
    </x:row>
    <x:row r="242">
      <x:c r="A242" s="71"/>
      <x:c r="B242" s="33"/>
      <x:c r="C242" s="33"/>
      <x:c r="D242" s="33"/>
      <x:c r="E242" s="33"/>
      <x:c r="F242" s="33"/>
      <x:c r="G242" s="33"/>
      <x:c r="H242" s="74"/>
      <x:c r="I242" s="66"/>
    </x:row>
    <x:row r="243">
      <x:c r="A243" s="71"/>
      <x:c r="B243" s="33"/>
      <x:c r="C243" s="33"/>
      <x:c r="D243" s="33"/>
      <x:c r="E243" s="33"/>
      <x:c r="F243" s="33"/>
      <x:c r="G243" s="33"/>
      <x:c r="H243" s="74"/>
      <x:c r="I243" s="66"/>
    </x:row>
    <x:row r="244">
      <x:c r="A244" s="71"/>
      <x:c r="B244" s="33"/>
      <x:c r="C244" s="33"/>
      <x:c r="D244" s="33"/>
      <x:c r="E244" s="33"/>
      <x:c r="F244" s="33"/>
      <x:c r="G244" s="33"/>
      <x:c r="H244" s="74"/>
      <x:c r="I244" s="66"/>
    </x:row>
    <x:row r="245">
      <x:c r="A245" s="71"/>
      <x:c r="B245" s="33"/>
      <x:c r="C245" s="33"/>
      <x:c r="D245" s="33"/>
      <x:c r="E245" s="33"/>
      <x:c r="F245" s="33"/>
      <x:c r="G245" s="33"/>
      <x:c r="H245" s="74"/>
      <x:c r="I245" s="66"/>
    </x:row>
    <x:row r="246">
      <x:c r="A246" s="71"/>
      <x:c r="B246" s="33"/>
      <x:c r="C246" s="33"/>
      <x:c r="D246" s="33"/>
      <x:c r="E246" s="33"/>
      <x:c r="F246" s="33"/>
      <x:c r="G246" s="33"/>
      <x:c r="H246" s="74"/>
      <x:c r="I246" s="66"/>
    </x:row>
    <x:row r="247">
      <x:c r="A247" s="71"/>
      <x:c r="B247" s="33"/>
      <x:c r="C247" s="33"/>
      <x:c r="D247" s="33"/>
      <x:c r="E247" s="33"/>
      <x:c r="F247" s="33"/>
      <x:c r="G247" s="33"/>
      <x:c r="H247" s="74"/>
      <x:c r="I247" s="66"/>
    </x:row>
    <x:row r="248">
      <x:c r="A248" s="71"/>
      <x:c r="B248" s="33"/>
      <x:c r="C248" s="33"/>
      <x:c r="D248" s="33"/>
      <x:c r="E248" s="33"/>
      <x:c r="F248" s="33"/>
      <x:c r="G248" s="33"/>
      <x:c r="H248" s="74"/>
      <x:c r="I248" s="66"/>
    </x:row>
    <x:row r="249">
      <x:c r="A249" s="71"/>
      <x:c r="B249" s="33"/>
      <x:c r="C249" s="33"/>
      <x:c r="D249" s="33"/>
      <x:c r="E249" s="33"/>
      <x:c r="F249" s="33"/>
      <x:c r="G249" s="33"/>
      <x:c r="H249" s="74"/>
      <x:c r="I249" s="66"/>
    </x:row>
    <x:row r="250">
      <x:c r="A250" s="71"/>
      <x:c r="B250" s="33"/>
      <x:c r="C250" s="33"/>
      <x:c r="D250" s="33"/>
      <x:c r="E250" s="33"/>
      <x:c r="F250" s="33"/>
      <x:c r="G250" s="33"/>
      <x:c r="H250" s="74"/>
      <x:c r="I250" s="66"/>
    </x:row>
    <x:row r="251">
      <x:c r="A251" s="71"/>
      <x:c r="B251" s="33"/>
      <x:c r="C251" s="33"/>
      <x:c r="D251" s="33"/>
      <x:c r="E251" s="33"/>
      <x:c r="F251" s="33"/>
      <x:c r="G251" s="33"/>
      <x:c r="H251" s="74"/>
      <x:c r="I251" s="66"/>
    </x:row>
    <x:row r="252">
      <x:c r="A252" s="71"/>
      <x:c r="B252" s="33"/>
      <x:c r="C252" s="33"/>
      <x:c r="D252" s="33"/>
      <x:c r="E252" s="33"/>
      <x:c r="F252" s="33"/>
      <x:c r="G252" s="33"/>
      <x:c r="H252" s="74"/>
      <x:c r="I252" s="66"/>
    </x:row>
    <x:row r="253">
      <x:c r="A253" s="71"/>
      <x:c r="B253" s="33"/>
      <x:c r="C253" s="33"/>
      <x:c r="D253" s="33"/>
      <x:c r="E253" s="33"/>
      <x:c r="F253" s="33"/>
      <x:c r="G253" s="33"/>
      <x:c r="H253" s="74"/>
      <x:c r="I253" s="66"/>
    </x:row>
    <x:row r="254">
      <x:c r="A254" s="71"/>
      <x:c r="B254" s="33"/>
      <x:c r="C254" s="33"/>
      <x:c r="D254" s="33"/>
      <x:c r="E254" s="33"/>
      <x:c r="F254" s="33"/>
      <x:c r="G254" s="33"/>
      <x:c r="H254" s="74"/>
      <x:c r="I254" s="66"/>
    </x:row>
    <x:row r="255">
      <x:c r="A255" s="71"/>
      <x:c r="B255" s="33"/>
      <x:c r="C255" s="33"/>
      <x:c r="D255" s="33"/>
      <x:c r="E255" s="33"/>
      <x:c r="F255" s="33"/>
      <x:c r="G255" s="33"/>
      <x:c r="H255" s="74"/>
      <x:c r="I255" s="66"/>
    </x:row>
    <x:row r="256">
      <x:c r="A256" s="71"/>
      <x:c r="B256" s="33"/>
      <x:c r="C256" s="33"/>
      <x:c r="D256" s="33"/>
      <x:c r="E256" s="33"/>
      <x:c r="F256" s="33"/>
      <x:c r="G256" s="33"/>
      <x:c r="H256" s="74"/>
      <x:c r="I256" s="66"/>
    </x:row>
    <x:row r="257">
      <x:c r="A257" s="71"/>
      <x:c r="B257" s="33"/>
      <x:c r="C257" s="33"/>
      <x:c r="D257" s="33"/>
      <x:c r="E257" s="33"/>
      <x:c r="F257" s="33"/>
      <x:c r="G257" s="33"/>
      <x:c r="H257" s="74"/>
      <x:c r="I257" s="66"/>
    </x:row>
    <x:row r="258">
      <x:c r="A258" s="71"/>
      <x:c r="B258" s="33"/>
      <x:c r="C258" s="33"/>
      <x:c r="D258" s="33"/>
      <x:c r="E258" s="33"/>
      <x:c r="F258" s="33"/>
      <x:c r="G258" s="33"/>
      <x:c r="H258" s="74"/>
      <x:c r="I258" s="66"/>
    </x:row>
    <x:row r="259">
      <x:c r="A259" s="71"/>
      <x:c r="B259" s="33"/>
      <x:c r="C259" s="33"/>
      <x:c r="D259" s="33"/>
      <x:c r="E259" s="33"/>
      <x:c r="F259" s="33"/>
      <x:c r="G259" s="33"/>
      <x:c r="H259" s="74"/>
      <x:c r="I259" s="66"/>
    </x:row>
    <x:row r="260">
      <x:c r="A260" s="71"/>
      <x:c r="B260" s="33"/>
      <x:c r="C260" s="33"/>
      <x:c r="D260" s="33"/>
      <x:c r="E260" s="33"/>
      <x:c r="F260" s="33"/>
      <x:c r="G260" s="33"/>
      <x:c r="H260" s="74"/>
      <x:c r="I260" s="66"/>
    </x:row>
    <x:row r="261">
      <x:c r="A261" s="71"/>
      <x:c r="B261" s="33"/>
      <x:c r="C261" s="33"/>
      <x:c r="D261" s="33"/>
      <x:c r="E261" s="33"/>
      <x:c r="F261" s="33"/>
      <x:c r="G261" s="33"/>
      <x:c r="H261" s="74"/>
      <x:c r="I261" s="66"/>
    </x:row>
    <x:row r="262">
      <x:c r="A262" s="71"/>
      <x:c r="B262" s="33"/>
      <x:c r="C262" s="33"/>
      <x:c r="D262" s="33"/>
      <x:c r="E262" s="33"/>
      <x:c r="F262" s="33"/>
      <x:c r="G262" s="33"/>
      <x:c r="H262" s="74"/>
      <x:c r="I262" s="66"/>
    </x:row>
    <x:row r="263">
      <x:c r="A263" s="71"/>
      <x:c r="B263" s="33"/>
      <x:c r="C263" s="33"/>
      <x:c r="D263" s="33"/>
      <x:c r="E263" s="33"/>
      <x:c r="F263" s="33"/>
      <x:c r="G263" s="33"/>
      <x:c r="H263" s="74"/>
      <x:c r="I263" s="66"/>
    </x:row>
    <x:row r="264">
      <x:c r="A264" s="71"/>
      <x:c r="B264" s="33"/>
      <x:c r="C264" s="33"/>
      <x:c r="D264" s="33"/>
      <x:c r="E264" s="33"/>
      <x:c r="F264" s="33"/>
      <x:c r="G264" s="33"/>
      <x:c r="H264" s="74"/>
      <x:c r="I264" s="66"/>
    </x:row>
    <x:row r="265">
      <x:c r="A265" s="71"/>
      <x:c r="B265" s="33"/>
      <x:c r="C265" s="33"/>
      <x:c r="D265" s="33"/>
      <x:c r="E265" s="33"/>
      <x:c r="F265" s="33"/>
      <x:c r="G265" s="33"/>
      <x:c r="H265" s="74"/>
      <x:c r="I265" s="66"/>
    </x:row>
    <x:row r="266">
      <x:c r="A266" s="71"/>
      <x:c r="B266" s="33"/>
      <x:c r="C266" s="33"/>
      <x:c r="D266" s="33"/>
      <x:c r="E266" s="33"/>
      <x:c r="F266" s="33"/>
      <x:c r="G266" s="33"/>
      <x:c r="H266" s="74"/>
      <x:c r="I266" s="66"/>
    </x:row>
    <x:row r="267">
      <x:c r="A267" s="71"/>
      <x:c r="B267" s="33"/>
      <x:c r="C267" s="33"/>
      <x:c r="D267" s="33"/>
      <x:c r="E267" s="33"/>
      <x:c r="F267" s="33"/>
      <x:c r="G267" s="33"/>
      <x:c r="H267" s="74"/>
      <x:c r="I267" s="66"/>
    </x:row>
    <x:row r="268">
      <x:c r="A268" s="71"/>
      <x:c r="B268" s="33"/>
      <x:c r="C268" s="33"/>
      <x:c r="D268" s="33"/>
      <x:c r="E268" s="33"/>
      <x:c r="F268" s="33"/>
      <x:c r="G268" s="33"/>
      <x:c r="H268" s="74"/>
      <x:c r="I268" s="66"/>
    </x:row>
    <x:row r="269">
      <x:c r="A269" s="71"/>
      <x:c r="B269" s="33"/>
      <x:c r="C269" s="33"/>
      <x:c r="D269" s="33"/>
      <x:c r="E269" s="33"/>
      <x:c r="F269" s="33"/>
      <x:c r="G269" s="33"/>
      <x:c r="H269" s="74"/>
      <x:c r="I269" s="66"/>
    </x:row>
    <x:row r="270">
      <x:c r="A270" s="71"/>
      <x:c r="B270" s="33"/>
      <x:c r="C270" s="33"/>
      <x:c r="D270" s="33"/>
      <x:c r="E270" s="33"/>
      <x:c r="F270" s="33"/>
      <x:c r="G270" s="33"/>
      <x:c r="H270" s="74"/>
      <x:c r="I270" s="66"/>
    </x:row>
    <x:row r="271">
      <x:c r="A271" s="71"/>
      <x:c r="B271" s="33"/>
      <x:c r="C271" s="33"/>
      <x:c r="D271" s="33"/>
      <x:c r="E271" s="33"/>
      <x:c r="F271" s="33"/>
      <x:c r="G271" s="33"/>
      <x:c r="H271" s="74"/>
      <x:c r="I271" s="66"/>
    </x:row>
    <x:row r="272">
      <x:c r="A272" s="71"/>
      <x:c r="B272" s="33"/>
      <x:c r="C272" s="33"/>
      <x:c r="D272" s="33"/>
      <x:c r="E272" s="33"/>
      <x:c r="F272" s="33"/>
      <x:c r="G272" s="33"/>
      <x:c r="H272" s="74"/>
      <x:c r="I272" s="66"/>
    </x:row>
    <x:row r="273">
      <x:c r="A273" s="71"/>
      <x:c r="B273" s="33"/>
      <x:c r="C273" s="33"/>
      <x:c r="D273" s="33"/>
      <x:c r="E273" s="33"/>
      <x:c r="F273" s="33"/>
      <x:c r="G273" s="33"/>
      <x:c r="H273" s="74"/>
      <x:c r="I273" s="66"/>
    </x:row>
    <x:row r="274">
      <x:c r="A274" s="71"/>
      <x:c r="B274" s="33"/>
      <x:c r="C274" s="33"/>
      <x:c r="D274" s="33"/>
      <x:c r="E274" s="33"/>
      <x:c r="F274" s="33"/>
      <x:c r="G274" s="33"/>
      <x:c r="H274" s="74"/>
      <x:c r="I274" s="66"/>
    </x:row>
    <x:row r="275">
      <x:c r="A275" s="71"/>
      <x:c r="B275" s="33"/>
      <x:c r="C275" s="33"/>
      <x:c r="D275" s="33"/>
      <x:c r="E275" s="33"/>
      <x:c r="F275" s="33"/>
      <x:c r="G275" s="33"/>
      <x:c r="H275" s="74"/>
      <x:c r="I275" s="66"/>
    </x:row>
    <x:row r="276">
      <x:c r="A276" s="71"/>
      <x:c r="B276" s="33"/>
      <x:c r="C276" s="33"/>
      <x:c r="D276" s="33"/>
      <x:c r="E276" s="33"/>
      <x:c r="F276" s="33"/>
      <x:c r="G276" s="33"/>
      <x:c r="H276" s="74"/>
      <x:c r="I276" s="66"/>
    </x:row>
    <x:row r="277">
      <x:c r="A277" s="71"/>
      <x:c r="B277" s="33"/>
      <x:c r="C277" s="33"/>
      <x:c r="D277" s="33"/>
      <x:c r="E277" s="33"/>
      <x:c r="F277" s="33"/>
      <x:c r="G277" s="33"/>
      <x:c r="H277" s="74"/>
      <x:c r="I277" s="66"/>
    </x:row>
    <x:row r="278">
      <x:c r="A278" s="71"/>
      <x:c r="B278" s="33"/>
      <x:c r="C278" s="33"/>
      <x:c r="D278" s="33"/>
      <x:c r="E278" s="33"/>
      <x:c r="F278" s="33"/>
      <x:c r="G278" s="33"/>
      <x:c r="H278" s="74"/>
      <x:c r="I278" s="66"/>
    </x:row>
    <x:row r="279">
      <x:c r="A279" s="71"/>
      <x:c r="B279" s="33"/>
      <x:c r="C279" s="33"/>
      <x:c r="D279" s="33"/>
      <x:c r="E279" s="33"/>
      <x:c r="F279" s="33"/>
      <x:c r="G279" s="33"/>
      <x:c r="H279" s="74"/>
      <x:c r="I279" s="66"/>
    </x:row>
    <x:row r="280">
      <x:c r="A280" s="71"/>
      <x:c r="B280" s="33"/>
      <x:c r="C280" s="33"/>
      <x:c r="D280" s="33"/>
      <x:c r="E280" s="33"/>
      <x:c r="F280" s="33"/>
      <x:c r="G280" s="33"/>
      <x:c r="H280" s="74"/>
      <x:c r="I280" s="66"/>
    </x:row>
    <x:row r="281">
      <x:c r="A281" s="71"/>
      <x:c r="B281" s="33"/>
      <x:c r="C281" s="33"/>
      <x:c r="D281" s="33"/>
      <x:c r="E281" s="33"/>
      <x:c r="F281" s="33"/>
      <x:c r="G281" s="33"/>
      <x:c r="H281" s="74"/>
      <x:c r="I281" s="66"/>
    </x:row>
    <x:row r="282">
      <x:c r="A282" s="71"/>
      <x:c r="B282" s="33"/>
      <x:c r="C282" s="33"/>
      <x:c r="D282" s="33"/>
      <x:c r="E282" s="33"/>
      <x:c r="F282" s="33"/>
      <x:c r="G282" s="33"/>
      <x:c r="H282" s="74"/>
      <x:c r="I282" s="66"/>
    </x:row>
    <x:row r="283">
      <x:c r="A283" s="71"/>
      <x:c r="B283" s="33"/>
      <x:c r="C283" s="33"/>
      <x:c r="D283" s="33"/>
      <x:c r="E283" s="33"/>
      <x:c r="F283" s="33"/>
      <x:c r="G283" s="33"/>
      <x:c r="H283" s="74"/>
      <x:c r="I283" s="66"/>
    </x:row>
    <x:row r="284">
      <x:c r="A284" s="71"/>
      <x:c r="B284" s="33"/>
      <x:c r="C284" s="33"/>
      <x:c r="D284" s="33"/>
      <x:c r="E284" s="33"/>
      <x:c r="F284" s="33"/>
      <x:c r="G284" s="33"/>
      <x:c r="H284" s="74"/>
      <x:c r="I284" s="66"/>
    </x:row>
    <x:row r="285">
      <x:c r="A285" s="71"/>
      <x:c r="B285" s="33"/>
      <x:c r="C285" s="33"/>
      <x:c r="D285" s="33"/>
      <x:c r="E285" s="33"/>
      <x:c r="F285" s="33"/>
      <x:c r="G285" s="33"/>
      <x:c r="H285" s="74"/>
      <x:c r="I285" s="66"/>
    </x:row>
    <x:row r="286">
      <x:c r="A286" s="71"/>
      <x:c r="B286" s="33"/>
      <x:c r="C286" s="33"/>
      <x:c r="D286" s="33"/>
      <x:c r="E286" s="33"/>
      <x:c r="F286" s="33"/>
      <x:c r="G286" s="33"/>
      <x:c r="H286" s="74"/>
      <x:c r="I286" s="66"/>
    </x:row>
    <x:row r="287">
      <x:c r="A287" s="71"/>
      <x:c r="B287" s="33"/>
      <x:c r="C287" s="33"/>
      <x:c r="D287" s="33"/>
      <x:c r="E287" s="33"/>
      <x:c r="F287" s="33"/>
      <x:c r="G287" s="33"/>
      <x:c r="H287" s="74"/>
      <x:c r="I287" s="66"/>
    </x:row>
    <x:row r="288">
      <x:c r="A288" s="71"/>
      <x:c r="B288" s="33"/>
      <x:c r="C288" s="33"/>
      <x:c r="D288" s="33"/>
      <x:c r="E288" s="33"/>
      <x:c r="F288" s="33"/>
      <x:c r="G288" s="33"/>
      <x:c r="H288" s="74"/>
      <x:c r="I288" s="66"/>
    </x:row>
    <x:row r="289">
      <x:c r="A289" s="71"/>
      <x:c r="B289" s="33"/>
      <x:c r="C289" s="33"/>
      <x:c r="D289" s="33"/>
      <x:c r="E289" s="33"/>
      <x:c r="F289" s="33"/>
      <x:c r="G289" s="33"/>
      <x:c r="H289" s="74"/>
      <x:c r="I289" s="66"/>
    </x:row>
    <x:row r="290">
      <x:c r="A290" s="71"/>
      <x:c r="B290" s="33"/>
      <x:c r="C290" s="33"/>
      <x:c r="D290" s="33"/>
      <x:c r="E290" s="33"/>
      <x:c r="F290" s="33"/>
      <x:c r="G290" s="33"/>
      <x:c r="H290" s="74"/>
      <x:c r="I290" s="66"/>
    </x:row>
    <x:row r="291">
      <x:c r="A291" s="71"/>
      <x:c r="B291" s="33"/>
      <x:c r="C291" s="33"/>
      <x:c r="D291" s="33"/>
      <x:c r="E291" s="33"/>
      <x:c r="F291" s="33"/>
      <x:c r="G291" s="33"/>
      <x:c r="H291" s="74"/>
      <x:c r="I291" s="66"/>
    </x:row>
    <x:row r="292">
      <x:c r="A292" s="71"/>
      <x:c r="B292" s="33"/>
      <x:c r="C292" s="33"/>
      <x:c r="D292" s="33"/>
      <x:c r="E292" s="33"/>
      <x:c r="F292" s="33"/>
      <x:c r="G292" s="33"/>
      <x:c r="H292" s="74"/>
      <x:c r="I292" s="66"/>
    </x:row>
    <x:row r="293">
      <x:c r="A293" s="71"/>
      <x:c r="B293" s="33"/>
      <x:c r="C293" s="33"/>
      <x:c r="D293" s="33"/>
      <x:c r="E293" s="33"/>
      <x:c r="F293" s="33"/>
      <x:c r="G293" s="33"/>
      <x:c r="H293" s="74"/>
      <x:c r="I293" s="66"/>
    </x:row>
    <x:row r="294">
      <x:c r="A294" s="71"/>
      <x:c r="B294" s="33"/>
      <x:c r="C294" s="33"/>
      <x:c r="D294" s="33"/>
      <x:c r="E294" s="33"/>
      <x:c r="F294" s="33"/>
      <x:c r="G294" s="33"/>
      <x:c r="H294" s="74"/>
      <x:c r="I294" s="66"/>
    </x:row>
    <x:row r="295">
      <x:c r="A295" s="71"/>
      <x:c r="B295" s="33"/>
      <x:c r="C295" s="33"/>
      <x:c r="D295" s="33"/>
      <x:c r="E295" s="33"/>
      <x:c r="F295" s="33"/>
      <x:c r="G295" s="33"/>
      <x:c r="H295" s="74"/>
      <x:c r="I295" s="66"/>
    </x:row>
    <x:row r="296">
      <x:c r="A296" s="71"/>
      <x:c r="B296" s="33"/>
      <x:c r="C296" s="33"/>
      <x:c r="D296" s="33"/>
      <x:c r="E296" s="33"/>
      <x:c r="F296" s="33"/>
      <x:c r="G296" s="33"/>
      <x:c r="H296" s="74"/>
      <x:c r="I296" s="66"/>
    </x:row>
    <x:row r="297">
      <x:c r="A297" s="71"/>
      <x:c r="B297" s="33"/>
      <x:c r="C297" s="33"/>
      <x:c r="D297" s="33"/>
      <x:c r="E297" s="33"/>
      <x:c r="F297" s="33"/>
      <x:c r="G297" s="33"/>
      <x:c r="H297" s="74"/>
      <x:c r="I297" s="66"/>
    </x:row>
    <x:row r="298">
      <x:c r="A298" s="71"/>
      <x:c r="B298" s="33"/>
      <x:c r="C298" s="33"/>
      <x:c r="D298" s="33"/>
      <x:c r="E298" s="33"/>
      <x:c r="F298" s="33"/>
      <x:c r="G298" s="33"/>
      <x:c r="H298" s="74"/>
      <x:c r="I298" s="66"/>
    </x:row>
    <x:row r="299">
      <x:c r="A299" s="71"/>
      <x:c r="B299" s="33"/>
      <x:c r="C299" s="33"/>
      <x:c r="D299" s="33"/>
      <x:c r="E299" s="33"/>
      <x:c r="F299" s="33"/>
      <x:c r="G299" s="33"/>
      <x:c r="H299" s="74"/>
      <x:c r="I299" s="66"/>
    </x:row>
    <x:row r="300">
      <x:c r="A300" s="72"/>
      <x:c r="B300" s="68"/>
      <x:c r="C300" s="68"/>
      <x:c r="D300" s="68"/>
      <x:c r="E300" s="68"/>
      <x:c r="F300" s="68"/>
      <x:c r="G300" s="68"/>
      <x:c r="H300" s="75"/>
      <x:c r="I300" s="69"/>
    </x:row>
  </x:sheetData>
  <x:dataValidations count="4">
    <x:dataValidation type="list" sqref="B2:B300">
      <x:formula1>'Lists'!$A$2:$A$12</x:formula1>
    </x:dataValidation>
    <x:dataValidation type="list" sqref="D2:D300">
      <x:formula1>'Lists'!$B$2:$B$46</x:formula1>
    </x:dataValidation>
    <x:dataValidation type="list" sqref="F2:F300">
      <x:formula1>'Lists'!$C$2:$C$7</x:formula1>
    </x:dataValidation>
    <x:dataValidation type="list" sqref="G2:G300">
      <x:formula1>'Lists'!$D$2:$D$4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.5600004196167" hidden="0" customWidth="1"/>
    <x:col min="2" max="2" width="11.5600004196167" hidden="0" customWidth="1"/>
    <x:col min="3" max="3" width="11.220000267028809" hidden="0" customWidth="1"/>
    <x:col min="4" max="4" width="17.559999465942383" hidden="0" customWidth="1"/>
    <x:col min="5" max="5" width="15.779999732971191" hidden="0" customWidth="1"/>
    <x:col min="6" max="6" width="12.109999656677246" hidden="0" customWidth="1"/>
    <x:col min="7" max="7" width="5.110000133514404" hidden="0" customWidth="1"/>
  </x:cols>
  <x:sheetData>
    <x:row r="1">
      <x:c r="A1" s="6" t="str">
        <x:v>Budget Month</x:v>
      </x:c>
      <x:c r="B1" s="6" t="str">
        <x:v>Business Area</x:v>
      </x:c>
      <x:c r="C1" s="6" t="str">
        <x:v>Expense Type</x:v>
      </x:c>
      <x:c r="D1" s="6" t="str">
        <x:v>Budget Amount (GHS)</x:v>
      </x:c>
      <x:c r="E1" s="6" t="str">
        <x:v>Actual Spend (GHS)</x:v>
      </x:c>
      <x:c r="F1" s="6" t="str">
        <x:v>Variance (GHS)</x:v>
      </x:c>
      <x:c r="G1" s="6" t="str">
        <x:v>Notes</x:v>
      </x:c>
    </x:row>
    <x:row r="2">
      <x:c r="A2" s="76"/>
      <x:c r="D2" s="74"/>
      <x:c r="E2" s="74" t="n">
        <x:f>SUMIFS('Expenses'!$H$2:$H$300,'Expenses'!$B$2:$B$300,B2,'Expenses'!$D$2:$D$300,C2,'Expenses'!$A$2:$A$300,"&gt;="&amp;EOMONTH(A2,-1)+1,'Expenses'!$A$2:$A$300,"&lt;="&amp;EOMONTH(A2,0))+IF(C2="Staff Wages",SUMIFS('Salary_Register'!$I$2:$I$300,'Salary_Register'!$B$2:$B$300,B2,'Salary_Register'!$A$2:$A$300,A2),0)</x:f>
        <x:v>0</x:v>
      </x:c>
      <x:c r="F2" s="74" t="n">
        <x:f>D2-E2</x:f>
        <x:v>0</x:v>
      </x:c>
    </x:row>
    <x:row r="3">
      <x:c r="A3" s="76"/>
      <x:c r="D3" s="74"/>
      <x:c r="E3" s="74" t="n">
        <x:f>SUMIFS('Expenses'!$H$2:$H$300,'Expenses'!$B$2:$B$300,B3,'Expenses'!$D$2:$D$300,C3,'Expenses'!$A$2:$A$300,"&gt;="&amp;EOMONTH(A3,-1)+1,'Expenses'!$A$2:$A$300,"&lt;="&amp;EOMONTH(A3,0))+IF(C3="Staff Wages",SUMIFS('Salary_Register'!$I$2:$I$300,'Salary_Register'!$B$2:$B$300,B3,'Salary_Register'!$A$2:$A$300,A3),0)</x:f>
        <x:v>0</x:v>
      </x:c>
      <x:c r="F3" s="74" t="n">
        <x:f>D3-E3</x:f>
        <x:v>0</x:v>
      </x:c>
    </x:row>
    <x:row r="4">
      <x:c r="A4" s="76"/>
      <x:c r="D4" s="74"/>
      <x:c r="E4" s="74" t="n">
        <x:f>SUMIFS('Expenses'!$H$2:$H$300,'Expenses'!$B$2:$B$300,B4,'Expenses'!$D$2:$D$300,C4,'Expenses'!$A$2:$A$300,"&gt;="&amp;EOMONTH(A4,-1)+1,'Expenses'!$A$2:$A$300,"&lt;="&amp;EOMONTH(A4,0))+IF(C4="Staff Wages",SUMIFS('Salary_Register'!$I$2:$I$300,'Salary_Register'!$B$2:$B$300,B4,'Salary_Register'!$A$2:$A$300,A4),0)</x:f>
        <x:v>0</x:v>
      </x:c>
      <x:c r="F4" s="74" t="n">
        <x:f>D4-E4</x:f>
        <x:v>0</x:v>
      </x:c>
    </x:row>
    <x:row r="5">
      <x:c r="A5" s="76"/>
      <x:c r="D5" s="74"/>
      <x:c r="E5" s="74" t="n">
        <x:f>SUMIFS('Expenses'!$H$2:$H$300,'Expenses'!$B$2:$B$300,B5,'Expenses'!$D$2:$D$300,C5,'Expenses'!$A$2:$A$300,"&gt;="&amp;EOMONTH(A5,-1)+1,'Expenses'!$A$2:$A$300,"&lt;="&amp;EOMONTH(A5,0))+IF(C5="Staff Wages",SUMIFS('Salary_Register'!$I$2:$I$300,'Salary_Register'!$B$2:$B$300,B5,'Salary_Register'!$A$2:$A$300,A5),0)</x:f>
        <x:v>0</x:v>
      </x:c>
      <x:c r="F5" s="74" t="n">
        <x:f>D5-E5</x:f>
        <x:v>0</x:v>
      </x:c>
    </x:row>
    <x:row r="6">
      <x:c r="A6" s="76"/>
      <x:c r="D6" s="74"/>
      <x:c r="E6" s="74" t="n">
        <x:f>SUMIFS('Expenses'!$H$2:$H$300,'Expenses'!$B$2:$B$300,B6,'Expenses'!$D$2:$D$300,C6,'Expenses'!$A$2:$A$300,"&gt;="&amp;EOMONTH(A6,-1)+1,'Expenses'!$A$2:$A$300,"&lt;="&amp;EOMONTH(A6,0))+IF(C6="Staff Wages",SUMIFS('Salary_Register'!$I$2:$I$300,'Salary_Register'!$B$2:$B$300,B6,'Salary_Register'!$A$2:$A$300,A6),0)</x:f>
        <x:v>0</x:v>
      </x:c>
      <x:c r="F6" s="74" t="n">
        <x:f>D6-E6</x:f>
        <x:v>0</x:v>
      </x:c>
    </x:row>
    <x:row r="7">
      <x:c r="A7" s="76"/>
      <x:c r="D7" s="74"/>
      <x:c r="E7" s="74" t="n">
        <x:f>SUMIFS('Expenses'!$H$2:$H$300,'Expenses'!$B$2:$B$300,B7,'Expenses'!$D$2:$D$300,C7,'Expenses'!$A$2:$A$300,"&gt;="&amp;EOMONTH(A7,-1)+1,'Expenses'!$A$2:$A$300,"&lt;="&amp;EOMONTH(A7,0))+IF(C7="Staff Wages",SUMIFS('Salary_Register'!$I$2:$I$300,'Salary_Register'!$B$2:$B$300,B7,'Salary_Register'!$A$2:$A$300,A7),0)</x:f>
        <x:v>0</x:v>
      </x:c>
      <x:c r="F7" s="74" t="n">
        <x:f>D7-E7</x:f>
        <x:v>0</x:v>
      </x:c>
    </x:row>
    <x:row r="8">
      <x:c r="A8" s="76"/>
      <x:c r="D8" s="74"/>
      <x:c r="E8" s="74" t="n">
        <x:f>SUMIFS('Expenses'!$H$2:$H$300,'Expenses'!$B$2:$B$300,B8,'Expenses'!$D$2:$D$300,C8,'Expenses'!$A$2:$A$300,"&gt;="&amp;EOMONTH(A8,-1)+1,'Expenses'!$A$2:$A$300,"&lt;="&amp;EOMONTH(A8,0))+IF(C8="Staff Wages",SUMIFS('Salary_Register'!$I$2:$I$300,'Salary_Register'!$B$2:$B$300,B8,'Salary_Register'!$A$2:$A$300,A8),0)</x:f>
        <x:v>0</x:v>
      </x:c>
      <x:c r="F8" s="74" t="n">
        <x:f>D8-E8</x:f>
        <x:v>0</x:v>
      </x:c>
    </x:row>
    <x:row r="9">
      <x:c r="A9" s="76"/>
      <x:c r="D9" s="74"/>
      <x:c r="E9" s="74" t="n">
        <x:f>SUMIFS('Expenses'!$H$2:$H$300,'Expenses'!$B$2:$B$300,B9,'Expenses'!$D$2:$D$300,C9,'Expenses'!$A$2:$A$300,"&gt;="&amp;EOMONTH(A9,-1)+1,'Expenses'!$A$2:$A$300,"&lt;="&amp;EOMONTH(A9,0))+IF(C9="Staff Wages",SUMIFS('Salary_Register'!$I$2:$I$300,'Salary_Register'!$B$2:$B$300,B9,'Salary_Register'!$A$2:$A$300,A9),0)</x:f>
        <x:v>0</x:v>
      </x:c>
      <x:c r="F9" s="74" t="n">
        <x:f>D9-E9</x:f>
        <x:v>0</x:v>
      </x:c>
    </x:row>
    <x:row r="10">
      <x:c r="A10" s="76"/>
      <x:c r="D10" s="74"/>
      <x:c r="E10" s="74" t="n">
        <x:f>SUMIFS('Expenses'!$H$2:$H$300,'Expenses'!$B$2:$B$300,B10,'Expenses'!$D$2:$D$300,C10,'Expenses'!$A$2:$A$300,"&gt;="&amp;EOMONTH(A10,-1)+1,'Expenses'!$A$2:$A$300,"&lt;="&amp;EOMONTH(A10,0))+IF(C10="Staff Wages",SUMIFS('Salary_Register'!$I$2:$I$300,'Salary_Register'!$B$2:$B$300,B10,'Salary_Register'!$A$2:$A$300,A10),0)</x:f>
        <x:v>0</x:v>
      </x:c>
      <x:c r="F10" s="74" t="n">
        <x:f>D10-E10</x:f>
        <x:v>0</x:v>
      </x:c>
    </x:row>
    <x:row r="11">
      <x:c r="A11" s="76"/>
      <x:c r="D11" s="74"/>
      <x:c r="E11" s="74" t="n">
        <x:f>SUMIFS('Expenses'!$H$2:$H$300,'Expenses'!$B$2:$B$300,B11,'Expenses'!$D$2:$D$300,C11,'Expenses'!$A$2:$A$300,"&gt;="&amp;EOMONTH(A11,-1)+1,'Expenses'!$A$2:$A$300,"&lt;="&amp;EOMONTH(A11,0))+IF(C11="Staff Wages",SUMIFS('Salary_Register'!$I$2:$I$300,'Salary_Register'!$B$2:$B$300,B11,'Salary_Register'!$A$2:$A$300,A11),0)</x:f>
        <x:v>0</x:v>
      </x:c>
      <x:c r="F11" s="74" t="n">
        <x:f>D11-E11</x:f>
        <x:v>0</x:v>
      </x:c>
    </x:row>
    <x:row r="12">
      <x:c r="A12" s="76"/>
      <x:c r="D12" s="74"/>
      <x:c r="E12" s="74" t="n">
        <x:f>SUMIFS('Expenses'!$H$2:$H$300,'Expenses'!$B$2:$B$300,B12,'Expenses'!$D$2:$D$300,C12,'Expenses'!$A$2:$A$300,"&gt;="&amp;EOMONTH(A12,-1)+1,'Expenses'!$A$2:$A$300,"&lt;="&amp;EOMONTH(A12,0))+IF(C12="Staff Wages",SUMIFS('Salary_Register'!$I$2:$I$300,'Salary_Register'!$B$2:$B$300,B12,'Salary_Register'!$A$2:$A$300,A12),0)</x:f>
        <x:v>0</x:v>
      </x:c>
      <x:c r="F12" s="74" t="n">
        <x:f>D12-E12</x:f>
        <x:v>0</x:v>
      </x:c>
    </x:row>
    <x:row r="13">
      <x:c r="A13" s="76"/>
      <x:c r="D13" s="74"/>
      <x:c r="E13" s="74" t="n">
        <x:f>SUMIFS('Expenses'!$H$2:$H$300,'Expenses'!$B$2:$B$300,B13,'Expenses'!$D$2:$D$300,C13,'Expenses'!$A$2:$A$300,"&gt;="&amp;EOMONTH(A13,-1)+1,'Expenses'!$A$2:$A$300,"&lt;="&amp;EOMONTH(A13,0))+IF(C13="Staff Wages",SUMIFS('Salary_Register'!$I$2:$I$300,'Salary_Register'!$B$2:$B$300,B13,'Salary_Register'!$A$2:$A$300,A13),0)</x:f>
        <x:v>0</x:v>
      </x:c>
      <x:c r="F13" s="74" t="n">
        <x:f>D13-E13</x:f>
        <x:v>0</x:v>
      </x:c>
    </x:row>
    <x:row r="14">
      <x:c r="A14" s="76"/>
      <x:c r="D14" s="74"/>
      <x:c r="E14" s="74" t="n">
        <x:f>SUMIFS('Expenses'!$H$2:$H$300,'Expenses'!$B$2:$B$300,B14,'Expenses'!$D$2:$D$300,C14,'Expenses'!$A$2:$A$300,"&gt;="&amp;EOMONTH(A14,-1)+1,'Expenses'!$A$2:$A$300,"&lt;="&amp;EOMONTH(A14,0))+IF(C14="Staff Wages",SUMIFS('Salary_Register'!$I$2:$I$300,'Salary_Register'!$B$2:$B$300,B14,'Salary_Register'!$A$2:$A$300,A14),0)</x:f>
        <x:v>0</x:v>
      </x:c>
      <x:c r="F14" s="74" t="n">
        <x:f>D14-E14</x:f>
        <x:v>0</x:v>
      </x:c>
    </x:row>
    <x:row r="15">
      <x:c r="A15" s="76"/>
      <x:c r="D15" s="74"/>
      <x:c r="E15" s="74" t="n">
        <x:f>SUMIFS('Expenses'!$H$2:$H$300,'Expenses'!$B$2:$B$300,B15,'Expenses'!$D$2:$D$300,C15,'Expenses'!$A$2:$A$300,"&gt;="&amp;EOMONTH(A15,-1)+1,'Expenses'!$A$2:$A$300,"&lt;="&amp;EOMONTH(A15,0))+IF(C15="Staff Wages",SUMIFS('Salary_Register'!$I$2:$I$300,'Salary_Register'!$B$2:$B$300,B15,'Salary_Register'!$A$2:$A$300,A15),0)</x:f>
        <x:v>0</x:v>
      </x:c>
      <x:c r="F15" s="74" t="n">
        <x:f>D15-E15</x:f>
        <x:v>0</x:v>
      </x:c>
    </x:row>
    <x:row r="16">
      <x:c r="A16" s="76"/>
      <x:c r="D16" s="74"/>
      <x:c r="E16" s="74" t="n">
        <x:f>SUMIFS('Expenses'!$H$2:$H$300,'Expenses'!$B$2:$B$300,B16,'Expenses'!$D$2:$D$300,C16,'Expenses'!$A$2:$A$300,"&gt;="&amp;EOMONTH(A16,-1)+1,'Expenses'!$A$2:$A$300,"&lt;="&amp;EOMONTH(A16,0))+IF(C16="Staff Wages",SUMIFS('Salary_Register'!$I$2:$I$300,'Salary_Register'!$B$2:$B$300,B16,'Salary_Register'!$A$2:$A$300,A16),0)</x:f>
        <x:v>0</x:v>
      </x:c>
      <x:c r="F16" s="74" t="n">
        <x:f>D16-E16</x:f>
        <x:v>0</x:v>
      </x:c>
    </x:row>
    <x:row r="17">
      <x:c r="A17" s="76"/>
      <x:c r="D17" s="74"/>
      <x:c r="E17" s="74" t="n">
        <x:f>SUMIFS('Expenses'!$H$2:$H$300,'Expenses'!$B$2:$B$300,B17,'Expenses'!$D$2:$D$300,C17,'Expenses'!$A$2:$A$300,"&gt;="&amp;EOMONTH(A17,-1)+1,'Expenses'!$A$2:$A$300,"&lt;="&amp;EOMONTH(A17,0))+IF(C17="Staff Wages",SUMIFS('Salary_Register'!$I$2:$I$300,'Salary_Register'!$B$2:$B$300,B17,'Salary_Register'!$A$2:$A$300,A17),0)</x:f>
        <x:v>0</x:v>
      </x:c>
      <x:c r="F17" s="74" t="n">
        <x:f>D17-E17</x:f>
        <x:v>0</x:v>
      </x:c>
    </x:row>
    <x:row r="18">
      <x:c r="A18" s="76"/>
      <x:c r="D18" s="74"/>
      <x:c r="E18" s="74" t="n">
        <x:f>SUMIFS('Expenses'!$H$2:$H$300,'Expenses'!$B$2:$B$300,B18,'Expenses'!$D$2:$D$300,C18,'Expenses'!$A$2:$A$300,"&gt;="&amp;EOMONTH(A18,-1)+1,'Expenses'!$A$2:$A$300,"&lt;="&amp;EOMONTH(A18,0))+IF(C18="Staff Wages",SUMIFS('Salary_Register'!$I$2:$I$300,'Salary_Register'!$B$2:$B$300,B18,'Salary_Register'!$A$2:$A$300,A18),0)</x:f>
        <x:v>0</x:v>
      </x:c>
      <x:c r="F18" s="74" t="n">
        <x:f>D18-E18</x:f>
        <x:v>0</x:v>
      </x:c>
    </x:row>
    <x:row r="19">
      <x:c r="A19" s="76"/>
      <x:c r="D19" s="74"/>
      <x:c r="E19" s="74" t="n">
        <x:f>SUMIFS('Expenses'!$H$2:$H$300,'Expenses'!$B$2:$B$300,B19,'Expenses'!$D$2:$D$300,C19,'Expenses'!$A$2:$A$300,"&gt;="&amp;EOMONTH(A19,-1)+1,'Expenses'!$A$2:$A$300,"&lt;="&amp;EOMONTH(A19,0))+IF(C19="Staff Wages",SUMIFS('Salary_Register'!$I$2:$I$300,'Salary_Register'!$B$2:$B$300,B19,'Salary_Register'!$A$2:$A$300,A19),0)</x:f>
        <x:v>0</x:v>
      </x:c>
      <x:c r="F19" s="74" t="n">
        <x:f>D19-E19</x:f>
        <x:v>0</x:v>
      </x:c>
    </x:row>
    <x:row r="20">
      <x:c r="A20" s="76"/>
      <x:c r="D20" s="74"/>
      <x:c r="E20" s="74" t="n">
        <x:f>SUMIFS('Expenses'!$H$2:$H$300,'Expenses'!$B$2:$B$300,B20,'Expenses'!$D$2:$D$300,C20,'Expenses'!$A$2:$A$300,"&gt;="&amp;EOMONTH(A20,-1)+1,'Expenses'!$A$2:$A$300,"&lt;="&amp;EOMONTH(A20,0))+IF(C20="Staff Wages",SUMIFS('Salary_Register'!$I$2:$I$300,'Salary_Register'!$B$2:$B$300,B20,'Salary_Register'!$A$2:$A$300,A20),0)</x:f>
        <x:v>0</x:v>
      </x:c>
      <x:c r="F20" s="74" t="n">
        <x:f>D20-E20</x:f>
        <x:v>0</x:v>
      </x:c>
    </x:row>
    <x:row r="21">
      <x:c r="A21" s="76"/>
      <x:c r="D21" s="74"/>
      <x:c r="E21" s="74" t="n">
        <x:f>SUMIFS('Expenses'!$H$2:$H$300,'Expenses'!$B$2:$B$300,B21,'Expenses'!$D$2:$D$300,C21,'Expenses'!$A$2:$A$300,"&gt;="&amp;EOMONTH(A21,-1)+1,'Expenses'!$A$2:$A$300,"&lt;="&amp;EOMONTH(A21,0))+IF(C21="Staff Wages",SUMIFS('Salary_Register'!$I$2:$I$300,'Salary_Register'!$B$2:$B$300,B21,'Salary_Register'!$A$2:$A$300,A21),0)</x:f>
        <x:v>0</x:v>
      </x:c>
      <x:c r="F21" s="74" t="n">
        <x:f>D21-E21</x:f>
        <x:v>0</x:v>
      </x:c>
    </x:row>
    <x:row r="22">
      <x:c r="A22" s="76"/>
      <x:c r="D22" s="74"/>
      <x:c r="E22" s="74" t="n">
        <x:f>SUMIFS('Expenses'!$H$2:$H$300,'Expenses'!$B$2:$B$300,B22,'Expenses'!$D$2:$D$300,C22,'Expenses'!$A$2:$A$300,"&gt;="&amp;EOMONTH(A22,-1)+1,'Expenses'!$A$2:$A$300,"&lt;="&amp;EOMONTH(A22,0))+IF(C22="Staff Wages",SUMIFS('Salary_Register'!$I$2:$I$300,'Salary_Register'!$B$2:$B$300,B22,'Salary_Register'!$A$2:$A$300,A22),0)</x:f>
        <x:v>0</x:v>
      </x:c>
      <x:c r="F22" s="74" t="n">
        <x:f>D22-E22</x:f>
        <x:v>0</x:v>
      </x:c>
    </x:row>
    <x:row r="23">
      <x:c r="A23" s="76"/>
      <x:c r="D23" s="74"/>
      <x:c r="E23" s="74" t="n">
        <x:f>SUMIFS('Expenses'!$H$2:$H$300,'Expenses'!$B$2:$B$300,B23,'Expenses'!$D$2:$D$300,C23,'Expenses'!$A$2:$A$300,"&gt;="&amp;EOMONTH(A23,-1)+1,'Expenses'!$A$2:$A$300,"&lt;="&amp;EOMONTH(A23,0))+IF(C23="Staff Wages",SUMIFS('Salary_Register'!$I$2:$I$300,'Salary_Register'!$B$2:$B$300,B23,'Salary_Register'!$A$2:$A$300,A23),0)</x:f>
        <x:v>0</x:v>
      </x:c>
      <x:c r="F23" s="74" t="n">
        <x:f>D23-E23</x:f>
        <x:v>0</x:v>
      </x:c>
    </x:row>
    <x:row r="24">
      <x:c r="A24" s="76"/>
      <x:c r="D24" s="74"/>
      <x:c r="E24" s="74" t="n">
        <x:f>SUMIFS('Expenses'!$H$2:$H$300,'Expenses'!$B$2:$B$300,B24,'Expenses'!$D$2:$D$300,C24,'Expenses'!$A$2:$A$300,"&gt;="&amp;EOMONTH(A24,-1)+1,'Expenses'!$A$2:$A$300,"&lt;="&amp;EOMONTH(A24,0))+IF(C24="Staff Wages",SUMIFS('Salary_Register'!$I$2:$I$300,'Salary_Register'!$B$2:$B$300,B24,'Salary_Register'!$A$2:$A$300,A24),0)</x:f>
        <x:v>0</x:v>
      </x:c>
      <x:c r="F24" s="74" t="n">
        <x:f>D24-E24</x:f>
        <x:v>0</x:v>
      </x:c>
    </x:row>
    <x:row r="25">
      <x:c r="A25" s="76"/>
      <x:c r="D25" s="74"/>
      <x:c r="E25" s="74" t="n">
        <x:f>SUMIFS('Expenses'!$H$2:$H$300,'Expenses'!$B$2:$B$300,B25,'Expenses'!$D$2:$D$300,C25,'Expenses'!$A$2:$A$300,"&gt;="&amp;EOMONTH(A25,-1)+1,'Expenses'!$A$2:$A$300,"&lt;="&amp;EOMONTH(A25,0))+IF(C25="Staff Wages",SUMIFS('Salary_Register'!$I$2:$I$300,'Salary_Register'!$B$2:$B$300,B25,'Salary_Register'!$A$2:$A$300,A25),0)</x:f>
        <x:v>0</x:v>
      </x:c>
      <x:c r="F25" s="74" t="n">
        <x:f>D25-E25</x:f>
        <x:v>0</x:v>
      </x:c>
    </x:row>
    <x:row r="26">
      <x:c r="A26" s="76"/>
      <x:c r="D26" s="74"/>
      <x:c r="E26" s="74" t="n">
        <x:f>SUMIFS('Expenses'!$H$2:$H$300,'Expenses'!$B$2:$B$300,B26,'Expenses'!$D$2:$D$300,C26,'Expenses'!$A$2:$A$300,"&gt;="&amp;EOMONTH(A26,-1)+1,'Expenses'!$A$2:$A$300,"&lt;="&amp;EOMONTH(A26,0))+IF(C26="Staff Wages",SUMIFS('Salary_Register'!$I$2:$I$300,'Salary_Register'!$B$2:$B$300,B26,'Salary_Register'!$A$2:$A$300,A26),0)</x:f>
        <x:v>0</x:v>
      </x:c>
      <x:c r="F26" s="74" t="n">
        <x:f>D26-E26</x:f>
        <x:v>0</x:v>
      </x:c>
    </x:row>
    <x:row r="27">
      <x:c r="A27" s="76"/>
      <x:c r="D27" s="74"/>
      <x:c r="E27" s="74" t="n">
        <x:f>SUMIFS('Expenses'!$H$2:$H$300,'Expenses'!$B$2:$B$300,B27,'Expenses'!$D$2:$D$300,C27,'Expenses'!$A$2:$A$300,"&gt;="&amp;EOMONTH(A27,-1)+1,'Expenses'!$A$2:$A$300,"&lt;="&amp;EOMONTH(A27,0))+IF(C27="Staff Wages",SUMIFS('Salary_Register'!$I$2:$I$300,'Salary_Register'!$B$2:$B$300,B27,'Salary_Register'!$A$2:$A$300,A27),0)</x:f>
        <x:v>0</x:v>
      </x:c>
      <x:c r="F27" s="74" t="n">
        <x:f>D27-E27</x:f>
        <x:v>0</x:v>
      </x:c>
    </x:row>
    <x:row r="28">
      <x:c r="A28" s="76"/>
      <x:c r="D28" s="74"/>
      <x:c r="E28" s="74" t="n">
        <x:f>SUMIFS('Expenses'!$H$2:$H$300,'Expenses'!$B$2:$B$300,B28,'Expenses'!$D$2:$D$300,C28,'Expenses'!$A$2:$A$300,"&gt;="&amp;EOMONTH(A28,-1)+1,'Expenses'!$A$2:$A$300,"&lt;="&amp;EOMONTH(A28,0))+IF(C28="Staff Wages",SUMIFS('Salary_Register'!$I$2:$I$300,'Salary_Register'!$B$2:$B$300,B28,'Salary_Register'!$A$2:$A$300,A28),0)</x:f>
        <x:v>0</x:v>
      </x:c>
      <x:c r="F28" s="74" t="n">
        <x:f>D28-E28</x:f>
        <x:v>0</x:v>
      </x:c>
    </x:row>
    <x:row r="29">
      <x:c r="A29" s="76"/>
      <x:c r="D29" s="74"/>
      <x:c r="E29" s="74" t="n">
        <x:f>SUMIFS('Expenses'!$H$2:$H$300,'Expenses'!$B$2:$B$300,B29,'Expenses'!$D$2:$D$300,C29,'Expenses'!$A$2:$A$300,"&gt;="&amp;EOMONTH(A29,-1)+1,'Expenses'!$A$2:$A$300,"&lt;="&amp;EOMONTH(A29,0))+IF(C29="Staff Wages",SUMIFS('Salary_Register'!$I$2:$I$300,'Salary_Register'!$B$2:$B$300,B29,'Salary_Register'!$A$2:$A$300,A29),0)</x:f>
        <x:v>0</x:v>
      </x:c>
      <x:c r="F29" s="74" t="n">
        <x:f>D29-E29</x:f>
        <x:v>0</x:v>
      </x:c>
    </x:row>
    <x:row r="30">
      <x:c r="A30" s="76"/>
      <x:c r="D30" s="74"/>
      <x:c r="E30" s="74" t="n">
        <x:f>SUMIFS('Expenses'!$H$2:$H$300,'Expenses'!$B$2:$B$300,B30,'Expenses'!$D$2:$D$300,C30,'Expenses'!$A$2:$A$300,"&gt;="&amp;EOMONTH(A30,-1)+1,'Expenses'!$A$2:$A$300,"&lt;="&amp;EOMONTH(A30,0))+IF(C30="Staff Wages",SUMIFS('Salary_Register'!$I$2:$I$300,'Salary_Register'!$B$2:$B$300,B30,'Salary_Register'!$A$2:$A$300,A30),0)</x:f>
        <x:v>0</x:v>
      </x:c>
      <x:c r="F30" s="74" t="n">
        <x:f>D30-E30</x:f>
        <x:v>0</x:v>
      </x:c>
    </x:row>
    <x:row r="31">
      <x:c r="A31" s="76"/>
      <x:c r="D31" s="74"/>
      <x:c r="E31" s="74" t="n">
        <x:f>SUMIFS('Expenses'!$H$2:$H$300,'Expenses'!$B$2:$B$300,B31,'Expenses'!$D$2:$D$300,C31,'Expenses'!$A$2:$A$300,"&gt;="&amp;EOMONTH(A31,-1)+1,'Expenses'!$A$2:$A$300,"&lt;="&amp;EOMONTH(A31,0))+IF(C31="Staff Wages",SUMIFS('Salary_Register'!$I$2:$I$300,'Salary_Register'!$B$2:$B$300,B31,'Salary_Register'!$A$2:$A$300,A31),0)</x:f>
        <x:v>0</x:v>
      </x:c>
      <x:c r="F31" s="74" t="n">
        <x:f>D31-E31</x:f>
        <x:v>0</x:v>
      </x:c>
    </x:row>
    <x:row r="32">
      <x:c r="A32" s="76"/>
      <x:c r="D32" s="74"/>
      <x:c r="E32" s="74" t="n">
        <x:f>SUMIFS('Expenses'!$H$2:$H$300,'Expenses'!$B$2:$B$300,B32,'Expenses'!$D$2:$D$300,C32,'Expenses'!$A$2:$A$300,"&gt;="&amp;EOMONTH(A32,-1)+1,'Expenses'!$A$2:$A$300,"&lt;="&amp;EOMONTH(A32,0))+IF(C32="Staff Wages",SUMIFS('Salary_Register'!$I$2:$I$300,'Salary_Register'!$B$2:$B$300,B32,'Salary_Register'!$A$2:$A$300,A32),0)</x:f>
        <x:v>0</x:v>
      </x:c>
      <x:c r="F32" s="74" t="n">
        <x:f>D32-E32</x:f>
        <x:v>0</x:v>
      </x:c>
    </x:row>
    <x:row r="33">
      <x:c r="A33" s="76"/>
      <x:c r="D33" s="74"/>
      <x:c r="E33" s="74" t="n">
        <x:f>SUMIFS('Expenses'!$H$2:$H$300,'Expenses'!$B$2:$B$300,B33,'Expenses'!$D$2:$D$300,C33,'Expenses'!$A$2:$A$300,"&gt;="&amp;EOMONTH(A33,-1)+1,'Expenses'!$A$2:$A$300,"&lt;="&amp;EOMONTH(A33,0))+IF(C33="Staff Wages",SUMIFS('Salary_Register'!$I$2:$I$300,'Salary_Register'!$B$2:$B$300,B33,'Salary_Register'!$A$2:$A$300,A33),0)</x:f>
        <x:v>0</x:v>
      </x:c>
      <x:c r="F33" s="74" t="n">
        <x:f>D33-E33</x:f>
        <x:v>0</x:v>
      </x:c>
    </x:row>
    <x:row r="34">
      <x:c r="A34" s="76"/>
      <x:c r="D34" s="74"/>
      <x:c r="E34" s="74" t="n">
        <x:f>SUMIFS('Expenses'!$H$2:$H$300,'Expenses'!$B$2:$B$300,B34,'Expenses'!$D$2:$D$300,C34,'Expenses'!$A$2:$A$300,"&gt;="&amp;EOMONTH(A34,-1)+1,'Expenses'!$A$2:$A$300,"&lt;="&amp;EOMONTH(A34,0))+IF(C34="Staff Wages",SUMIFS('Salary_Register'!$I$2:$I$300,'Salary_Register'!$B$2:$B$300,B34,'Salary_Register'!$A$2:$A$300,A34),0)</x:f>
        <x:v>0</x:v>
      </x:c>
      <x:c r="F34" s="74" t="n">
        <x:f>D34-E34</x:f>
        <x:v>0</x:v>
      </x:c>
    </x:row>
    <x:row r="35">
      <x:c r="A35" s="76"/>
      <x:c r="D35" s="74"/>
      <x:c r="E35" s="74" t="n">
        <x:f>SUMIFS('Expenses'!$H$2:$H$300,'Expenses'!$B$2:$B$300,B35,'Expenses'!$D$2:$D$300,C35,'Expenses'!$A$2:$A$300,"&gt;="&amp;EOMONTH(A35,-1)+1,'Expenses'!$A$2:$A$300,"&lt;="&amp;EOMONTH(A35,0))+IF(C35="Staff Wages",SUMIFS('Salary_Register'!$I$2:$I$300,'Salary_Register'!$B$2:$B$300,B35,'Salary_Register'!$A$2:$A$300,A35),0)</x:f>
        <x:v>0</x:v>
      </x:c>
      <x:c r="F35" s="74" t="n">
        <x:f>D35-E35</x:f>
        <x:v>0</x:v>
      </x:c>
    </x:row>
    <x:row r="36">
      <x:c r="A36" s="76"/>
      <x:c r="D36" s="74"/>
      <x:c r="E36" s="74" t="n">
        <x:f>SUMIFS('Expenses'!$H$2:$H$300,'Expenses'!$B$2:$B$300,B36,'Expenses'!$D$2:$D$300,C36,'Expenses'!$A$2:$A$300,"&gt;="&amp;EOMONTH(A36,-1)+1,'Expenses'!$A$2:$A$300,"&lt;="&amp;EOMONTH(A36,0))+IF(C36="Staff Wages",SUMIFS('Salary_Register'!$I$2:$I$300,'Salary_Register'!$B$2:$B$300,B36,'Salary_Register'!$A$2:$A$300,A36),0)</x:f>
        <x:v>0</x:v>
      </x:c>
      <x:c r="F36" s="74" t="n">
        <x:f>D36-E36</x:f>
        <x:v>0</x:v>
      </x:c>
    </x:row>
    <x:row r="37">
      <x:c r="A37" s="76"/>
      <x:c r="D37" s="74"/>
      <x:c r="E37" s="74" t="n">
        <x:f>SUMIFS('Expenses'!$H$2:$H$300,'Expenses'!$B$2:$B$300,B37,'Expenses'!$D$2:$D$300,C37,'Expenses'!$A$2:$A$300,"&gt;="&amp;EOMONTH(A37,-1)+1,'Expenses'!$A$2:$A$300,"&lt;="&amp;EOMONTH(A37,0))+IF(C37="Staff Wages",SUMIFS('Salary_Register'!$I$2:$I$300,'Salary_Register'!$B$2:$B$300,B37,'Salary_Register'!$A$2:$A$300,A37),0)</x:f>
        <x:v>0</x:v>
      </x:c>
      <x:c r="F37" s="74" t="n">
        <x:f>D37-E37</x:f>
        <x:v>0</x:v>
      </x:c>
    </x:row>
    <x:row r="38">
      <x:c r="A38" s="76"/>
      <x:c r="D38" s="74"/>
      <x:c r="E38" s="74" t="n">
        <x:f>SUMIFS('Expenses'!$H$2:$H$300,'Expenses'!$B$2:$B$300,B38,'Expenses'!$D$2:$D$300,C38,'Expenses'!$A$2:$A$300,"&gt;="&amp;EOMONTH(A38,-1)+1,'Expenses'!$A$2:$A$300,"&lt;="&amp;EOMONTH(A38,0))+IF(C38="Staff Wages",SUMIFS('Salary_Register'!$I$2:$I$300,'Salary_Register'!$B$2:$B$300,B38,'Salary_Register'!$A$2:$A$300,A38),0)</x:f>
        <x:v>0</x:v>
      </x:c>
      <x:c r="F38" s="74" t="n">
        <x:f>D38-E38</x:f>
        <x:v>0</x:v>
      </x:c>
    </x:row>
    <x:row r="39">
      <x:c r="A39" s="76"/>
      <x:c r="D39" s="74"/>
      <x:c r="E39" s="74" t="n">
        <x:f>SUMIFS('Expenses'!$H$2:$H$300,'Expenses'!$B$2:$B$300,B39,'Expenses'!$D$2:$D$300,C39,'Expenses'!$A$2:$A$300,"&gt;="&amp;EOMONTH(A39,-1)+1,'Expenses'!$A$2:$A$300,"&lt;="&amp;EOMONTH(A39,0))+IF(C39="Staff Wages",SUMIFS('Salary_Register'!$I$2:$I$300,'Salary_Register'!$B$2:$B$300,B39,'Salary_Register'!$A$2:$A$300,A39),0)</x:f>
        <x:v>0</x:v>
      </x:c>
      <x:c r="F39" s="74" t="n">
        <x:f>D39-E39</x:f>
        <x:v>0</x:v>
      </x:c>
    </x:row>
    <x:row r="40">
      <x:c r="A40" s="76"/>
      <x:c r="D40" s="74"/>
      <x:c r="E40" s="74" t="n">
        <x:f>SUMIFS('Expenses'!$H$2:$H$300,'Expenses'!$B$2:$B$300,B40,'Expenses'!$D$2:$D$300,C40,'Expenses'!$A$2:$A$300,"&gt;="&amp;EOMONTH(A40,-1)+1,'Expenses'!$A$2:$A$300,"&lt;="&amp;EOMONTH(A40,0))+IF(C40="Staff Wages",SUMIFS('Salary_Register'!$I$2:$I$300,'Salary_Register'!$B$2:$B$300,B40,'Salary_Register'!$A$2:$A$300,A40),0)</x:f>
        <x:v>0</x:v>
      </x:c>
      <x:c r="F40" s="74" t="n">
        <x:f>D40-E40</x:f>
        <x:v>0</x:v>
      </x:c>
    </x:row>
    <x:row r="41">
      <x:c r="A41" s="76"/>
      <x:c r="D41" s="74"/>
      <x:c r="E41" s="74" t="n">
        <x:f>SUMIFS('Expenses'!$H$2:$H$300,'Expenses'!$B$2:$B$300,B41,'Expenses'!$D$2:$D$300,C41,'Expenses'!$A$2:$A$300,"&gt;="&amp;EOMONTH(A41,-1)+1,'Expenses'!$A$2:$A$300,"&lt;="&amp;EOMONTH(A41,0))+IF(C41="Staff Wages",SUMIFS('Salary_Register'!$I$2:$I$300,'Salary_Register'!$B$2:$B$300,B41,'Salary_Register'!$A$2:$A$300,A41),0)</x:f>
        <x:v>0</x:v>
      </x:c>
      <x:c r="F41" s="74" t="n">
        <x:f>D41-E41</x:f>
        <x:v>0</x:v>
      </x:c>
    </x:row>
    <x:row r="42">
      <x:c r="A42" s="76"/>
      <x:c r="D42" s="74"/>
      <x:c r="E42" s="74" t="n">
        <x:f>SUMIFS('Expenses'!$H$2:$H$300,'Expenses'!$B$2:$B$300,B42,'Expenses'!$D$2:$D$300,C42,'Expenses'!$A$2:$A$300,"&gt;="&amp;EOMONTH(A42,-1)+1,'Expenses'!$A$2:$A$300,"&lt;="&amp;EOMONTH(A42,0))+IF(C42="Staff Wages",SUMIFS('Salary_Register'!$I$2:$I$300,'Salary_Register'!$B$2:$B$300,B42,'Salary_Register'!$A$2:$A$300,A42),0)</x:f>
        <x:v>0</x:v>
      </x:c>
      <x:c r="F42" s="74" t="n">
        <x:f>D42-E42</x:f>
        <x:v>0</x:v>
      </x:c>
    </x:row>
    <x:row r="43">
      <x:c r="A43" s="76"/>
      <x:c r="D43" s="74"/>
      <x:c r="E43" s="74" t="n">
        <x:f>SUMIFS('Expenses'!$H$2:$H$300,'Expenses'!$B$2:$B$300,B43,'Expenses'!$D$2:$D$300,C43,'Expenses'!$A$2:$A$300,"&gt;="&amp;EOMONTH(A43,-1)+1,'Expenses'!$A$2:$A$300,"&lt;="&amp;EOMONTH(A43,0))+IF(C43="Staff Wages",SUMIFS('Salary_Register'!$I$2:$I$300,'Salary_Register'!$B$2:$B$300,B43,'Salary_Register'!$A$2:$A$300,A43),0)</x:f>
        <x:v>0</x:v>
      </x:c>
      <x:c r="F43" s="74" t="n">
        <x:f>D43-E43</x:f>
        <x:v>0</x:v>
      </x:c>
    </x:row>
    <x:row r="44">
      <x:c r="A44" s="76"/>
      <x:c r="D44" s="74"/>
      <x:c r="E44" s="74" t="n">
        <x:f>SUMIFS('Expenses'!$H$2:$H$300,'Expenses'!$B$2:$B$300,B44,'Expenses'!$D$2:$D$300,C44,'Expenses'!$A$2:$A$300,"&gt;="&amp;EOMONTH(A44,-1)+1,'Expenses'!$A$2:$A$300,"&lt;="&amp;EOMONTH(A44,0))+IF(C44="Staff Wages",SUMIFS('Salary_Register'!$I$2:$I$300,'Salary_Register'!$B$2:$B$300,B44,'Salary_Register'!$A$2:$A$300,A44),0)</x:f>
        <x:v>0</x:v>
      </x:c>
      <x:c r="F44" s="74" t="n">
        <x:f>D44-E44</x:f>
        <x:v>0</x:v>
      </x:c>
    </x:row>
    <x:row r="45">
      <x:c r="A45" s="76"/>
      <x:c r="D45" s="74"/>
      <x:c r="E45" s="74" t="n">
        <x:f>SUMIFS('Expenses'!$H$2:$H$300,'Expenses'!$B$2:$B$300,B45,'Expenses'!$D$2:$D$300,C45,'Expenses'!$A$2:$A$300,"&gt;="&amp;EOMONTH(A45,-1)+1,'Expenses'!$A$2:$A$300,"&lt;="&amp;EOMONTH(A45,0))+IF(C45="Staff Wages",SUMIFS('Salary_Register'!$I$2:$I$300,'Salary_Register'!$B$2:$B$300,B45,'Salary_Register'!$A$2:$A$300,A45),0)</x:f>
        <x:v>0</x:v>
      </x:c>
      <x:c r="F45" s="74" t="n">
        <x:f>D45-E45</x:f>
        <x:v>0</x:v>
      </x:c>
    </x:row>
    <x:row r="46">
      <x:c r="A46" s="76"/>
      <x:c r="D46" s="74"/>
      <x:c r="E46" s="74" t="n">
        <x:f>SUMIFS('Expenses'!$H$2:$H$300,'Expenses'!$B$2:$B$300,B46,'Expenses'!$D$2:$D$300,C46,'Expenses'!$A$2:$A$300,"&gt;="&amp;EOMONTH(A46,-1)+1,'Expenses'!$A$2:$A$300,"&lt;="&amp;EOMONTH(A46,0))+IF(C46="Staff Wages",SUMIFS('Salary_Register'!$I$2:$I$300,'Salary_Register'!$B$2:$B$300,B46,'Salary_Register'!$A$2:$A$300,A46),0)</x:f>
        <x:v>0</x:v>
      </x:c>
      <x:c r="F46" s="74" t="n">
        <x:f>D46-E46</x:f>
        <x:v>0</x:v>
      </x:c>
    </x:row>
    <x:row r="47">
      <x:c r="A47" s="76"/>
      <x:c r="D47" s="74"/>
      <x:c r="E47" s="74" t="n">
        <x:f>SUMIFS('Expenses'!$H$2:$H$300,'Expenses'!$B$2:$B$300,B47,'Expenses'!$D$2:$D$300,C47,'Expenses'!$A$2:$A$300,"&gt;="&amp;EOMONTH(A47,-1)+1,'Expenses'!$A$2:$A$300,"&lt;="&amp;EOMONTH(A47,0))+IF(C47="Staff Wages",SUMIFS('Salary_Register'!$I$2:$I$300,'Salary_Register'!$B$2:$B$300,B47,'Salary_Register'!$A$2:$A$300,A47),0)</x:f>
        <x:v>0</x:v>
      </x:c>
      <x:c r="F47" s="74" t="n">
        <x:f>D47-E47</x:f>
        <x:v>0</x:v>
      </x:c>
    </x:row>
    <x:row r="48">
      <x:c r="A48" s="76"/>
      <x:c r="D48" s="74"/>
      <x:c r="E48" s="74" t="n">
        <x:f>SUMIFS('Expenses'!$H$2:$H$300,'Expenses'!$B$2:$B$300,B48,'Expenses'!$D$2:$D$300,C48,'Expenses'!$A$2:$A$300,"&gt;="&amp;EOMONTH(A48,-1)+1,'Expenses'!$A$2:$A$300,"&lt;="&amp;EOMONTH(A48,0))+IF(C48="Staff Wages",SUMIFS('Salary_Register'!$I$2:$I$300,'Salary_Register'!$B$2:$B$300,B48,'Salary_Register'!$A$2:$A$300,A48),0)</x:f>
        <x:v>0</x:v>
      </x:c>
      <x:c r="F48" s="74" t="n">
        <x:f>D48-E48</x:f>
        <x:v>0</x:v>
      </x:c>
    </x:row>
    <x:row r="49">
      <x:c r="A49" s="76"/>
      <x:c r="D49" s="74"/>
      <x:c r="E49" s="74" t="n">
        <x:f>SUMIFS('Expenses'!$H$2:$H$300,'Expenses'!$B$2:$B$300,B49,'Expenses'!$D$2:$D$300,C49,'Expenses'!$A$2:$A$300,"&gt;="&amp;EOMONTH(A49,-1)+1,'Expenses'!$A$2:$A$300,"&lt;="&amp;EOMONTH(A49,0))+IF(C49="Staff Wages",SUMIFS('Salary_Register'!$I$2:$I$300,'Salary_Register'!$B$2:$B$300,B49,'Salary_Register'!$A$2:$A$300,A49),0)</x:f>
        <x:v>0</x:v>
      </x:c>
      <x:c r="F49" s="74" t="n">
        <x:f>D49-E49</x:f>
        <x:v>0</x:v>
      </x:c>
    </x:row>
    <x:row r="50">
      <x:c r="A50" s="76"/>
      <x:c r="D50" s="74"/>
      <x:c r="E50" s="74" t="n">
        <x:f>SUMIFS('Expenses'!$H$2:$H$300,'Expenses'!$B$2:$B$300,B50,'Expenses'!$D$2:$D$300,C50,'Expenses'!$A$2:$A$300,"&gt;="&amp;EOMONTH(A50,-1)+1,'Expenses'!$A$2:$A$300,"&lt;="&amp;EOMONTH(A50,0))+IF(C50="Staff Wages",SUMIFS('Salary_Register'!$I$2:$I$300,'Salary_Register'!$B$2:$B$300,B50,'Salary_Register'!$A$2:$A$300,A50),0)</x:f>
        <x:v>0</x:v>
      </x:c>
      <x:c r="F50" s="74" t="n">
        <x:f>D50-E50</x:f>
        <x:v>0</x:v>
      </x:c>
    </x:row>
    <x:row r="51">
      <x:c r="A51" s="76"/>
      <x:c r="D51" s="74"/>
      <x:c r="E51" s="74" t="n">
        <x:f>SUMIFS('Expenses'!$H$2:$H$300,'Expenses'!$B$2:$B$300,B51,'Expenses'!$D$2:$D$300,C51,'Expenses'!$A$2:$A$300,"&gt;="&amp;EOMONTH(A51,-1)+1,'Expenses'!$A$2:$A$300,"&lt;="&amp;EOMONTH(A51,0))+IF(C51="Staff Wages",SUMIFS('Salary_Register'!$I$2:$I$300,'Salary_Register'!$B$2:$B$300,B51,'Salary_Register'!$A$2:$A$300,A51),0)</x:f>
        <x:v>0</x:v>
      </x:c>
      <x:c r="F51" s="74" t="n">
        <x:f>D51-E51</x:f>
        <x:v>0</x:v>
      </x:c>
    </x:row>
    <x:row r="52">
      <x:c r="A52" s="76"/>
      <x:c r="D52" s="74"/>
      <x:c r="E52" s="74" t="n">
        <x:f>SUMIFS('Expenses'!$H$2:$H$300,'Expenses'!$B$2:$B$300,B52,'Expenses'!$D$2:$D$300,C52,'Expenses'!$A$2:$A$300,"&gt;="&amp;EOMONTH(A52,-1)+1,'Expenses'!$A$2:$A$300,"&lt;="&amp;EOMONTH(A52,0))+IF(C52="Staff Wages",SUMIFS('Salary_Register'!$I$2:$I$300,'Salary_Register'!$B$2:$B$300,B52,'Salary_Register'!$A$2:$A$300,A52),0)</x:f>
        <x:v>0</x:v>
      </x:c>
      <x:c r="F52" s="74" t="n">
        <x:f>D52-E52</x:f>
        <x:v>0</x:v>
      </x:c>
    </x:row>
    <x:row r="53">
      <x:c r="A53" s="76"/>
      <x:c r="D53" s="74"/>
      <x:c r="E53" s="74" t="n">
        <x:f>SUMIFS('Expenses'!$H$2:$H$300,'Expenses'!$B$2:$B$300,B53,'Expenses'!$D$2:$D$300,C53,'Expenses'!$A$2:$A$300,"&gt;="&amp;EOMONTH(A53,-1)+1,'Expenses'!$A$2:$A$300,"&lt;="&amp;EOMONTH(A53,0))+IF(C53="Staff Wages",SUMIFS('Salary_Register'!$I$2:$I$300,'Salary_Register'!$B$2:$B$300,B53,'Salary_Register'!$A$2:$A$300,A53),0)</x:f>
        <x:v>0</x:v>
      </x:c>
      <x:c r="F53" s="74" t="n">
        <x:f>D53-E53</x:f>
        <x:v>0</x:v>
      </x:c>
    </x:row>
    <x:row r="54">
      <x:c r="A54" s="76"/>
      <x:c r="D54" s="74"/>
      <x:c r="E54" s="74" t="n">
        <x:f>SUMIFS('Expenses'!$H$2:$H$300,'Expenses'!$B$2:$B$300,B54,'Expenses'!$D$2:$D$300,C54,'Expenses'!$A$2:$A$300,"&gt;="&amp;EOMONTH(A54,-1)+1,'Expenses'!$A$2:$A$300,"&lt;="&amp;EOMONTH(A54,0))+IF(C54="Staff Wages",SUMIFS('Salary_Register'!$I$2:$I$300,'Salary_Register'!$B$2:$B$300,B54,'Salary_Register'!$A$2:$A$300,A54),0)</x:f>
        <x:v>0</x:v>
      </x:c>
      <x:c r="F54" s="74" t="n">
        <x:f>D54-E54</x:f>
        <x:v>0</x:v>
      </x:c>
    </x:row>
    <x:row r="55">
      <x:c r="A55" s="76"/>
      <x:c r="D55" s="74"/>
      <x:c r="E55" s="74" t="n">
        <x:f>SUMIFS('Expenses'!$H$2:$H$300,'Expenses'!$B$2:$B$300,B55,'Expenses'!$D$2:$D$300,C55,'Expenses'!$A$2:$A$300,"&gt;="&amp;EOMONTH(A55,-1)+1,'Expenses'!$A$2:$A$300,"&lt;="&amp;EOMONTH(A55,0))+IF(C55="Staff Wages",SUMIFS('Salary_Register'!$I$2:$I$300,'Salary_Register'!$B$2:$B$300,B55,'Salary_Register'!$A$2:$A$300,A55),0)</x:f>
        <x:v>0</x:v>
      </x:c>
      <x:c r="F55" s="74" t="n">
        <x:f>D55-E55</x:f>
        <x:v>0</x:v>
      </x:c>
    </x:row>
    <x:row r="56">
      <x:c r="A56" s="76"/>
      <x:c r="D56" s="74"/>
      <x:c r="E56" s="74" t="n">
        <x:f>SUMIFS('Expenses'!$H$2:$H$300,'Expenses'!$B$2:$B$300,B56,'Expenses'!$D$2:$D$300,C56,'Expenses'!$A$2:$A$300,"&gt;="&amp;EOMONTH(A56,-1)+1,'Expenses'!$A$2:$A$300,"&lt;="&amp;EOMONTH(A56,0))+IF(C56="Staff Wages",SUMIFS('Salary_Register'!$I$2:$I$300,'Salary_Register'!$B$2:$B$300,B56,'Salary_Register'!$A$2:$A$300,A56),0)</x:f>
        <x:v>0</x:v>
      </x:c>
      <x:c r="F56" s="74" t="n">
        <x:f>D56-E56</x:f>
        <x:v>0</x:v>
      </x:c>
    </x:row>
    <x:row r="57">
      <x:c r="A57" s="76"/>
      <x:c r="D57" s="74"/>
      <x:c r="E57" s="74" t="n">
        <x:f>SUMIFS('Expenses'!$H$2:$H$300,'Expenses'!$B$2:$B$300,B57,'Expenses'!$D$2:$D$300,C57,'Expenses'!$A$2:$A$300,"&gt;="&amp;EOMONTH(A57,-1)+1,'Expenses'!$A$2:$A$300,"&lt;="&amp;EOMONTH(A57,0))+IF(C57="Staff Wages",SUMIFS('Salary_Register'!$I$2:$I$300,'Salary_Register'!$B$2:$B$300,B57,'Salary_Register'!$A$2:$A$300,A57),0)</x:f>
        <x:v>0</x:v>
      </x:c>
      <x:c r="F57" s="74" t="n">
        <x:f>D57-E57</x:f>
        <x:v>0</x:v>
      </x:c>
    </x:row>
    <x:row r="58">
      <x:c r="A58" s="76"/>
      <x:c r="D58" s="74"/>
      <x:c r="E58" s="74" t="n">
        <x:f>SUMIFS('Expenses'!$H$2:$H$300,'Expenses'!$B$2:$B$300,B58,'Expenses'!$D$2:$D$300,C58,'Expenses'!$A$2:$A$300,"&gt;="&amp;EOMONTH(A58,-1)+1,'Expenses'!$A$2:$A$300,"&lt;="&amp;EOMONTH(A58,0))+IF(C58="Staff Wages",SUMIFS('Salary_Register'!$I$2:$I$300,'Salary_Register'!$B$2:$B$300,B58,'Salary_Register'!$A$2:$A$300,A58),0)</x:f>
        <x:v>0</x:v>
      </x:c>
      <x:c r="F58" s="74" t="n">
        <x:f>D58-E58</x:f>
        <x:v>0</x:v>
      </x:c>
    </x:row>
    <x:row r="59">
      <x:c r="A59" s="76"/>
      <x:c r="D59" s="74"/>
      <x:c r="E59" s="74" t="n">
        <x:f>SUMIFS('Expenses'!$H$2:$H$300,'Expenses'!$B$2:$B$300,B59,'Expenses'!$D$2:$D$300,C59,'Expenses'!$A$2:$A$300,"&gt;="&amp;EOMONTH(A59,-1)+1,'Expenses'!$A$2:$A$300,"&lt;="&amp;EOMONTH(A59,0))+IF(C59="Staff Wages",SUMIFS('Salary_Register'!$I$2:$I$300,'Salary_Register'!$B$2:$B$300,B59,'Salary_Register'!$A$2:$A$300,A59),0)</x:f>
        <x:v>0</x:v>
      </x:c>
      <x:c r="F59" s="74" t="n">
        <x:f>D59-E59</x:f>
        <x:v>0</x:v>
      </x:c>
    </x:row>
    <x:row r="60">
      <x:c r="A60" s="76"/>
      <x:c r="D60" s="74"/>
      <x:c r="E60" s="74" t="n">
        <x:f>SUMIFS('Expenses'!$H$2:$H$300,'Expenses'!$B$2:$B$300,B60,'Expenses'!$D$2:$D$300,C60,'Expenses'!$A$2:$A$300,"&gt;="&amp;EOMONTH(A60,-1)+1,'Expenses'!$A$2:$A$300,"&lt;="&amp;EOMONTH(A60,0))+IF(C60="Staff Wages",SUMIFS('Salary_Register'!$I$2:$I$300,'Salary_Register'!$B$2:$B$300,B60,'Salary_Register'!$A$2:$A$300,A60),0)</x:f>
        <x:v>0</x:v>
      </x:c>
      <x:c r="F60" s="74" t="n">
        <x:f>D60-E60</x:f>
        <x:v>0</x:v>
      </x:c>
    </x:row>
    <x:row r="61">
      <x:c r="A61" s="76"/>
      <x:c r="D61" s="74"/>
      <x:c r="E61" s="74" t="n">
        <x:f>SUMIFS('Expenses'!$H$2:$H$300,'Expenses'!$B$2:$B$300,B61,'Expenses'!$D$2:$D$300,C61,'Expenses'!$A$2:$A$300,"&gt;="&amp;EOMONTH(A61,-1)+1,'Expenses'!$A$2:$A$300,"&lt;="&amp;EOMONTH(A61,0))+IF(C61="Staff Wages",SUMIFS('Salary_Register'!$I$2:$I$300,'Salary_Register'!$B$2:$B$300,B61,'Salary_Register'!$A$2:$A$300,A61),0)</x:f>
        <x:v>0</x:v>
      </x:c>
      <x:c r="F61" s="74" t="n">
        <x:f>D61-E61</x:f>
        <x:v>0</x:v>
      </x:c>
    </x:row>
    <x:row r="62">
      <x:c r="A62" s="76"/>
      <x:c r="D62" s="74"/>
      <x:c r="E62" s="74" t="n">
        <x:f>SUMIFS('Expenses'!$H$2:$H$300,'Expenses'!$B$2:$B$300,B62,'Expenses'!$D$2:$D$300,C62,'Expenses'!$A$2:$A$300,"&gt;="&amp;EOMONTH(A62,-1)+1,'Expenses'!$A$2:$A$300,"&lt;="&amp;EOMONTH(A62,0))+IF(C62="Staff Wages",SUMIFS('Salary_Register'!$I$2:$I$300,'Salary_Register'!$B$2:$B$300,B62,'Salary_Register'!$A$2:$A$300,A62),0)</x:f>
        <x:v>0</x:v>
      </x:c>
      <x:c r="F62" s="74" t="n">
        <x:f>D62-E62</x:f>
        <x:v>0</x:v>
      </x:c>
    </x:row>
    <x:row r="63">
      <x:c r="A63" s="76"/>
      <x:c r="D63" s="74"/>
      <x:c r="E63" s="74" t="n">
        <x:f>SUMIFS('Expenses'!$H$2:$H$300,'Expenses'!$B$2:$B$300,B63,'Expenses'!$D$2:$D$300,C63,'Expenses'!$A$2:$A$300,"&gt;="&amp;EOMONTH(A63,-1)+1,'Expenses'!$A$2:$A$300,"&lt;="&amp;EOMONTH(A63,0))+IF(C63="Staff Wages",SUMIFS('Salary_Register'!$I$2:$I$300,'Salary_Register'!$B$2:$B$300,B63,'Salary_Register'!$A$2:$A$300,A63),0)</x:f>
        <x:v>0</x:v>
      </x:c>
      <x:c r="F63" s="74" t="n">
        <x:f>D63-E63</x:f>
        <x:v>0</x:v>
      </x:c>
    </x:row>
    <x:row r="64">
      <x:c r="A64" s="76"/>
      <x:c r="D64" s="74"/>
      <x:c r="E64" s="74" t="n">
        <x:f>SUMIFS('Expenses'!$H$2:$H$300,'Expenses'!$B$2:$B$300,B64,'Expenses'!$D$2:$D$300,C64,'Expenses'!$A$2:$A$300,"&gt;="&amp;EOMONTH(A64,-1)+1,'Expenses'!$A$2:$A$300,"&lt;="&amp;EOMONTH(A64,0))+IF(C64="Staff Wages",SUMIFS('Salary_Register'!$I$2:$I$300,'Salary_Register'!$B$2:$B$300,B64,'Salary_Register'!$A$2:$A$300,A64),0)</x:f>
        <x:v>0</x:v>
      </x:c>
      <x:c r="F64" s="74" t="n">
        <x:f>D64-E64</x:f>
        <x:v>0</x:v>
      </x:c>
    </x:row>
    <x:row r="65">
      <x:c r="A65" s="76"/>
      <x:c r="D65" s="74"/>
      <x:c r="E65" s="74" t="n">
        <x:f>SUMIFS('Expenses'!$H$2:$H$300,'Expenses'!$B$2:$B$300,B65,'Expenses'!$D$2:$D$300,C65,'Expenses'!$A$2:$A$300,"&gt;="&amp;EOMONTH(A65,-1)+1,'Expenses'!$A$2:$A$300,"&lt;="&amp;EOMONTH(A65,0))+IF(C65="Staff Wages",SUMIFS('Salary_Register'!$I$2:$I$300,'Salary_Register'!$B$2:$B$300,B65,'Salary_Register'!$A$2:$A$300,A65),0)</x:f>
        <x:v>0</x:v>
      </x:c>
      <x:c r="F65" s="74" t="n">
        <x:f>D65-E65</x:f>
        <x:v>0</x:v>
      </x:c>
    </x:row>
    <x:row r="66">
      <x:c r="A66" s="76"/>
      <x:c r="D66" s="74"/>
      <x:c r="E66" s="74" t="n">
        <x:f>SUMIFS('Expenses'!$H$2:$H$300,'Expenses'!$B$2:$B$300,B66,'Expenses'!$D$2:$D$300,C66,'Expenses'!$A$2:$A$300,"&gt;="&amp;EOMONTH(A66,-1)+1,'Expenses'!$A$2:$A$300,"&lt;="&amp;EOMONTH(A66,0))+IF(C66="Staff Wages",SUMIFS('Salary_Register'!$I$2:$I$300,'Salary_Register'!$B$2:$B$300,B66,'Salary_Register'!$A$2:$A$300,A66),0)</x:f>
        <x:v>0</x:v>
      </x:c>
      <x:c r="F66" s="74" t="n">
        <x:f>D66-E66</x:f>
        <x:v>0</x:v>
      </x:c>
    </x:row>
    <x:row r="67">
      <x:c r="A67" s="76"/>
      <x:c r="D67" s="74"/>
      <x:c r="E67" s="74" t="n">
        <x:f>SUMIFS('Expenses'!$H$2:$H$300,'Expenses'!$B$2:$B$300,B67,'Expenses'!$D$2:$D$300,C67,'Expenses'!$A$2:$A$300,"&gt;="&amp;EOMONTH(A67,-1)+1,'Expenses'!$A$2:$A$300,"&lt;="&amp;EOMONTH(A67,0))+IF(C67="Staff Wages",SUMIFS('Salary_Register'!$I$2:$I$300,'Salary_Register'!$B$2:$B$300,B67,'Salary_Register'!$A$2:$A$300,A67),0)</x:f>
        <x:v>0</x:v>
      </x:c>
      <x:c r="F67" s="74" t="n">
        <x:f>D67-E67</x:f>
        <x:v>0</x:v>
      </x:c>
    </x:row>
    <x:row r="68">
      <x:c r="A68" s="76"/>
      <x:c r="D68" s="74"/>
      <x:c r="E68" s="74" t="n">
        <x:f>SUMIFS('Expenses'!$H$2:$H$300,'Expenses'!$B$2:$B$300,B68,'Expenses'!$D$2:$D$300,C68,'Expenses'!$A$2:$A$300,"&gt;="&amp;EOMONTH(A68,-1)+1,'Expenses'!$A$2:$A$300,"&lt;="&amp;EOMONTH(A68,0))+IF(C68="Staff Wages",SUMIFS('Salary_Register'!$I$2:$I$300,'Salary_Register'!$B$2:$B$300,B68,'Salary_Register'!$A$2:$A$300,A68),0)</x:f>
        <x:v>0</x:v>
      </x:c>
      <x:c r="F68" s="74" t="n">
        <x:f>D68-E68</x:f>
        <x:v>0</x:v>
      </x:c>
    </x:row>
    <x:row r="69">
      <x:c r="A69" s="76"/>
      <x:c r="D69" s="74"/>
      <x:c r="E69" s="74" t="n">
        <x:f>SUMIFS('Expenses'!$H$2:$H$300,'Expenses'!$B$2:$B$300,B69,'Expenses'!$D$2:$D$300,C69,'Expenses'!$A$2:$A$300,"&gt;="&amp;EOMONTH(A69,-1)+1,'Expenses'!$A$2:$A$300,"&lt;="&amp;EOMONTH(A69,0))+IF(C69="Staff Wages",SUMIFS('Salary_Register'!$I$2:$I$300,'Salary_Register'!$B$2:$B$300,B69,'Salary_Register'!$A$2:$A$300,A69),0)</x:f>
        <x:v>0</x:v>
      </x:c>
      <x:c r="F69" s="74" t="n">
        <x:f>D69-E69</x:f>
        <x:v>0</x:v>
      </x:c>
    </x:row>
    <x:row r="70">
      <x:c r="A70" s="76"/>
      <x:c r="D70" s="74"/>
      <x:c r="E70" s="74" t="n">
        <x:f>SUMIFS('Expenses'!$H$2:$H$300,'Expenses'!$B$2:$B$300,B70,'Expenses'!$D$2:$D$300,C70,'Expenses'!$A$2:$A$300,"&gt;="&amp;EOMONTH(A70,-1)+1,'Expenses'!$A$2:$A$300,"&lt;="&amp;EOMONTH(A70,0))+IF(C70="Staff Wages",SUMIFS('Salary_Register'!$I$2:$I$300,'Salary_Register'!$B$2:$B$300,B70,'Salary_Register'!$A$2:$A$300,A70),0)</x:f>
        <x:v>0</x:v>
      </x:c>
      <x:c r="F70" s="74" t="n">
        <x:f>D70-E70</x:f>
        <x:v>0</x:v>
      </x:c>
    </x:row>
    <x:row r="71">
      <x:c r="A71" s="76"/>
      <x:c r="D71" s="74"/>
      <x:c r="E71" s="74" t="n">
        <x:f>SUMIFS('Expenses'!$H$2:$H$300,'Expenses'!$B$2:$B$300,B71,'Expenses'!$D$2:$D$300,C71,'Expenses'!$A$2:$A$300,"&gt;="&amp;EOMONTH(A71,-1)+1,'Expenses'!$A$2:$A$300,"&lt;="&amp;EOMONTH(A71,0))+IF(C71="Staff Wages",SUMIFS('Salary_Register'!$I$2:$I$300,'Salary_Register'!$B$2:$B$300,B71,'Salary_Register'!$A$2:$A$300,A71),0)</x:f>
        <x:v>0</x:v>
      </x:c>
      <x:c r="F71" s="74" t="n">
        <x:f>D71-E71</x:f>
        <x:v>0</x:v>
      </x:c>
    </x:row>
    <x:row r="72">
      <x:c r="A72" s="76"/>
      <x:c r="D72" s="74"/>
      <x:c r="E72" s="74" t="n">
        <x:f>SUMIFS('Expenses'!$H$2:$H$300,'Expenses'!$B$2:$B$300,B72,'Expenses'!$D$2:$D$300,C72,'Expenses'!$A$2:$A$300,"&gt;="&amp;EOMONTH(A72,-1)+1,'Expenses'!$A$2:$A$300,"&lt;="&amp;EOMONTH(A72,0))+IF(C72="Staff Wages",SUMIFS('Salary_Register'!$I$2:$I$300,'Salary_Register'!$B$2:$B$300,B72,'Salary_Register'!$A$2:$A$300,A72),0)</x:f>
        <x:v>0</x:v>
      </x:c>
      <x:c r="F72" s="74" t="n">
        <x:f>D72-E72</x:f>
        <x:v>0</x:v>
      </x:c>
    </x:row>
    <x:row r="73">
      <x:c r="A73" s="76"/>
      <x:c r="D73" s="74"/>
      <x:c r="E73" s="74" t="n">
        <x:f>SUMIFS('Expenses'!$H$2:$H$300,'Expenses'!$B$2:$B$300,B73,'Expenses'!$D$2:$D$300,C73,'Expenses'!$A$2:$A$300,"&gt;="&amp;EOMONTH(A73,-1)+1,'Expenses'!$A$2:$A$300,"&lt;="&amp;EOMONTH(A73,0))+IF(C73="Staff Wages",SUMIFS('Salary_Register'!$I$2:$I$300,'Salary_Register'!$B$2:$B$300,B73,'Salary_Register'!$A$2:$A$300,A73),0)</x:f>
        <x:v>0</x:v>
      </x:c>
      <x:c r="F73" s="74" t="n">
        <x:f>D73-E73</x:f>
        <x:v>0</x:v>
      </x:c>
    </x:row>
    <x:row r="74">
      <x:c r="A74" s="76"/>
      <x:c r="D74" s="74"/>
      <x:c r="E74" s="74" t="n">
        <x:f>SUMIFS('Expenses'!$H$2:$H$300,'Expenses'!$B$2:$B$300,B74,'Expenses'!$D$2:$D$300,C74,'Expenses'!$A$2:$A$300,"&gt;="&amp;EOMONTH(A74,-1)+1,'Expenses'!$A$2:$A$300,"&lt;="&amp;EOMONTH(A74,0))+IF(C74="Staff Wages",SUMIFS('Salary_Register'!$I$2:$I$300,'Salary_Register'!$B$2:$B$300,B74,'Salary_Register'!$A$2:$A$300,A74),0)</x:f>
        <x:v>0</x:v>
      </x:c>
      <x:c r="F74" s="74" t="n">
        <x:f>D74-E74</x:f>
        <x:v>0</x:v>
      </x:c>
    </x:row>
    <x:row r="75">
      <x:c r="A75" s="76"/>
      <x:c r="D75" s="74"/>
      <x:c r="E75" s="74" t="n">
        <x:f>SUMIFS('Expenses'!$H$2:$H$300,'Expenses'!$B$2:$B$300,B75,'Expenses'!$D$2:$D$300,C75,'Expenses'!$A$2:$A$300,"&gt;="&amp;EOMONTH(A75,-1)+1,'Expenses'!$A$2:$A$300,"&lt;="&amp;EOMONTH(A75,0))+IF(C75="Staff Wages",SUMIFS('Salary_Register'!$I$2:$I$300,'Salary_Register'!$B$2:$B$300,B75,'Salary_Register'!$A$2:$A$300,A75),0)</x:f>
        <x:v>0</x:v>
      </x:c>
      <x:c r="F75" s="74" t="n">
        <x:f>D75-E75</x:f>
        <x:v>0</x:v>
      </x:c>
    </x:row>
    <x:row r="76">
      <x:c r="A76" s="76"/>
      <x:c r="D76" s="74"/>
      <x:c r="E76" s="74" t="n">
        <x:f>SUMIFS('Expenses'!$H$2:$H$300,'Expenses'!$B$2:$B$300,B76,'Expenses'!$D$2:$D$300,C76,'Expenses'!$A$2:$A$300,"&gt;="&amp;EOMONTH(A76,-1)+1,'Expenses'!$A$2:$A$300,"&lt;="&amp;EOMONTH(A76,0))+IF(C76="Staff Wages",SUMIFS('Salary_Register'!$I$2:$I$300,'Salary_Register'!$B$2:$B$300,B76,'Salary_Register'!$A$2:$A$300,A76),0)</x:f>
        <x:v>0</x:v>
      </x:c>
      <x:c r="F76" s="74" t="n">
        <x:f>D76-E76</x:f>
        <x:v>0</x:v>
      </x:c>
    </x:row>
    <x:row r="77">
      <x:c r="A77" s="76"/>
      <x:c r="D77" s="74"/>
      <x:c r="E77" s="74" t="n">
        <x:f>SUMIFS('Expenses'!$H$2:$H$300,'Expenses'!$B$2:$B$300,B77,'Expenses'!$D$2:$D$300,C77,'Expenses'!$A$2:$A$300,"&gt;="&amp;EOMONTH(A77,-1)+1,'Expenses'!$A$2:$A$300,"&lt;="&amp;EOMONTH(A77,0))+IF(C77="Staff Wages",SUMIFS('Salary_Register'!$I$2:$I$300,'Salary_Register'!$B$2:$B$300,B77,'Salary_Register'!$A$2:$A$300,A77),0)</x:f>
        <x:v>0</x:v>
      </x:c>
      <x:c r="F77" s="74" t="n">
        <x:f>D77-E77</x:f>
        <x:v>0</x:v>
      </x:c>
    </x:row>
    <x:row r="78">
      <x:c r="A78" s="76"/>
      <x:c r="D78" s="74"/>
      <x:c r="E78" s="74" t="n">
        <x:f>SUMIFS('Expenses'!$H$2:$H$300,'Expenses'!$B$2:$B$300,B78,'Expenses'!$D$2:$D$300,C78,'Expenses'!$A$2:$A$300,"&gt;="&amp;EOMONTH(A78,-1)+1,'Expenses'!$A$2:$A$300,"&lt;="&amp;EOMONTH(A78,0))+IF(C78="Staff Wages",SUMIFS('Salary_Register'!$I$2:$I$300,'Salary_Register'!$B$2:$B$300,B78,'Salary_Register'!$A$2:$A$300,A78),0)</x:f>
        <x:v>0</x:v>
      </x:c>
      <x:c r="F78" s="74" t="n">
        <x:f>D78-E78</x:f>
        <x:v>0</x:v>
      </x:c>
    </x:row>
    <x:row r="79">
      <x:c r="A79" s="76"/>
      <x:c r="D79" s="74"/>
      <x:c r="E79" s="74" t="n">
        <x:f>SUMIFS('Expenses'!$H$2:$H$300,'Expenses'!$B$2:$B$300,B79,'Expenses'!$D$2:$D$300,C79,'Expenses'!$A$2:$A$300,"&gt;="&amp;EOMONTH(A79,-1)+1,'Expenses'!$A$2:$A$300,"&lt;="&amp;EOMONTH(A79,0))+IF(C79="Staff Wages",SUMIFS('Salary_Register'!$I$2:$I$300,'Salary_Register'!$B$2:$B$300,B79,'Salary_Register'!$A$2:$A$300,A79),0)</x:f>
        <x:v>0</x:v>
      </x:c>
      <x:c r="F79" s="74" t="n">
        <x:f>D79-E79</x:f>
        <x:v>0</x:v>
      </x:c>
    </x:row>
    <x:row r="80">
      <x:c r="A80" s="76"/>
      <x:c r="D80" s="74"/>
      <x:c r="E80" s="74" t="n">
        <x:f>SUMIFS('Expenses'!$H$2:$H$300,'Expenses'!$B$2:$B$300,B80,'Expenses'!$D$2:$D$300,C80,'Expenses'!$A$2:$A$300,"&gt;="&amp;EOMONTH(A80,-1)+1,'Expenses'!$A$2:$A$300,"&lt;="&amp;EOMONTH(A80,0))+IF(C80="Staff Wages",SUMIFS('Salary_Register'!$I$2:$I$300,'Salary_Register'!$B$2:$B$300,B80,'Salary_Register'!$A$2:$A$300,A80),0)</x:f>
        <x:v>0</x:v>
      </x:c>
      <x:c r="F80" s="74" t="n">
        <x:f>D80-E80</x:f>
        <x:v>0</x:v>
      </x:c>
    </x:row>
    <x:row r="81">
      <x:c r="A81" s="76"/>
      <x:c r="D81" s="74"/>
      <x:c r="E81" s="74" t="n">
        <x:f>SUMIFS('Expenses'!$H$2:$H$300,'Expenses'!$B$2:$B$300,B81,'Expenses'!$D$2:$D$300,C81,'Expenses'!$A$2:$A$300,"&gt;="&amp;EOMONTH(A81,-1)+1,'Expenses'!$A$2:$A$300,"&lt;="&amp;EOMONTH(A81,0))+IF(C81="Staff Wages",SUMIFS('Salary_Register'!$I$2:$I$300,'Salary_Register'!$B$2:$B$300,B81,'Salary_Register'!$A$2:$A$300,A81),0)</x:f>
        <x:v>0</x:v>
      </x:c>
      <x:c r="F81" s="74" t="n">
        <x:f>D81-E81</x:f>
        <x:v>0</x:v>
      </x:c>
    </x:row>
    <x:row r="82">
      <x:c r="A82" s="76"/>
      <x:c r="D82" s="74"/>
      <x:c r="E82" s="74" t="n">
        <x:f>SUMIFS('Expenses'!$H$2:$H$300,'Expenses'!$B$2:$B$300,B82,'Expenses'!$D$2:$D$300,C82,'Expenses'!$A$2:$A$300,"&gt;="&amp;EOMONTH(A82,-1)+1,'Expenses'!$A$2:$A$300,"&lt;="&amp;EOMONTH(A82,0))+IF(C82="Staff Wages",SUMIFS('Salary_Register'!$I$2:$I$300,'Salary_Register'!$B$2:$B$300,B82,'Salary_Register'!$A$2:$A$300,A82),0)</x:f>
        <x:v>0</x:v>
      </x:c>
      <x:c r="F82" s="74" t="n">
        <x:f>D82-E82</x:f>
        <x:v>0</x:v>
      </x:c>
    </x:row>
    <x:row r="83">
      <x:c r="A83" s="76"/>
      <x:c r="D83" s="74"/>
      <x:c r="E83" s="74" t="n">
        <x:f>SUMIFS('Expenses'!$H$2:$H$300,'Expenses'!$B$2:$B$300,B83,'Expenses'!$D$2:$D$300,C83,'Expenses'!$A$2:$A$300,"&gt;="&amp;EOMONTH(A83,-1)+1,'Expenses'!$A$2:$A$300,"&lt;="&amp;EOMONTH(A83,0))+IF(C83="Staff Wages",SUMIFS('Salary_Register'!$I$2:$I$300,'Salary_Register'!$B$2:$B$300,B83,'Salary_Register'!$A$2:$A$300,A83),0)</x:f>
        <x:v>0</x:v>
      </x:c>
      <x:c r="F83" s="74" t="n">
        <x:f>D83-E83</x:f>
        <x:v>0</x:v>
      </x:c>
    </x:row>
    <x:row r="84">
      <x:c r="A84" s="76"/>
      <x:c r="D84" s="74"/>
      <x:c r="E84" s="74" t="n">
        <x:f>SUMIFS('Expenses'!$H$2:$H$300,'Expenses'!$B$2:$B$300,B84,'Expenses'!$D$2:$D$300,C84,'Expenses'!$A$2:$A$300,"&gt;="&amp;EOMONTH(A84,-1)+1,'Expenses'!$A$2:$A$300,"&lt;="&amp;EOMONTH(A84,0))+IF(C84="Staff Wages",SUMIFS('Salary_Register'!$I$2:$I$300,'Salary_Register'!$B$2:$B$300,B84,'Salary_Register'!$A$2:$A$300,A84),0)</x:f>
        <x:v>0</x:v>
      </x:c>
      <x:c r="F84" s="74" t="n">
        <x:f>D84-E84</x:f>
        <x:v>0</x:v>
      </x:c>
    </x:row>
    <x:row r="85">
      <x:c r="A85" s="76"/>
      <x:c r="D85" s="74"/>
      <x:c r="E85" s="74" t="n">
        <x:f>SUMIFS('Expenses'!$H$2:$H$300,'Expenses'!$B$2:$B$300,B85,'Expenses'!$D$2:$D$300,C85,'Expenses'!$A$2:$A$300,"&gt;="&amp;EOMONTH(A85,-1)+1,'Expenses'!$A$2:$A$300,"&lt;="&amp;EOMONTH(A85,0))+IF(C85="Staff Wages",SUMIFS('Salary_Register'!$I$2:$I$300,'Salary_Register'!$B$2:$B$300,B85,'Salary_Register'!$A$2:$A$300,A85),0)</x:f>
        <x:v>0</x:v>
      </x:c>
      <x:c r="F85" s="74" t="n">
        <x:f>D85-E85</x:f>
        <x:v>0</x:v>
      </x:c>
    </x:row>
    <x:row r="86">
      <x:c r="A86" s="76"/>
      <x:c r="D86" s="74"/>
      <x:c r="E86" s="74" t="n">
        <x:f>SUMIFS('Expenses'!$H$2:$H$300,'Expenses'!$B$2:$B$300,B86,'Expenses'!$D$2:$D$300,C86,'Expenses'!$A$2:$A$300,"&gt;="&amp;EOMONTH(A86,-1)+1,'Expenses'!$A$2:$A$300,"&lt;="&amp;EOMONTH(A86,0))+IF(C86="Staff Wages",SUMIFS('Salary_Register'!$I$2:$I$300,'Salary_Register'!$B$2:$B$300,B86,'Salary_Register'!$A$2:$A$300,A86),0)</x:f>
        <x:v>0</x:v>
      </x:c>
      <x:c r="F86" s="74" t="n">
        <x:f>D86-E86</x:f>
        <x:v>0</x:v>
      </x:c>
    </x:row>
    <x:row r="87">
      <x:c r="A87" s="76"/>
      <x:c r="D87" s="74"/>
      <x:c r="E87" s="74" t="n">
        <x:f>SUMIFS('Expenses'!$H$2:$H$300,'Expenses'!$B$2:$B$300,B87,'Expenses'!$D$2:$D$300,C87,'Expenses'!$A$2:$A$300,"&gt;="&amp;EOMONTH(A87,-1)+1,'Expenses'!$A$2:$A$300,"&lt;="&amp;EOMONTH(A87,0))+IF(C87="Staff Wages",SUMIFS('Salary_Register'!$I$2:$I$300,'Salary_Register'!$B$2:$B$300,B87,'Salary_Register'!$A$2:$A$300,A87),0)</x:f>
        <x:v>0</x:v>
      </x:c>
      <x:c r="F87" s="74" t="n">
        <x:f>D87-E87</x:f>
        <x:v>0</x:v>
      </x:c>
    </x:row>
    <x:row r="88">
      <x:c r="A88" s="76"/>
      <x:c r="D88" s="74"/>
      <x:c r="E88" s="74" t="n">
        <x:f>SUMIFS('Expenses'!$H$2:$H$300,'Expenses'!$B$2:$B$300,B88,'Expenses'!$D$2:$D$300,C88,'Expenses'!$A$2:$A$300,"&gt;="&amp;EOMONTH(A88,-1)+1,'Expenses'!$A$2:$A$300,"&lt;="&amp;EOMONTH(A88,0))+IF(C88="Staff Wages",SUMIFS('Salary_Register'!$I$2:$I$300,'Salary_Register'!$B$2:$B$300,B88,'Salary_Register'!$A$2:$A$300,A88),0)</x:f>
        <x:v>0</x:v>
      </x:c>
      <x:c r="F88" s="74" t="n">
        <x:f>D88-E88</x:f>
        <x:v>0</x:v>
      </x:c>
    </x:row>
    <x:row r="89">
      <x:c r="A89" s="76"/>
      <x:c r="D89" s="74"/>
      <x:c r="E89" s="74" t="n">
        <x:f>SUMIFS('Expenses'!$H$2:$H$300,'Expenses'!$B$2:$B$300,B89,'Expenses'!$D$2:$D$300,C89,'Expenses'!$A$2:$A$300,"&gt;="&amp;EOMONTH(A89,-1)+1,'Expenses'!$A$2:$A$300,"&lt;="&amp;EOMONTH(A89,0))+IF(C89="Staff Wages",SUMIFS('Salary_Register'!$I$2:$I$300,'Salary_Register'!$B$2:$B$300,B89,'Salary_Register'!$A$2:$A$300,A89),0)</x:f>
        <x:v>0</x:v>
      </x:c>
      <x:c r="F89" s="74" t="n">
        <x:f>D89-E89</x:f>
        <x:v>0</x:v>
      </x:c>
    </x:row>
    <x:row r="90">
      <x:c r="A90" s="76"/>
      <x:c r="D90" s="74"/>
      <x:c r="E90" s="74" t="n">
        <x:f>SUMIFS('Expenses'!$H$2:$H$300,'Expenses'!$B$2:$B$300,B90,'Expenses'!$D$2:$D$300,C90,'Expenses'!$A$2:$A$300,"&gt;="&amp;EOMONTH(A90,-1)+1,'Expenses'!$A$2:$A$300,"&lt;="&amp;EOMONTH(A90,0))+IF(C90="Staff Wages",SUMIFS('Salary_Register'!$I$2:$I$300,'Salary_Register'!$B$2:$B$300,B90,'Salary_Register'!$A$2:$A$300,A90),0)</x:f>
        <x:v>0</x:v>
      </x:c>
      <x:c r="F90" s="74" t="n">
        <x:f>D90-E90</x:f>
        <x:v>0</x:v>
      </x:c>
    </x:row>
    <x:row r="91">
      <x:c r="A91" s="76"/>
      <x:c r="D91" s="74"/>
      <x:c r="E91" s="74" t="n">
        <x:f>SUMIFS('Expenses'!$H$2:$H$300,'Expenses'!$B$2:$B$300,B91,'Expenses'!$D$2:$D$300,C91,'Expenses'!$A$2:$A$300,"&gt;="&amp;EOMONTH(A91,-1)+1,'Expenses'!$A$2:$A$300,"&lt;="&amp;EOMONTH(A91,0))+IF(C91="Staff Wages",SUMIFS('Salary_Register'!$I$2:$I$300,'Salary_Register'!$B$2:$B$300,B91,'Salary_Register'!$A$2:$A$300,A91),0)</x:f>
        <x:v>0</x:v>
      </x:c>
      <x:c r="F91" s="74" t="n">
        <x:f>D91-E91</x:f>
        <x:v>0</x:v>
      </x:c>
    </x:row>
    <x:row r="92">
      <x:c r="A92" s="76"/>
      <x:c r="D92" s="74"/>
      <x:c r="E92" s="74" t="n">
        <x:f>SUMIFS('Expenses'!$H$2:$H$300,'Expenses'!$B$2:$B$300,B92,'Expenses'!$D$2:$D$300,C92,'Expenses'!$A$2:$A$300,"&gt;="&amp;EOMONTH(A92,-1)+1,'Expenses'!$A$2:$A$300,"&lt;="&amp;EOMONTH(A92,0))+IF(C92="Staff Wages",SUMIFS('Salary_Register'!$I$2:$I$300,'Salary_Register'!$B$2:$B$300,B92,'Salary_Register'!$A$2:$A$300,A92),0)</x:f>
        <x:v>0</x:v>
      </x:c>
      <x:c r="F92" s="74" t="n">
        <x:f>D92-E92</x:f>
        <x:v>0</x:v>
      </x:c>
    </x:row>
    <x:row r="93">
      <x:c r="A93" s="76"/>
      <x:c r="D93" s="74"/>
      <x:c r="E93" s="74" t="n">
        <x:f>SUMIFS('Expenses'!$H$2:$H$300,'Expenses'!$B$2:$B$300,B93,'Expenses'!$D$2:$D$300,C93,'Expenses'!$A$2:$A$300,"&gt;="&amp;EOMONTH(A93,-1)+1,'Expenses'!$A$2:$A$300,"&lt;="&amp;EOMONTH(A93,0))+IF(C93="Staff Wages",SUMIFS('Salary_Register'!$I$2:$I$300,'Salary_Register'!$B$2:$B$300,B93,'Salary_Register'!$A$2:$A$300,A93),0)</x:f>
        <x:v>0</x:v>
      </x:c>
      <x:c r="F93" s="74" t="n">
        <x:f>D93-E93</x:f>
        <x:v>0</x:v>
      </x:c>
    </x:row>
    <x:row r="94">
      <x:c r="A94" s="76"/>
      <x:c r="D94" s="74"/>
      <x:c r="E94" s="74" t="n">
        <x:f>SUMIFS('Expenses'!$H$2:$H$300,'Expenses'!$B$2:$B$300,B94,'Expenses'!$D$2:$D$300,C94,'Expenses'!$A$2:$A$300,"&gt;="&amp;EOMONTH(A94,-1)+1,'Expenses'!$A$2:$A$300,"&lt;="&amp;EOMONTH(A94,0))+IF(C94="Staff Wages",SUMIFS('Salary_Register'!$I$2:$I$300,'Salary_Register'!$B$2:$B$300,B94,'Salary_Register'!$A$2:$A$300,A94),0)</x:f>
        <x:v>0</x:v>
      </x:c>
      <x:c r="F94" s="74" t="n">
        <x:f>D94-E94</x:f>
        <x:v>0</x:v>
      </x:c>
    </x:row>
    <x:row r="95">
      <x:c r="A95" s="76"/>
      <x:c r="D95" s="74"/>
      <x:c r="E95" s="74" t="n">
        <x:f>SUMIFS('Expenses'!$H$2:$H$300,'Expenses'!$B$2:$B$300,B95,'Expenses'!$D$2:$D$300,C95,'Expenses'!$A$2:$A$300,"&gt;="&amp;EOMONTH(A95,-1)+1,'Expenses'!$A$2:$A$300,"&lt;="&amp;EOMONTH(A95,0))+IF(C95="Staff Wages",SUMIFS('Salary_Register'!$I$2:$I$300,'Salary_Register'!$B$2:$B$300,B95,'Salary_Register'!$A$2:$A$300,A95),0)</x:f>
        <x:v>0</x:v>
      </x:c>
      <x:c r="F95" s="74" t="n">
        <x:f>D95-E95</x:f>
        <x:v>0</x:v>
      </x:c>
    </x:row>
    <x:row r="96">
      <x:c r="A96" s="76"/>
      <x:c r="D96" s="74"/>
      <x:c r="E96" s="74" t="n">
        <x:f>SUMIFS('Expenses'!$H$2:$H$300,'Expenses'!$B$2:$B$300,B96,'Expenses'!$D$2:$D$300,C96,'Expenses'!$A$2:$A$300,"&gt;="&amp;EOMONTH(A96,-1)+1,'Expenses'!$A$2:$A$300,"&lt;="&amp;EOMONTH(A96,0))+IF(C96="Staff Wages",SUMIFS('Salary_Register'!$I$2:$I$300,'Salary_Register'!$B$2:$B$300,B96,'Salary_Register'!$A$2:$A$300,A96),0)</x:f>
        <x:v>0</x:v>
      </x:c>
      <x:c r="F96" s="74" t="n">
        <x:f>D96-E96</x:f>
        <x:v>0</x:v>
      </x:c>
    </x:row>
    <x:row r="97">
      <x:c r="A97" s="76"/>
      <x:c r="D97" s="74"/>
      <x:c r="E97" s="74" t="n">
        <x:f>SUMIFS('Expenses'!$H$2:$H$300,'Expenses'!$B$2:$B$300,B97,'Expenses'!$D$2:$D$300,C97,'Expenses'!$A$2:$A$300,"&gt;="&amp;EOMONTH(A97,-1)+1,'Expenses'!$A$2:$A$300,"&lt;="&amp;EOMONTH(A97,0))+IF(C97="Staff Wages",SUMIFS('Salary_Register'!$I$2:$I$300,'Salary_Register'!$B$2:$B$300,B97,'Salary_Register'!$A$2:$A$300,A97),0)</x:f>
        <x:v>0</x:v>
      </x:c>
      <x:c r="F97" s="74" t="n">
        <x:f>D97-E97</x:f>
        <x:v>0</x:v>
      </x:c>
    </x:row>
    <x:row r="98">
      <x:c r="A98" s="76"/>
      <x:c r="D98" s="74"/>
      <x:c r="E98" s="74" t="n">
        <x:f>SUMIFS('Expenses'!$H$2:$H$300,'Expenses'!$B$2:$B$300,B98,'Expenses'!$D$2:$D$300,C98,'Expenses'!$A$2:$A$300,"&gt;="&amp;EOMONTH(A98,-1)+1,'Expenses'!$A$2:$A$300,"&lt;="&amp;EOMONTH(A98,0))+IF(C98="Staff Wages",SUMIFS('Salary_Register'!$I$2:$I$300,'Salary_Register'!$B$2:$B$300,B98,'Salary_Register'!$A$2:$A$300,A98),0)</x:f>
        <x:v>0</x:v>
      </x:c>
      <x:c r="F98" s="74" t="n">
        <x:f>D98-E98</x:f>
        <x:v>0</x:v>
      </x:c>
    </x:row>
    <x:row r="99">
      <x:c r="A99" s="76"/>
      <x:c r="D99" s="74"/>
      <x:c r="E99" s="74" t="n">
        <x:f>SUMIFS('Expenses'!$H$2:$H$300,'Expenses'!$B$2:$B$300,B99,'Expenses'!$D$2:$D$300,C99,'Expenses'!$A$2:$A$300,"&gt;="&amp;EOMONTH(A99,-1)+1,'Expenses'!$A$2:$A$300,"&lt;="&amp;EOMONTH(A99,0))+IF(C99="Staff Wages",SUMIFS('Salary_Register'!$I$2:$I$300,'Salary_Register'!$B$2:$B$300,B99,'Salary_Register'!$A$2:$A$300,A99),0)</x:f>
        <x:v>0</x:v>
      </x:c>
      <x:c r="F99" s="74" t="n">
        <x:f>D99-E99</x:f>
        <x:v>0</x:v>
      </x:c>
    </x:row>
    <x:row r="100">
      <x:c r="A100" s="76"/>
      <x:c r="D100" s="74"/>
      <x:c r="E100" s="74" t="n">
        <x:f>SUMIFS('Expenses'!$H$2:$H$300,'Expenses'!$B$2:$B$300,B100,'Expenses'!$D$2:$D$300,C100,'Expenses'!$A$2:$A$300,"&gt;="&amp;EOMONTH(A100,-1)+1,'Expenses'!$A$2:$A$300,"&lt;="&amp;EOMONTH(A100,0))+IF(C100="Staff Wages",SUMIFS('Salary_Register'!$I$2:$I$300,'Salary_Register'!$B$2:$B$300,B100,'Salary_Register'!$A$2:$A$300,A100),0)</x:f>
        <x:v>0</x:v>
      </x:c>
      <x:c r="F100" s="74" t="n">
        <x:f>D100-E100</x:f>
        <x:v>0</x:v>
      </x:c>
    </x:row>
    <x:row r="101">
      <x:c r="A101" s="76"/>
      <x:c r="D101" s="74"/>
      <x:c r="E101" s="74" t="n">
        <x:f>SUMIFS('Expenses'!$H$2:$H$300,'Expenses'!$B$2:$B$300,B101,'Expenses'!$D$2:$D$300,C101,'Expenses'!$A$2:$A$300,"&gt;="&amp;EOMONTH(A101,-1)+1,'Expenses'!$A$2:$A$300,"&lt;="&amp;EOMONTH(A101,0))+IF(C101="Staff Wages",SUMIFS('Salary_Register'!$I$2:$I$300,'Salary_Register'!$B$2:$B$300,B101,'Salary_Register'!$A$2:$A$300,A101),0)</x:f>
        <x:v>0</x:v>
      </x:c>
      <x:c r="F101" s="74" t="n">
        <x:f>D101-E101</x:f>
        <x:v>0</x:v>
      </x:c>
    </x:row>
    <x:row r="102">
      <x:c r="A102" s="76"/>
      <x:c r="D102" s="74"/>
      <x:c r="E102" s="74" t="n">
        <x:f>SUMIFS('Expenses'!$H$2:$H$300,'Expenses'!$B$2:$B$300,B102,'Expenses'!$D$2:$D$300,C102,'Expenses'!$A$2:$A$300,"&gt;="&amp;EOMONTH(A102,-1)+1,'Expenses'!$A$2:$A$300,"&lt;="&amp;EOMONTH(A102,0))+IF(C102="Staff Wages",SUMIFS('Salary_Register'!$I$2:$I$300,'Salary_Register'!$B$2:$B$300,B102,'Salary_Register'!$A$2:$A$300,A102),0)</x:f>
        <x:v>0</x:v>
      </x:c>
      <x:c r="F102" s="74" t="n">
        <x:f>D102-E102</x:f>
        <x:v>0</x:v>
      </x:c>
    </x:row>
    <x:row r="103">
      <x:c r="A103" s="76"/>
      <x:c r="D103" s="74"/>
      <x:c r="E103" s="74" t="n">
        <x:f>SUMIFS('Expenses'!$H$2:$H$300,'Expenses'!$B$2:$B$300,B103,'Expenses'!$D$2:$D$300,C103,'Expenses'!$A$2:$A$300,"&gt;="&amp;EOMONTH(A103,-1)+1,'Expenses'!$A$2:$A$300,"&lt;="&amp;EOMONTH(A103,0))+IF(C103="Staff Wages",SUMIFS('Salary_Register'!$I$2:$I$300,'Salary_Register'!$B$2:$B$300,B103,'Salary_Register'!$A$2:$A$300,A103),0)</x:f>
        <x:v>0</x:v>
      </x:c>
      <x:c r="F103" s="74" t="n">
        <x:f>D103-E103</x:f>
        <x:v>0</x:v>
      </x:c>
    </x:row>
    <x:row r="104">
      <x:c r="A104" s="76"/>
      <x:c r="D104" s="74"/>
      <x:c r="E104" s="74" t="n">
        <x:f>SUMIFS('Expenses'!$H$2:$H$300,'Expenses'!$B$2:$B$300,B104,'Expenses'!$D$2:$D$300,C104,'Expenses'!$A$2:$A$300,"&gt;="&amp;EOMONTH(A104,-1)+1,'Expenses'!$A$2:$A$300,"&lt;="&amp;EOMONTH(A104,0))+IF(C104="Staff Wages",SUMIFS('Salary_Register'!$I$2:$I$300,'Salary_Register'!$B$2:$B$300,B104,'Salary_Register'!$A$2:$A$300,A104),0)</x:f>
        <x:v>0</x:v>
      </x:c>
      <x:c r="F104" s="74" t="n">
        <x:f>D104-E104</x:f>
        <x:v>0</x:v>
      </x:c>
    </x:row>
    <x:row r="105">
      <x:c r="A105" s="76"/>
      <x:c r="D105" s="74"/>
      <x:c r="E105" s="74" t="n">
        <x:f>SUMIFS('Expenses'!$H$2:$H$300,'Expenses'!$B$2:$B$300,B105,'Expenses'!$D$2:$D$300,C105,'Expenses'!$A$2:$A$300,"&gt;="&amp;EOMONTH(A105,-1)+1,'Expenses'!$A$2:$A$300,"&lt;="&amp;EOMONTH(A105,0))+IF(C105="Staff Wages",SUMIFS('Salary_Register'!$I$2:$I$300,'Salary_Register'!$B$2:$B$300,B105,'Salary_Register'!$A$2:$A$300,A105),0)</x:f>
        <x:v>0</x:v>
      </x:c>
      <x:c r="F105" s="74" t="n">
        <x:f>D105-E105</x:f>
        <x:v>0</x:v>
      </x:c>
    </x:row>
    <x:row r="106">
      <x:c r="A106" s="76"/>
      <x:c r="D106" s="74"/>
      <x:c r="E106" s="74" t="n">
        <x:f>SUMIFS('Expenses'!$H$2:$H$300,'Expenses'!$B$2:$B$300,B106,'Expenses'!$D$2:$D$300,C106,'Expenses'!$A$2:$A$300,"&gt;="&amp;EOMONTH(A106,-1)+1,'Expenses'!$A$2:$A$300,"&lt;="&amp;EOMONTH(A106,0))+IF(C106="Staff Wages",SUMIFS('Salary_Register'!$I$2:$I$300,'Salary_Register'!$B$2:$B$300,B106,'Salary_Register'!$A$2:$A$300,A106),0)</x:f>
        <x:v>0</x:v>
      </x:c>
      <x:c r="F106" s="74" t="n">
        <x:f>D106-E106</x:f>
        <x:v>0</x:v>
      </x:c>
    </x:row>
    <x:row r="107">
      <x:c r="A107" s="76"/>
      <x:c r="D107" s="74"/>
      <x:c r="E107" s="74" t="n">
        <x:f>SUMIFS('Expenses'!$H$2:$H$300,'Expenses'!$B$2:$B$300,B107,'Expenses'!$D$2:$D$300,C107,'Expenses'!$A$2:$A$300,"&gt;="&amp;EOMONTH(A107,-1)+1,'Expenses'!$A$2:$A$300,"&lt;="&amp;EOMONTH(A107,0))+IF(C107="Staff Wages",SUMIFS('Salary_Register'!$I$2:$I$300,'Salary_Register'!$B$2:$B$300,B107,'Salary_Register'!$A$2:$A$300,A107),0)</x:f>
        <x:v>0</x:v>
      </x:c>
      <x:c r="F107" s="74" t="n">
        <x:f>D107-E107</x:f>
        <x:v>0</x:v>
      </x:c>
    </x:row>
    <x:row r="108">
      <x:c r="A108" s="76"/>
      <x:c r="D108" s="74"/>
      <x:c r="E108" s="74" t="n">
        <x:f>SUMIFS('Expenses'!$H$2:$H$300,'Expenses'!$B$2:$B$300,B108,'Expenses'!$D$2:$D$300,C108,'Expenses'!$A$2:$A$300,"&gt;="&amp;EOMONTH(A108,-1)+1,'Expenses'!$A$2:$A$300,"&lt;="&amp;EOMONTH(A108,0))+IF(C108="Staff Wages",SUMIFS('Salary_Register'!$I$2:$I$300,'Salary_Register'!$B$2:$B$300,B108,'Salary_Register'!$A$2:$A$300,A108),0)</x:f>
        <x:v>0</x:v>
      </x:c>
      <x:c r="F108" s="74" t="n">
        <x:f>D108-E108</x:f>
        <x:v>0</x:v>
      </x:c>
    </x:row>
    <x:row r="109">
      <x:c r="A109" s="76"/>
      <x:c r="D109" s="74"/>
      <x:c r="E109" s="74" t="n">
        <x:f>SUMIFS('Expenses'!$H$2:$H$300,'Expenses'!$B$2:$B$300,B109,'Expenses'!$D$2:$D$300,C109,'Expenses'!$A$2:$A$300,"&gt;="&amp;EOMONTH(A109,-1)+1,'Expenses'!$A$2:$A$300,"&lt;="&amp;EOMONTH(A109,0))+IF(C109="Staff Wages",SUMIFS('Salary_Register'!$I$2:$I$300,'Salary_Register'!$B$2:$B$300,B109,'Salary_Register'!$A$2:$A$300,A109),0)</x:f>
        <x:v>0</x:v>
      </x:c>
      <x:c r="F109" s="74" t="n">
        <x:f>D109-E109</x:f>
        <x:v>0</x:v>
      </x:c>
    </x:row>
    <x:row r="110">
      <x:c r="A110" s="76"/>
      <x:c r="D110" s="74"/>
      <x:c r="E110" s="74" t="n">
        <x:f>SUMIFS('Expenses'!$H$2:$H$300,'Expenses'!$B$2:$B$300,B110,'Expenses'!$D$2:$D$300,C110,'Expenses'!$A$2:$A$300,"&gt;="&amp;EOMONTH(A110,-1)+1,'Expenses'!$A$2:$A$300,"&lt;="&amp;EOMONTH(A110,0))+IF(C110="Staff Wages",SUMIFS('Salary_Register'!$I$2:$I$300,'Salary_Register'!$B$2:$B$300,B110,'Salary_Register'!$A$2:$A$300,A110),0)</x:f>
        <x:v>0</x:v>
      </x:c>
      <x:c r="F110" s="74" t="n">
        <x:f>D110-E110</x:f>
        <x:v>0</x:v>
      </x:c>
    </x:row>
    <x:row r="111">
      <x:c r="A111" s="76"/>
      <x:c r="D111" s="74"/>
      <x:c r="E111" s="74" t="n">
        <x:f>SUMIFS('Expenses'!$H$2:$H$300,'Expenses'!$B$2:$B$300,B111,'Expenses'!$D$2:$D$300,C111,'Expenses'!$A$2:$A$300,"&gt;="&amp;EOMONTH(A111,-1)+1,'Expenses'!$A$2:$A$300,"&lt;="&amp;EOMONTH(A111,0))+IF(C111="Staff Wages",SUMIFS('Salary_Register'!$I$2:$I$300,'Salary_Register'!$B$2:$B$300,B111,'Salary_Register'!$A$2:$A$300,A111),0)</x:f>
        <x:v>0</x:v>
      </x:c>
      <x:c r="F111" s="74" t="n">
        <x:f>D111-E111</x:f>
        <x:v>0</x:v>
      </x:c>
    </x:row>
    <x:row r="112">
      <x:c r="A112" s="76"/>
      <x:c r="D112" s="74"/>
      <x:c r="E112" s="74" t="n">
        <x:f>SUMIFS('Expenses'!$H$2:$H$300,'Expenses'!$B$2:$B$300,B112,'Expenses'!$D$2:$D$300,C112,'Expenses'!$A$2:$A$300,"&gt;="&amp;EOMONTH(A112,-1)+1,'Expenses'!$A$2:$A$300,"&lt;="&amp;EOMONTH(A112,0))+IF(C112="Staff Wages",SUMIFS('Salary_Register'!$I$2:$I$300,'Salary_Register'!$B$2:$B$300,B112,'Salary_Register'!$A$2:$A$300,A112),0)</x:f>
        <x:v>0</x:v>
      </x:c>
      <x:c r="F112" s="74" t="n">
        <x:f>D112-E112</x:f>
        <x:v>0</x:v>
      </x:c>
    </x:row>
    <x:row r="113">
      <x:c r="A113" s="76"/>
      <x:c r="D113" s="74"/>
      <x:c r="E113" s="74" t="n">
        <x:f>SUMIFS('Expenses'!$H$2:$H$300,'Expenses'!$B$2:$B$300,B113,'Expenses'!$D$2:$D$300,C113,'Expenses'!$A$2:$A$300,"&gt;="&amp;EOMONTH(A113,-1)+1,'Expenses'!$A$2:$A$300,"&lt;="&amp;EOMONTH(A113,0))+IF(C113="Staff Wages",SUMIFS('Salary_Register'!$I$2:$I$300,'Salary_Register'!$B$2:$B$300,B113,'Salary_Register'!$A$2:$A$300,A113),0)</x:f>
        <x:v>0</x:v>
      </x:c>
      <x:c r="F113" s="74" t="n">
        <x:f>D113-E113</x:f>
        <x:v>0</x:v>
      </x:c>
    </x:row>
    <x:row r="114">
      <x:c r="A114" s="76"/>
      <x:c r="D114" s="74"/>
      <x:c r="E114" s="74" t="n">
        <x:f>SUMIFS('Expenses'!$H$2:$H$300,'Expenses'!$B$2:$B$300,B114,'Expenses'!$D$2:$D$300,C114,'Expenses'!$A$2:$A$300,"&gt;="&amp;EOMONTH(A114,-1)+1,'Expenses'!$A$2:$A$300,"&lt;="&amp;EOMONTH(A114,0))+IF(C114="Staff Wages",SUMIFS('Salary_Register'!$I$2:$I$300,'Salary_Register'!$B$2:$B$300,B114,'Salary_Register'!$A$2:$A$300,A114),0)</x:f>
        <x:v>0</x:v>
      </x:c>
      <x:c r="F114" s="74" t="n">
        <x:f>D114-E114</x:f>
        <x:v>0</x:v>
      </x:c>
    </x:row>
    <x:row r="115">
      <x:c r="A115" s="76"/>
      <x:c r="D115" s="74"/>
      <x:c r="E115" s="74" t="n">
        <x:f>SUMIFS('Expenses'!$H$2:$H$300,'Expenses'!$B$2:$B$300,B115,'Expenses'!$D$2:$D$300,C115,'Expenses'!$A$2:$A$300,"&gt;="&amp;EOMONTH(A115,-1)+1,'Expenses'!$A$2:$A$300,"&lt;="&amp;EOMONTH(A115,0))+IF(C115="Staff Wages",SUMIFS('Salary_Register'!$I$2:$I$300,'Salary_Register'!$B$2:$B$300,B115,'Salary_Register'!$A$2:$A$300,A115),0)</x:f>
        <x:v>0</x:v>
      </x:c>
      <x:c r="F115" s="74" t="n">
        <x:f>D115-E115</x:f>
        <x:v>0</x:v>
      </x:c>
    </x:row>
    <x:row r="116">
      <x:c r="A116" s="76"/>
      <x:c r="D116" s="74"/>
      <x:c r="E116" s="74" t="n">
        <x:f>SUMIFS('Expenses'!$H$2:$H$300,'Expenses'!$B$2:$B$300,B116,'Expenses'!$D$2:$D$300,C116,'Expenses'!$A$2:$A$300,"&gt;="&amp;EOMONTH(A116,-1)+1,'Expenses'!$A$2:$A$300,"&lt;="&amp;EOMONTH(A116,0))+IF(C116="Staff Wages",SUMIFS('Salary_Register'!$I$2:$I$300,'Salary_Register'!$B$2:$B$300,B116,'Salary_Register'!$A$2:$A$300,A116),0)</x:f>
        <x:v>0</x:v>
      </x:c>
      <x:c r="F116" s="74" t="n">
        <x:f>D116-E116</x:f>
        <x:v>0</x:v>
      </x:c>
    </x:row>
    <x:row r="117">
      <x:c r="A117" s="76"/>
      <x:c r="D117" s="74"/>
      <x:c r="E117" s="74" t="n">
        <x:f>SUMIFS('Expenses'!$H$2:$H$300,'Expenses'!$B$2:$B$300,B117,'Expenses'!$D$2:$D$300,C117,'Expenses'!$A$2:$A$300,"&gt;="&amp;EOMONTH(A117,-1)+1,'Expenses'!$A$2:$A$300,"&lt;="&amp;EOMONTH(A117,0))+IF(C117="Staff Wages",SUMIFS('Salary_Register'!$I$2:$I$300,'Salary_Register'!$B$2:$B$300,B117,'Salary_Register'!$A$2:$A$300,A117),0)</x:f>
        <x:v>0</x:v>
      </x:c>
      <x:c r="F117" s="74" t="n">
        <x:f>D117-E117</x:f>
        <x:v>0</x:v>
      </x:c>
    </x:row>
    <x:row r="118">
      <x:c r="A118" s="76"/>
      <x:c r="D118" s="74"/>
      <x:c r="E118" s="74" t="n">
        <x:f>SUMIFS('Expenses'!$H$2:$H$300,'Expenses'!$B$2:$B$300,B118,'Expenses'!$D$2:$D$300,C118,'Expenses'!$A$2:$A$300,"&gt;="&amp;EOMONTH(A118,-1)+1,'Expenses'!$A$2:$A$300,"&lt;="&amp;EOMONTH(A118,0))+IF(C118="Staff Wages",SUMIFS('Salary_Register'!$I$2:$I$300,'Salary_Register'!$B$2:$B$300,B118,'Salary_Register'!$A$2:$A$300,A118),0)</x:f>
        <x:v>0</x:v>
      </x:c>
      <x:c r="F118" s="74" t="n">
        <x:f>D118-E118</x:f>
        <x:v>0</x:v>
      </x:c>
    </x:row>
    <x:row r="119">
      <x:c r="A119" s="76"/>
      <x:c r="D119" s="74"/>
      <x:c r="E119" s="74" t="n">
        <x:f>SUMIFS('Expenses'!$H$2:$H$300,'Expenses'!$B$2:$B$300,B119,'Expenses'!$D$2:$D$300,C119,'Expenses'!$A$2:$A$300,"&gt;="&amp;EOMONTH(A119,-1)+1,'Expenses'!$A$2:$A$300,"&lt;="&amp;EOMONTH(A119,0))+IF(C119="Staff Wages",SUMIFS('Salary_Register'!$I$2:$I$300,'Salary_Register'!$B$2:$B$300,B119,'Salary_Register'!$A$2:$A$300,A119),0)</x:f>
        <x:v>0</x:v>
      </x:c>
      <x:c r="F119" s="74" t="n">
        <x:f>D119-E119</x:f>
        <x:v>0</x:v>
      </x:c>
    </x:row>
    <x:row r="120">
      <x:c r="A120" s="76"/>
      <x:c r="D120" s="74"/>
      <x:c r="E120" s="74" t="n">
        <x:f>SUMIFS('Expenses'!$H$2:$H$300,'Expenses'!$B$2:$B$300,B120,'Expenses'!$D$2:$D$300,C120,'Expenses'!$A$2:$A$300,"&gt;="&amp;EOMONTH(A120,-1)+1,'Expenses'!$A$2:$A$300,"&lt;="&amp;EOMONTH(A120,0))+IF(C120="Staff Wages",SUMIFS('Salary_Register'!$I$2:$I$300,'Salary_Register'!$B$2:$B$300,B120,'Salary_Register'!$A$2:$A$300,A120),0)</x:f>
        <x:v>0</x:v>
      </x:c>
      <x:c r="F120" s="74" t="n">
        <x:f>D120-E120</x:f>
        <x:v>0</x:v>
      </x:c>
    </x:row>
    <x:row r="121">
      <x:c r="A121" s="76"/>
      <x:c r="D121" s="74"/>
      <x:c r="E121" s="74" t="n">
        <x:f>SUMIFS('Expenses'!$H$2:$H$300,'Expenses'!$B$2:$B$300,B121,'Expenses'!$D$2:$D$300,C121,'Expenses'!$A$2:$A$300,"&gt;="&amp;EOMONTH(A121,-1)+1,'Expenses'!$A$2:$A$300,"&lt;="&amp;EOMONTH(A121,0))+IF(C121="Staff Wages",SUMIFS('Salary_Register'!$I$2:$I$300,'Salary_Register'!$B$2:$B$300,B121,'Salary_Register'!$A$2:$A$300,A121),0)</x:f>
        <x:v>0</x:v>
      </x:c>
      <x:c r="F121" s="74" t="n">
        <x:f>D121-E121</x:f>
        <x:v>0</x:v>
      </x:c>
    </x:row>
    <x:row r="122">
      <x:c r="A122" s="76"/>
      <x:c r="D122" s="74"/>
      <x:c r="E122" s="74" t="n">
        <x:f>SUMIFS('Expenses'!$H$2:$H$300,'Expenses'!$B$2:$B$300,B122,'Expenses'!$D$2:$D$300,C122,'Expenses'!$A$2:$A$300,"&gt;="&amp;EOMONTH(A122,-1)+1,'Expenses'!$A$2:$A$300,"&lt;="&amp;EOMONTH(A122,0))+IF(C122="Staff Wages",SUMIFS('Salary_Register'!$I$2:$I$300,'Salary_Register'!$B$2:$B$300,B122,'Salary_Register'!$A$2:$A$300,A122),0)</x:f>
        <x:v>0</x:v>
      </x:c>
      <x:c r="F122" s="74" t="n">
        <x:f>D122-E122</x:f>
        <x:v>0</x:v>
      </x:c>
    </x:row>
    <x:row r="123">
      <x:c r="A123" s="76"/>
      <x:c r="D123" s="74"/>
      <x:c r="E123" s="74" t="n">
        <x:f>SUMIFS('Expenses'!$H$2:$H$300,'Expenses'!$B$2:$B$300,B123,'Expenses'!$D$2:$D$300,C123,'Expenses'!$A$2:$A$300,"&gt;="&amp;EOMONTH(A123,-1)+1,'Expenses'!$A$2:$A$300,"&lt;="&amp;EOMONTH(A123,0))+IF(C123="Staff Wages",SUMIFS('Salary_Register'!$I$2:$I$300,'Salary_Register'!$B$2:$B$300,B123,'Salary_Register'!$A$2:$A$300,A123),0)</x:f>
        <x:v>0</x:v>
      </x:c>
      <x:c r="F123" s="74" t="n">
        <x:f>D123-E123</x:f>
        <x:v>0</x:v>
      </x:c>
    </x:row>
    <x:row r="124">
      <x:c r="A124" s="76"/>
      <x:c r="D124" s="74"/>
      <x:c r="E124" s="74" t="n">
        <x:f>SUMIFS('Expenses'!$H$2:$H$300,'Expenses'!$B$2:$B$300,B124,'Expenses'!$D$2:$D$300,C124,'Expenses'!$A$2:$A$300,"&gt;="&amp;EOMONTH(A124,-1)+1,'Expenses'!$A$2:$A$300,"&lt;="&amp;EOMONTH(A124,0))+IF(C124="Staff Wages",SUMIFS('Salary_Register'!$I$2:$I$300,'Salary_Register'!$B$2:$B$300,B124,'Salary_Register'!$A$2:$A$300,A124),0)</x:f>
        <x:v>0</x:v>
      </x:c>
      <x:c r="F124" s="74" t="n">
        <x:f>D124-E124</x:f>
        <x:v>0</x:v>
      </x:c>
    </x:row>
    <x:row r="125">
      <x:c r="A125" s="76"/>
      <x:c r="D125" s="74"/>
      <x:c r="E125" s="74" t="n">
        <x:f>SUMIFS('Expenses'!$H$2:$H$300,'Expenses'!$B$2:$B$300,B125,'Expenses'!$D$2:$D$300,C125,'Expenses'!$A$2:$A$300,"&gt;="&amp;EOMONTH(A125,-1)+1,'Expenses'!$A$2:$A$300,"&lt;="&amp;EOMONTH(A125,0))+IF(C125="Staff Wages",SUMIFS('Salary_Register'!$I$2:$I$300,'Salary_Register'!$B$2:$B$300,B125,'Salary_Register'!$A$2:$A$300,A125),0)</x:f>
        <x:v>0</x:v>
      </x:c>
      <x:c r="F125" s="74" t="n">
        <x:f>D125-E125</x:f>
        <x:v>0</x:v>
      </x:c>
    </x:row>
    <x:row r="126">
      <x:c r="A126" s="76"/>
      <x:c r="D126" s="74"/>
      <x:c r="E126" s="74" t="n">
        <x:f>SUMIFS('Expenses'!$H$2:$H$300,'Expenses'!$B$2:$B$300,B126,'Expenses'!$D$2:$D$300,C126,'Expenses'!$A$2:$A$300,"&gt;="&amp;EOMONTH(A126,-1)+1,'Expenses'!$A$2:$A$300,"&lt;="&amp;EOMONTH(A126,0))+IF(C126="Staff Wages",SUMIFS('Salary_Register'!$I$2:$I$300,'Salary_Register'!$B$2:$B$300,B126,'Salary_Register'!$A$2:$A$300,A126),0)</x:f>
        <x:v>0</x:v>
      </x:c>
      <x:c r="F126" s="74" t="n">
        <x:f>D126-E126</x:f>
        <x:v>0</x:v>
      </x:c>
    </x:row>
    <x:row r="127">
      <x:c r="A127" s="76"/>
      <x:c r="D127" s="74"/>
      <x:c r="E127" s="74" t="n">
        <x:f>SUMIFS('Expenses'!$H$2:$H$300,'Expenses'!$B$2:$B$300,B127,'Expenses'!$D$2:$D$300,C127,'Expenses'!$A$2:$A$300,"&gt;="&amp;EOMONTH(A127,-1)+1,'Expenses'!$A$2:$A$300,"&lt;="&amp;EOMONTH(A127,0))+IF(C127="Staff Wages",SUMIFS('Salary_Register'!$I$2:$I$300,'Salary_Register'!$B$2:$B$300,B127,'Salary_Register'!$A$2:$A$300,A127),0)</x:f>
        <x:v>0</x:v>
      </x:c>
      <x:c r="F127" s="74" t="n">
        <x:f>D127-E127</x:f>
        <x:v>0</x:v>
      </x:c>
    </x:row>
    <x:row r="128">
      <x:c r="A128" s="76"/>
      <x:c r="D128" s="74"/>
      <x:c r="E128" s="74" t="n">
        <x:f>SUMIFS('Expenses'!$H$2:$H$300,'Expenses'!$B$2:$B$300,B128,'Expenses'!$D$2:$D$300,C128,'Expenses'!$A$2:$A$300,"&gt;="&amp;EOMONTH(A128,-1)+1,'Expenses'!$A$2:$A$300,"&lt;="&amp;EOMONTH(A128,0))+IF(C128="Staff Wages",SUMIFS('Salary_Register'!$I$2:$I$300,'Salary_Register'!$B$2:$B$300,B128,'Salary_Register'!$A$2:$A$300,A128),0)</x:f>
        <x:v>0</x:v>
      </x:c>
      <x:c r="F128" s="74" t="n">
        <x:f>D128-E128</x:f>
        <x:v>0</x:v>
      </x:c>
    </x:row>
    <x:row r="129">
      <x:c r="A129" s="76"/>
      <x:c r="D129" s="74"/>
      <x:c r="E129" s="74" t="n">
        <x:f>SUMIFS('Expenses'!$H$2:$H$300,'Expenses'!$B$2:$B$300,B129,'Expenses'!$D$2:$D$300,C129,'Expenses'!$A$2:$A$300,"&gt;="&amp;EOMONTH(A129,-1)+1,'Expenses'!$A$2:$A$300,"&lt;="&amp;EOMONTH(A129,0))+IF(C129="Staff Wages",SUMIFS('Salary_Register'!$I$2:$I$300,'Salary_Register'!$B$2:$B$300,B129,'Salary_Register'!$A$2:$A$300,A129),0)</x:f>
        <x:v>0</x:v>
      </x:c>
      <x:c r="F129" s="74" t="n">
        <x:f>D129-E129</x:f>
        <x:v>0</x:v>
      </x:c>
    </x:row>
    <x:row r="130">
      <x:c r="A130" s="76"/>
      <x:c r="D130" s="74"/>
      <x:c r="E130" s="74" t="n">
        <x:f>SUMIFS('Expenses'!$H$2:$H$300,'Expenses'!$B$2:$B$300,B130,'Expenses'!$D$2:$D$300,C130,'Expenses'!$A$2:$A$300,"&gt;="&amp;EOMONTH(A130,-1)+1,'Expenses'!$A$2:$A$300,"&lt;="&amp;EOMONTH(A130,0))+IF(C130="Staff Wages",SUMIFS('Salary_Register'!$I$2:$I$300,'Salary_Register'!$B$2:$B$300,B130,'Salary_Register'!$A$2:$A$300,A130),0)</x:f>
        <x:v>0</x:v>
      </x:c>
      <x:c r="F130" s="74" t="n">
        <x:f>D130-E130</x:f>
        <x:v>0</x:v>
      </x:c>
    </x:row>
    <x:row r="131">
      <x:c r="A131" s="76"/>
      <x:c r="D131" s="74"/>
      <x:c r="E131" s="74" t="n">
        <x:f>SUMIFS('Expenses'!$H$2:$H$300,'Expenses'!$B$2:$B$300,B131,'Expenses'!$D$2:$D$300,C131,'Expenses'!$A$2:$A$300,"&gt;="&amp;EOMONTH(A131,-1)+1,'Expenses'!$A$2:$A$300,"&lt;="&amp;EOMONTH(A131,0))+IF(C131="Staff Wages",SUMIFS('Salary_Register'!$I$2:$I$300,'Salary_Register'!$B$2:$B$300,B131,'Salary_Register'!$A$2:$A$300,A131),0)</x:f>
        <x:v>0</x:v>
      </x:c>
      <x:c r="F131" s="74" t="n">
        <x:f>D131-E131</x:f>
        <x:v>0</x:v>
      </x:c>
    </x:row>
    <x:row r="132">
      <x:c r="A132" s="76"/>
      <x:c r="D132" s="74"/>
      <x:c r="E132" s="74" t="n">
        <x:f>SUMIFS('Expenses'!$H$2:$H$300,'Expenses'!$B$2:$B$300,B132,'Expenses'!$D$2:$D$300,C132,'Expenses'!$A$2:$A$300,"&gt;="&amp;EOMONTH(A132,-1)+1,'Expenses'!$A$2:$A$300,"&lt;="&amp;EOMONTH(A132,0))+IF(C132="Staff Wages",SUMIFS('Salary_Register'!$I$2:$I$300,'Salary_Register'!$B$2:$B$300,B132,'Salary_Register'!$A$2:$A$300,A132),0)</x:f>
        <x:v>0</x:v>
      </x:c>
      <x:c r="F132" s="74" t="n">
        <x:f>D132-E132</x:f>
        <x:v>0</x:v>
      </x:c>
    </x:row>
    <x:row r="133">
      <x:c r="A133" s="76"/>
      <x:c r="D133" s="74"/>
      <x:c r="E133" s="74" t="n">
        <x:f>SUMIFS('Expenses'!$H$2:$H$300,'Expenses'!$B$2:$B$300,B133,'Expenses'!$D$2:$D$300,C133,'Expenses'!$A$2:$A$300,"&gt;="&amp;EOMONTH(A133,-1)+1,'Expenses'!$A$2:$A$300,"&lt;="&amp;EOMONTH(A133,0))+IF(C133="Staff Wages",SUMIFS('Salary_Register'!$I$2:$I$300,'Salary_Register'!$B$2:$B$300,B133,'Salary_Register'!$A$2:$A$300,A133),0)</x:f>
        <x:v>0</x:v>
      </x:c>
      <x:c r="F133" s="74" t="n">
        <x:f>D133-E133</x:f>
        <x:v>0</x:v>
      </x:c>
    </x:row>
    <x:row r="134">
      <x:c r="A134" s="76"/>
      <x:c r="D134" s="74"/>
      <x:c r="E134" s="74" t="n">
        <x:f>SUMIFS('Expenses'!$H$2:$H$300,'Expenses'!$B$2:$B$300,B134,'Expenses'!$D$2:$D$300,C134,'Expenses'!$A$2:$A$300,"&gt;="&amp;EOMONTH(A134,-1)+1,'Expenses'!$A$2:$A$300,"&lt;="&amp;EOMONTH(A134,0))+IF(C134="Staff Wages",SUMIFS('Salary_Register'!$I$2:$I$300,'Salary_Register'!$B$2:$B$300,B134,'Salary_Register'!$A$2:$A$300,A134),0)</x:f>
        <x:v>0</x:v>
      </x:c>
      <x:c r="F134" s="74" t="n">
        <x:f>D134-E134</x:f>
        <x:v>0</x:v>
      </x:c>
    </x:row>
    <x:row r="135">
      <x:c r="A135" s="76"/>
      <x:c r="D135" s="74"/>
      <x:c r="E135" s="74" t="n">
        <x:f>SUMIFS('Expenses'!$H$2:$H$300,'Expenses'!$B$2:$B$300,B135,'Expenses'!$D$2:$D$300,C135,'Expenses'!$A$2:$A$300,"&gt;="&amp;EOMONTH(A135,-1)+1,'Expenses'!$A$2:$A$300,"&lt;="&amp;EOMONTH(A135,0))+IF(C135="Staff Wages",SUMIFS('Salary_Register'!$I$2:$I$300,'Salary_Register'!$B$2:$B$300,B135,'Salary_Register'!$A$2:$A$300,A135),0)</x:f>
        <x:v>0</x:v>
      </x:c>
      <x:c r="F135" s="74" t="n">
        <x:f>D135-E135</x:f>
        <x:v>0</x:v>
      </x:c>
    </x:row>
    <x:row r="136">
      <x:c r="A136" s="76"/>
      <x:c r="D136" s="74"/>
      <x:c r="E136" s="74" t="n">
        <x:f>SUMIFS('Expenses'!$H$2:$H$300,'Expenses'!$B$2:$B$300,B136,'Expenses'!$D$2:$D$300,C136,'Expenses'!$A$2:$A$300,"&gt;="&amp;EOMONTH(A136,-1)+1,'Expenses'!$A$2:$A$300,"&lt;="&amp;EOMONTH(A136,0))+IF(C136="Staff Wages",SUMIFS('Salary_Register'!$I$2:$I$300,'Salary_Register'!$B$2:$B$300,B136,'Salary_Register'!$A$2:$A$300,A136),0)</x:f>
        <x:v>0</x:v>
      </x:c>
      <x:c r="F136" s="74" t="n">
        <x:f>D136-E136</x:f>
        <x:v>0</x:v>
      </x:c>
    </x:row>
    <x:row r="137">
      <x:c r="A137" s="76"/>
      <x:c r="D137" s="74"/>
      <x:c r="E137" s="74" t="n">
        <x:f>SUMIFS('Expenses'!$H$2:$H$300,'Expenses'!$B$2:$B$300,B137,'Expenses'!$D$2:$D$300,C137,'Expenses'!$A$2:$A$300,"&gt;="&amp;EOMONTH(A137,-1)+1,'Expenses'!$A$2:$A$300,"&lt;="&amp;EOMONTH(A137,0))+IF(C137="Staff Wages",SUMIFS('Salary_Register'!$I$2:$I$300,'Salary_Register'!$B$2:$B$300,B137,'Salary_Register'!$A$2:$A$300,A137),0)</x:f>
        <x:v>0</x:v>
      </x:c>
      <x:c r="F137" s="74" t="n">
        <x:f>D137-E137</x:f>
        <x:v>0</x:v>
      </x:c>
    </x:row>
    <x:row r="138">
      <x:c r="A138" s="76"/>
      <x:c r="D138" s="74"/>
      <x:c r="E138" s="74" t="n">
        <x:f>SUMIFS('Expenses'!$H$2:$H$300,'Expenses'!$B$2:$B$300,B138,'Expenses'!$D$2:$D$300,C138,'Expenses'!$A$2:$A$300,"&gt;="&amp;EOMONTH(A138,-1)+1,'Expenses'!$A$2:$A$300,"&lt;="&amp;EOMONTH(A138,0))+IF(C138="Staff Wages",SUMIFS('Salary_Register'!$I$2:$I$300,'Salary_Register'!$B$2:$B$300,B138,'Salary_Register'!$A$2:$A$300,A138),0)</x:f>
        <x:v>0</x:v>
      </x:c>
      <x:c r="F138" s="74" t="n">
        <x:f>D138-E138</x:f>
        <x:v>0</x:v>
      </x:c>
    </x:row>
    <x:row r="139">
      <x:c r="A139" s="76"/>
      <x:c r="D139" s="74"/>
      <x:c r="E139" s="74" t="n">
        <x:f>SUMIFS('Expenses'!$H$2:$H$300,'Expenses'!$B$2:$B$300,B139,'Expenses'!$D$2:$D$300,C139,'Expenses'!$A$2:$A$300,"&gt;="&amp;EOMONTH(A139,-1)+1,'Expenses'!$A$2:$A$300,"&lt;="&amp;EOMONTH(A139,0))+IF(C139="Staff Wages",SUMIFS('Salary_Register'!$I$2:$I$300,'Salary_Register'!$B$2:$B$300,B139,'Salary_Register'!$A$2:$A$300,A139),0)</x:f>
        <x:v>0</x:v>
      </x:c>
      <x:c r="F139" s="74" t="n">
        <x:f>D139-E139</x:f>
        <x:v>0</x:v>
      </x:c>
    </x:row>
    <x:row r="140">
      <x:c r="A140" s="76"/>
      <x:c r="D140" s="74"/>
      <x:c r="E140" s="74" t="n">
        <x:f>SUMIFS('Expenses'!$H$2:$H$300,'Expenses'!$B$2:$B$300,B140,'Expenses'!$D$2:$D$300,C140,'Expenses'!$A$2:$A$300,"&gt;="&amp;EOMONTH(A140,-1)+1,'Expenses'!$A$2:$A$300,"&lt;="&amp;EOMONTH(A140,0))+IF(C140="Staff Wages",SUMIFS('Salary_Register'!$I$2:$I$300,'Salary_Register'!$B$2:$B$300,B140,'Salary_Register'!$A$2:$A$300,A140),0)</x:f>
        <x:v>0</x:v>
      </x:c>
      <x:c r="F140" s="74" t="n">
        <x:f>D140-E140</x:f>
        <x:v>0</x:v>
      </x:c>
    </x:row>
    <x:row r="141">
      <x:c r="A141" s="76"/>
      <x:c r="D141" s="74"/>
      <x:c r="E141" s="74" t="n">
        <x:f>SUMIFS('Expenses'!$H$2:$H$300,'Expenses'!$B$2:$B$300,B141,'Expenses'!$D$2:$D$300,C141,'Expenses'!$A$2:$A$300,"&gt;="&amp;EOMONTH(A141,-1)+1,'Expenses'!$A$2:$A$300,"&lt;="&amp;EOMONTH(A141,0))+IF(C141="Staff Wages",SUMIFS('Salary_Register'!$I$2:$I$300,'Salary_Register'!$B$2:$B$300,B141,'Salary_Register'!$A$2:$A$300,A141),0)</x:f>
        <x:v>0</x:v>
      </x:c>
      <x:c r="F141" s="74" t="n">
        <x:f>D141-E141</x:f>
        <x:v>0</x:v>
      </x:c>
    </x:row>
    <x:row r="142">
      <x:c r="A142" s="76"/>
      <x:c r="D142" s="74"/>
      <x:c r="E142" s="74" t="n">
        <x:f>SUMIFS('Expenses'!$H$2:$H$300,'Expenses'!$B$2:$B$300,B142,'Expenses'!$D$2:$D$300,C142,'Expenses'!$A$2:$A$300,"&gt;="&amp;EOMONTH(A142,-1)+1,'Expenses'!$A$2:$A$300,"&lt;="&amp;EOMONTH(A142,0))+IF(C142="Staff Wages",SUMIFS('Salary_Register'!$I$2:$I$300,'Salary_Register'!$B$2:$B$300,B142,'Salary_Register'!$A$2:$A$300,A142),0)</x:f>
        <x:v>0</x:v>
      </x:c>
      <x:c r="F142" s="74" t="n">
        <x:f>D142-E142</x:f>
        <x:v>0</x:v>
      </x:c>
    </x:row>
    <x:row r="143">
      <x:c r="A143" s="76"/>
      <x:c r="D143" s="74"/>
      <x:c r="E143" s="74" t="n">
        <x:f>SUMIFS('Expenses'!$H$2:$H$300,'Expenses'!$B$2:$B$300,B143,'Expenses'!$D$2:$D$300,C143,'Expenses'!$A$2:$A$300,"&gt;="&amp;EOMONTH(A143,-1)+1,'Expenses'!$A$2:$A$300,"&lt;="&amp;EOMONTH(A143,0))+IF(C143="Staff Wages",SUMIFS('Salary_Register'!$I$2:$I$300,'Salary_Register'!$B$2:$B$300,B143,'Salary_Register'!$A$2:$A$300,A143),0)</x:f>
        <x:v>0</x:v>
      </x:c>
      <x:c r="F143" s="74" t="n">
        <x:f>D143-E143</x:f>
        <x:v>0</x:v>
      </x:c>
    </x:row>
    <x:row r="144">
      <x:c r="A144" s="76"/>
      <x:c r="D144" s="74"/>
      <x:c r="E144" s="74" t="n">
        <x:f>SUMIFS('Expenses'!$H$2:$H$300,'Expenses'!$B$2:$B$300,B144,'Expenses'!$D$2:$D$300,C144,'Expenses'!$A$2:$A$300,"&gt;="&amp;EOMONTH(A144,-1)+1,'Expenses'!$A$2:$A$300,"&lt;="&amp;EOMONTH(A144,0))+IF(C144="Staff Wages",SUMIFS('Salary_Register'!$I$2:$I$300,'Salary_Register'!$B$2:$B$300,B144,'Salary_Register'!$A$2:$A$300,A144),0)</x:f>
        <x:v>0</x:v>
      </x:c>
      <x:c r="F144" s="74" t="n">
        <x:f>D144-E144</x:f>
        <x:v>0</x:v>
      </x:c>
    </x:row>
    <x:row r="145">
      <x:c r="A145" s="76"/>
      <x:c r="D145" s="74"/>
      <x:c r="E145" s="74" t="n">
        <x:f>SUMIFS('Expenses'!$H$2:$H$300,'Expenses'!$B$2:$B$300,B145,'Expenses'!$D$2:$D$300,C145,'Expenses'!$A$2:$A$300,"&gt;="&amp;EOMONTH(A145,-1)+1,'Expenses'!$A$2:$A$300,"&lt;="&amp;EOMONTH(A145,0))+IF(C145="Staff Wages",SUMIFS('Salary_Register'!$I$2:$I$300,'Salary_Register'!$B$2:$B$300,B145,'Salary_Register'!$A$2:$A$300,A145),0)</x:f>
        <x:v>0</x:v>
      </x:c>
      <x:c r="F145" s="74" t="n">
        <x:f>D145-E145</x:f>
        <x:v>0</x:v>
      </x:c>
    </x:row>
    <x:row r="146">
      <x:c r="A146" s="76"/>
      <x:c r="D146" s="74"/>
      <x:c r="E146" s="74" t="n">
        <x:f>SUMIFS('Expenses'!$H$2:$H$300,'Expenses'!$B$2:$B$300,B146,'Expenses'!$D$2:$D$300,C146,'Expenses'!$A$2:$A$300,"&gt;="&amp;EOMONTH(A146,-1)+1,'Expenses'!$A$2:$A$300,"&lt;="&amp;EOMONTH(A146,0))+IF(C146="Staff Wages",SUMIFS('Salary_Register'!$I$2:$I$300,'Salary_Register'!$B$2:$B$300,B146,'Salary_Register'!$A$2:$A$300,A146),0)</x:f>
        <x:v>0</x:v>
      </x:c>
      <x:c r="F146" s="74" t="n">
        <x:f>D146-E146</x:f>
        <x:v>0</x:v>
      </x:c>
    </x:row>
    <x:row r="147">
      <x:c r="A147" s="76"/>
      <x:c r="D147" s="74"/>
      <x:c r="E147" s="74" t="n">
        <x:f>SUMIFS('Expenses'!$H$2:$H$300,'Expenses'!$B$2:$B$300,B147,'Expenses'!$D$2:$D$300,C147,'Expenses'!$A$2:$A$300,"&gt;="&amp;EOMONTH(A147,-1)+1,'Expenses'!$A$2:$A$300,"&lt;="&amp;EOMONTH(A147,0))+IF(C147="Staff Wages",SUMIFS('Salary_Register'!$I$2:$I$300,'Salary_Register'!$B$2:$B$300,B147,'Salary_Register'!$A$2:$A$300,A147),0)</x:f>
        <x:v>0</x:v>
      </x:c>
      <x:c r="F147" s="74" t="n">
        <x:f>D147-E147</x:f>
        <x:v>0</x:v>
      </x:c>
    </x:row>
    <x:row r="148">
      <x:c r="A148" s="76"/>
      <x:c r="D148" s="74"/>
      <x:c r="E148" s="74" t="n">
        <x:f>SUMIFS('Expenses'!$H$2:$H$300,'Expenses'!$B$2:$B$300,B148,'Expenses'!$D$2:$D$300,C148,'Expenses'!$A$2:$A$300,"&gt;="&amp;EOMONTH(A148,-1)+1,'Expenses'!$A$2:$A$300,"&lt;="&amp;EOMONTH(A148,0))+IF(C148="Staff Wages",SUMIFS('Salary_Register'!$I$2:$I$300,'Salary_Register'!$B$2:$B$300,B148,'Salary_Register'!$A$2:$A$300,A148),0)</x:f>
        <x:v>0</x:v>
      </x:c>
      <x:c r="F148" s="74" t="n">
        <x:f>D148-E148</x:f>
        <x:v>0</x:v>
      </x:c>
    </x:row>
    <x:row r="149">
      <x:c r="A149" s="76"/>
      <x:c r="D149" s="74"/>
      <x:c r="E149" s="74" t="n">
        <x:f>SUMIFS('Expenses'!$H$2:$H$300,'Expenses'!$B$2:$B$300,B149,'Expenses'!$D$2:$D$300,C149,'Expenses'!$A$2:$A$300,"&gt;="&amp;EOMONTH(A149,-1)+1,'Expenses'!$A$2:$A$300,"&lt;="&amp;EOMONTH(A149,0))+IF(C149="Staff Wages",SUMIFS('Salary_Register'!$I$2:$I$300,'Salary_Register'!$B$2:$B$300,B149,'Salary_Register'!$A$2:$A$300,A149),0)</x:f>
        <x:v>0</x:v>
      </x:c>
      <x:c r="F149" s="74" t="n">
        <x:f>D149-E149</x:f>
        <x:v>0</x:v>
      </x:c>
    </x:row>
    <x:row r="150">
      <x:c r="A150" s="76"/>
      <x:c r="D150" s="74"/>
      <x:c r="E150" s="74" t="n">
        <x:f>SUMIFS('Expenses'!$H$2:$H$300,'Expenses'!$B$2:$B$300,B150,'Expenses'!$D$2:$D$300,C150,'Expenses'!$A$2:$A$300,"&gt;="&amp;EOMONTH(A150,-1)+1,'Expenses'!$A$2:$A$300,"&lt;="&amp;EOMONTH(A150,0))+IF(C150="Staff Wages",SUMIFS('Salary_Register'!$I$2:$I$300,'Salary_Register'!$B$2:$B$300,B150,'Salary_Register'!$A$2:$A$300,A150),0)</x:f>
        <x:v>0</x:v>
      </x:c>
      <x:c r="F150" s="74" t="n">
        <x:f>D150-E150</x:f>
        <x:v>0</x:v>
      </x:c>
    </x:row>
    <x:row r="151">
      <x:c r="A151" s="76"/>
      <x:c r="D151" s="74"/>
      <x:c r="E151" s="74" t="n">
        <x:f>SUMIFS('Expenses'!$H$2:$H$300,'Expenses'!$B$2:$B$300,B151,'Expenses'!$D$2:$D$300,C151,'Expenses'!$A$2:$A$300,"&gt;="&amp;EOMONTH(A151,-1)+1,'Expenses'!$A$2:$A$300,"&lt;="&amp;EOMONTH(A151,0))+IF(C151="Staff Wages",SUMIFS('Salary_Register'!$I$2:$I$300,'Salary_Register'!$B$2:$B$300,B151,'Salary_Register'!$A$2:$A$300,A151),0)</x:f>
        <x:v>0</x:v>
      </x:c>
      <x:c r="F151" s="74" t="n">
        <x:f>D151-E151</x:f>
        <x:v>0</x:v>
      </x:c>
    </x:row>
    <x:row r="152">
      <x:c r="A152" s="76"/>
      <x:c r="D152" s="74"/>
      <x:c r="E152" s="74" t="n">
        <x:f>SUMIFS('Expenses'!$H$2:$H$300,'Expenses'!$B$2:$B$300,B152,'Expenses'!$D$2:$D$300,C152,'Expenses'!$A$2:$A$300,"&gt;="&amp;EOMONTH(A152,-1)+1,'Expenses'!$A$2:$A$300,"&lt;="&amp;EOMONTH(A152,0))+IF(C152="Staff Wages",SUMIFS('Salary_Register'!$I$2:$I$300,'Salary_Register'!$B$2:$B$300,B152,'Salary_Register'!$A$2:$A$300,A152),0)</x:f>
        <x:v>0</x:v>
      </x:c>
      <x:c r="F152" s="74" t="n">
        <x:f>D152-E152</x:f>
        <x:v>0</x:v>
      </x:c>
    </x:row>
    <x:row r="153">
      <x:c r="A153" s="76"/>
      <x:c r="D153" s="74"/>
      <x:c r="E153" s="74" t="n">
        <x:f>SUMIFS('Expenses'!$H$2:$H$300,'Expenses'!$B$2:$B$300,B153,'Expenses'!$D$2:$D$300,C153,'Expenses'!$A$2:$A$300,"&gt;="&amp;EOMONTH(A153,-1)+1,'Expenses'!$A$2:$A$300,"&lt;="&amp;EOMONTH(A153,0))+IF(C153="Staff Wages",SUMIFS('Salary_Register'!$I$2:$I$300,'Salary_Register'!$B$2:$B$300,B153,'Salary_Register'!$A$2:$A$300,A153),0)</x:f>
        <x:v>0</x:v>
      </x:c>
      <x:c r="F153" s="74" t="n">
        <x:f>D153-E153</x:f>
        <x:v>0</x:v>
      </x:c>
    </x:row>
    <x:row r="154">
      <x:c r="A154" s="76"/>
      <x:c r="D154" s="74"/>
      <x:c r="E154" s="74" t="n">
        <x:f>SUMIFS('Expenses'!$H$2:$H$300,'Expenses'!$B$2:$B$300,B154,'Expenses'!$D$2:$D$300,C154,'Expenses'!$A$2:$A$300,"&gt;="&amp;EOMONTH(A154,-1)+1,'Expenses'!$A$2:$A$300,"&lt;="&amp;EOMONTH(A154,0))+IF(C154="Staff Wages",SUMIFS('Salary_Register'!$I$2:$I$300,'Salary_Register'!$B$2:$B$300,B154,'Salary_Register'!$A$2:$A$300,A154),0)</x:f>
        <x:v>0</x:v>
      </x:c>
      <x:c r="F154" s="74" t="n">
        <x:f>D154-E154</x:f>
        <x:v>0</x:v>
      </x:c>
    </x:row>
    <x:row r="155">
      <x:c r="A155" s="76"/>
      <x:c r="D155" s="74"/>
      <x:c r="E155" s="74" t="n">
        <x:f>SUMIFS('Expenses'!$H$2:$H$300,'Expenses'!$B$2:$B$300,B155,'Expenses'!$D$2:$D$300,C155,'Expenses'!$A$2:$A$300,"&gt;="&amp;EOMONTH(A155,-1)+1,'Expenses'!$A$2:$A$300,"&lt;="&amp;EOMONTH(A155,0))+IF(C155="Staff Wages",SUMIFS('Salary_Register'!$I$2:$I$300,'Salary_Register'!$B$2:$B$300,B155,'Salary_Register'!$A$2:$A$300,A155),0)</x:f>
        <x:v>0</x:v>
      </x:c>
      <x:c r="F155" s="74" t="n">
        <x:f>D155-E155</x:f>
        <x:v>0</x:v>
      </x:c>
    </x:row>
    <x:row r="156">
      <x:c r="A156" s="76"/>
      <x:c r="D156" s="74"/>
      <x:c r="E156" s="74" t="n">
        <x:f>SUMIFS('Expenses'!$H$2:$H$300,'Expenses'!$B$2:$B$300,B156,'Expenses'!$D$2:$D$300,C156,'Expenses'!$A$2:$A$300,"&gt;="&amp;EOMONTH(A156,-1)+1,'Expenses'!$A$2:$A$300,"&lt;="&amp;EOMONTH(A156,0))+IF(C156="Staff Wages",SUMIFS('Salary_Register'!$I$2:$I$300,'Salary_Register'!$B$2:$B$300,B156,'Salary_Register'!$A$2:$A$300,A156),0)</x:f>
        <x:v>0</x:v>
      </x:c>
      <x:c r="F156" s="74" t="n">
        <x:f>D156-E156</x:f>
        <x:v>0</x:v>
      </x:c>
    </x:row>
    <x:row r="157">
      <x:c r="A157" s="76"/>
      <x:c r="D157" s="74"/>
      <x:c r="E157" s="74" t="n">
        <x:f>SUMIFS('Expenses'!$H$2:$H$300,'Expenses'!$B$2:$B$300,B157,'Expenses'!$D$2:$D$300,C157,'Expenses'!$A$2:$A$300,"&gt;="&amp;EOMONTH(A157,-1)+1,'Expenses'!$A$2:$A$300,"&lt;="&amp;EOMONTH(A157,0))+IF(C157="Staff Wages",SUMIFS('Salary_Register'!$I$2:$I$300,'Salary_Register'!$B$2:$B$300,B157,'Salary_Register'!$A$2:$A$300,A157),0)</x:f>
        <x:v>0</x:v>
      </x:c>
      <x:c r="F157" s="74" t="n">
        <x:f>D157-E157</x:f>
        <x:v>0</x:v>
      </x:c>
    </x:row>
    <x:row r="158">
      <x:c r="A158" s="76"/>
      <x:c r="D158" s="74"/>
      <x:c r="E158" s="74" t="n">
        <x:f>SUMIFS('Expenses'!$H$2:$H$300,'Expenses'!$B$2:$B$300,B158,'Expenses'!$D$2:$D$300,C158,'Expenses'!$A$2:$A$300,"&gt;="&amp;EOMONTH(A158,-1)+1,'Expenses'!$A$2:$A$300,"&lt;="&amp;EOMONTH(A158,0))+IF(C158="Staff Wages",SUMIFS('Salary_Register'!$I$2:$I$300,'Salary_Register'!$B$2:$B$300,B158,'Salary_Register'!$A$2:$A$300,A158),0)</x:f>
        <x:v>0</x:v>
      </x:c>
      <x:c r="F158" s="74" t="n">
        <x:f>D158-E158</x:f>
        <x:v>0</x:v>
      </x:c>
    </x:row>
    <x:row r="159">
      <x:c r="A159" s="76"/>
      <x:c r="D159" s="74"/>
      <x:c r="E159" s="74" t="n">
        <x:f>SUMIFS('Expenses'!$H$2:$H$300,'Expenses'!$B$2:$B$300,B159,'Expenses'!$D$2:$D$300,C159,'Expenses'!$A$2:$A$300,"&gt;="&amp;EOMONTH(A159,-1)+1,'Expenses'!$A$2:$A$300,"&lt;="&amp;EOMONTH(A159,0))+IF(C159="Staff Wages",SUMIFS('Salary_Register'!$I$2:$I$300,'Salary_Register'!$B$2:$B$300,B159,'Salary_Register'!$A$2:$A$300,A159),0)</x:f>
        <x:v>0</x:v>
      </x:c>
      <x:c r="F159" s="74" t="n">
        <x:f>D159-E159</x:f>
        <x:v>0</x:v>
      </x:c>
    </x:row>
    <x:row r="160">
      <x:c r="A160" s="76"/>
      <x:c r="D160" s="74"/>
      <x:c r="E160" s="74" t="n">
        <x:f>SUMIFS('Expenses'!$H$2:$H$300,'Expenses'!$B$2:$B$300,B160,'Expenses'!$D$2:$D$300,C160,'Expenses'!$A$2:$A$300,"&gt;="&amp;EOMONTH(A160,-1)+1,'Expenses'!$A$2:$A$300,"&lt;="&amp;EOMONTH(A160,0))+IF(C160="Staff Wages",SUMIFS('Salary_Register'!$I$2:$I$300,'Salary_Register'!$B$2:$B$300,B160,'Salary_Register'!$A$2:$A$300,A160),0)</x:f>
        <x:v>0</x:v>
      </x:c>
      <x:c r="F160" s="74" t="n">
        <x:f>D160-E160</x:f>
        <x:v>0</x:v>
      </x:c>
    </x:row>
    <x:row r="161">
      <x:c r="A161" s="76"/>
      <x:c r="D161" s="74"/>
      <x:c r="E161" s="74" t="n">
        <x:f>SUMIFS('Expenses'!$H$2:$H$300,'Expenses'!$B$2:$B$300,B161,'Expenses'!$D$2:$D$300,C161,'Expenses'!$A$2:$A$300,"&gt;="&amp;EOMONTH(A161,-1)+1,'Expenses'!$A$2:$A$300,"&lt;="&amp;EOMONTH(A161,0))+IF(C161="Staff Wages",SUMIFS('Salary_Register'!$I$2:$I$300,'Salary_Register'!$B$2:$B$300,B161,'Salary_Register'!$A$2:$A$300,A161),0)</x:f>
        <x:v>0</x:v>
      </x:c>
      <x:c r="F161" s="74" t="n">
        <x:f>D161-E161</x:f>
        <x:v>0</x:v>
      </x:c>
    </x:row>
    <x:row r="162">
      <x:c r="A162" s="76"/>
      <x:c r="D162" s="74"/>
      <x:c r="E162" s="74" t="n">
        <x:f>SUMIFS('Expenses'!$H$2:$H$300,'Expenses'!$B$2:$B$300,B162,'Expenses'!$D$2:$D$300,C162,'Expenses'!$A$2:$A$300,"&gt;="&amp;EOMONTH(A162,-1)+1,'Expenses'!$A$2:$A$300,"&lt;="&amp;EOMONTH(A162,0))+IF(C162="Staff Wages",SUMIFS('Salary_Register'!$I$2:$I$300,'Salary_Register'!$B$2:$B$300,B162,'Salary_Register'!$A$2:$A$300,A162),0)</x:f>
        <x:v>0</x:v>
      </x:c>
      <x:c r="F162" s="74" t="n">
        <x:f>D162-E162</x:f>
        <x:v>0</x:v>
      </x:c>
    </x:row>
    <x:row r="163">
      <x:c r="A163" s="76"/>
      <x:c r="D163" s="74"/>
      <x:c r="E163" s="74" t="n">
        <x:f>SUMIFS('Expenses'!$H$2:$H$300,'Expenses'!$B$2:$B$300,B163,'Expenses'!$D$2:$D$300,C163,'Expenses'!$A$2:$A$300,"&gt;="&amp;EOMONTH(A163,-1)+1,'Expenses'!$A$2:$A$300,"&lt;="&amp;EOMONTH(A163,0))+IF(C163="Staff Wages",SUMIFS('Salary_Register'!$I$2:$I$300,'Salary_Register'!$B$2:$B$300,B163,'Salary_Register'!$A$2:$A$300,A163),0)</x:f>
        <x:v>0</x:v>
      </x:c>
      <x:c r="F163" s="74" t="n">
        <x:f>D163-E163</x:f>
        <x:v>0</x:v>
      </x:c>
    </x:row>
    <x:row r="164">
      <x:c r="A164" s="76"/>
      <x:c r="D164" s="74"/>
      <x:c r="E164" s="74" t="n">
        <x:f>SUMIFS('Expenses'!$H$2:$H$300,'Expenses'!$B$2:$B$300,B164,'Expenses'!$D$2:$D$300,C164,'Expenses'!$A$2:$A$300,"&gt;="&amp;EOMONTH(A164,-1)+1,'Expenses'!$A$2:$A$300,"&lt;="&amp;EOMONTH(A164,0))+IF(C164="Staff Wages",SUMIFS('Salary_Register'!$I$2:$I$300,'Salary_Register'!$B$2:$B$300,B164,'Salary_Register'!$A$2:$A$300,A164),0)</x:f>
        <x:v>0</x:v>
      </x:c>
      <x:c r="F164" s="74" t="n">
        <x:f>D164-E164</x:f>
        <x:v>0</x:v>
      </x:c>
    </x:row>
    <x:row r="165">
      <x:c r="A165" s="76"/>
      <x:c r="D165" s="74"/>
      <x:c r="E165" s="74" t="n">
        <x:f>SUMIFS('Expenses'!$H$2:$H$300,'Expenses'!$B$2:$B$300,B165,'Expenses'!$D$2:$D$300,C165,'Expenses'!$A$2:$A$300,"&gt;="&amp;EOMONTH(A165,-1)+1,'Expenses'!$A$2:$A$300,"&lt;="&amp;EOMONTH(A165,0))+IF(C165="Staff Wages",SUMIFS('Salary_Register'!$I$2:$I$300,'Salary_Register'!$B$2:$B$300,B165,'Salary_Register'!$A$2:$A$300,A165),0)</x:f>
        <x:v>0</x:v>
      </x:c>
      <x:c r="F165" s="74" t="n">
        <x:f>D165-E165</x:f>
        <x:v>0</x:v>
      </x:c>
    </x:row>
    <x:row r="166">
      <x:c r="A166" s="76"/>
      <x:c r="D166" s="74"/>
      <x:c r="E166" s="74" t="n">
        <x:f>SUMIFS('Expenses'!$H$2:$H$300,'Expenses'!$B$2:$B$300,B166,'Expenses'!$D$2:$D$300,C166,'Expenses'!$A$2:$A$300,"&gt;="&amp;EOMONTH(A166,-1)+1,'Expenses'!$A$2:$A$300,"&lt;="&amp;EOMONTH(A166,0))+IF(C166="Staff Wages",SUMIFS('Salary_Register'!$I$2:$I$300,'Salary_Register'!$B$2:$B$300,B166,'Salary_Register'!$A$2:$A$300,A166),0)</x:f>
        <x:v>0</x:v>
      </x:c>
      <x:c r="F166" s="74" t="n">
        <x:f>D166-E166</x:f>
        <x:v>0</x:v>
      </x:c>
    </x:row>
    <x:row r="167">
      <x:c r="A167" s="76"/>
      <x:c r="D167" s="74"/>
      <x:c r="E167" s="74" t="n">
        <x:f>SUMIFS('Expenses'!$H$2:$H$300,'Expenses'!$B$2:$B$300,B167,'Expenses'!$D$2:$D$300,C167,'Expenses'!$A$2:$A$300,"&gt;="&amp;EOMONTH(A167,-1)+1,'Expenses'!$A$2:$A$300,"&lt;="&amp;EOMONTH(A167,0))+IF(C167="Staff Wages",SUMIFS('Salary_Register'!$I$2:$I$300,'Salary_Register'!$B$2:$B$300,B167,'Salary_Register'!$A$2:$A$300,A167),0)</x:f>
        <x:v>0</x:v>
      </x:c>
      <x:c r="F167" s="74" t="n">
        <x:f>D167-E167</x:f>
        <x:v>0</x:v>
      </x:c>
    </x:row>
    <x:row r="168">
      <x:c r="A168" s="76"/>
      <x:c r="D168" s="74"/>
      <x:c r="E168" s="74" t="n">
        <x:f>SUMIFS('Expenses'!$H$2:$H$300,'Expenses'!$B$2:$B$300,B168,'Expenses'!$D$2:$D$300,C168,'Expenses'!$A$2:$A$300,"&gt;="&amp;EOMONTH(A168,-1)+1,'Expenses'!$A$2:$A$300,"&lt;="&amp;EOMONTH(A168,0))+IF(C168="Staff Wages",SUMIFS('Salary_Register'!$I$2:$I$300,'Salary_Register'!$B$2:$B$300,B168,'Salary_Register'!$A$2:$A$300,A168),0)</x:f>
        <x:v>0</x:v>
      </x:c>
      <x:c r="F168" s="74" t="n">
        <x:f>D168-E168</x:f>
        <x:v>0</x:v>
      </x:c>
    </x:row>
    <x:row r="169">
      <x:c r="A169" s="76"/>
      <x:c r="D169" s="74"/>
      <x:c r="E169" s="74" t="n">
        <x:f>SUMIFS('Expenses'!$H$2:$H$300,'Expenses'!$B$2:$B$300,B169,'Expenses'!$D$2:$D$300,C169,'Expenses'!$A$2:$A$300,"&gt;="&amp;EOMONTH(A169,-1)+1,'Expenses'!$A$2:$A$300,"&lt;="&amp;EOMONTH(A169,0))+IF(C169="Staff Wages",SUMIFS('Salary_Register'!$I$2:$I$300,'Salary_Register'!$B$2:$B$300,B169,'Salary_Register'!$A$2:$A$300,A169),0)</x:f>
        <x:v>0</x:v>
      </x:c>
      <x:c r="F169" s="74" t="n">
        <x:f>D169-E169</x:f>
        <x:v>0</x:v>
      </x:c>
    </x:row>
    <x:row r="170">
      <x:c r="A170" s="76"/>
      <x:c r="D170" s="74"/>
      <x:c r="E170" s="74" t="n">
        <x:f>SUMIFS('Expenses'!$H$2:$H$300,'Expenses'!$B$2:$B$300,B170,'Expenses'!$D$2:$D$300,C170,'Expenses'!$A$2:$A$300,"&gt;="&amp;EOMONTH(A170,-1)+1,'Expenses'!$A$2:$A$300,"&lt;="&amp;EOMONTH(A170,0))+IF(C170="Staff Wages",SUMIFS('Salary_Register'!$I$2:$I$300,'Salary_Register'!$B$2:$B$300,B170,'Salary_Register'!$A$2:$A$300,A170),0)</x:f>
        <x:v>0</x:v>
      </x:c>
      <x:c r="F170" s="74" t="n">
        <x:f>D170-E170</x:f>
        <x:v>0</x:v>
      </x:c>
    </x:row>
    <x:row r="171">
      <x:c r="A171" s="76"/>
      <x:c r="D171" s="74"/>
      <x:c r="E171" s="74" t="n">
        <x:f>SUMIFS('Expenses'!$H$2:$H$300,'Expenses'!$B$2:$B$300,B171,'Expenses'!$D$2:$D$300,C171,'Expenses'!$A$2:$A$300,"&gt;="&amp;EOMONTH(A171,-1)+1,'Expenses'!$A$2:$A$300,"&lt;="&amp;EOMONTH(A171,0))+IF(C171="Staff Wages",SUMIFS('Salary_Register'!$I$2:$I$300,'Salary_Register'!$B$2:$B$300,B171,'Salary_Register'!$A$2:$A$300,A171),0)</x:f>
        <x:v>0</x:v>
      </x:c>
      <x:c r="F171" s="74" t="n">
        <x:f>D171-E171</x:f>
        <x:v>0</x:v>
      </x:c>
    </x:row>
    <x:row r="172">
      <x:c r="A172" s="76"/>
      <x:c r="D172" s="74"/>
      <x:c r="E172" s="74" t="n">
        <x:f>SUMIFS('Expenses'!$H$2:$H$300,'Expenses'!$B$2:$B$300,B172,'Expenses'!$D$2:$D$300,C172,'Expenses'!$A$2:$A$300,"&gt;="&amp;EOMONTH(A172,-1)+1,'Expenses'!$A$2:$A$300,"&lt;="&amp;EOMONTH(A172,0))+IF(C172="Staff Wages",SUMIFS('Salary_Register'!$I$2:$I$300,'Salary_Register'!$B$2:$B$300,B172,'Salary_Register'!$A$2:$A$300,A172),0)</x:f>
        <x:v>0</x:v>
      </x:c>
      <x:c r="F172" s="74" t="n">
        <x:f>D172-E172</x:f>
        <x:v>0</x:v>
      </x:c>
    </x:row>
    <x:row r="173">
      <x:c r="A173" s="76"/>
      <x:c r="D173" s="74"/>
      <x:c r="E173" s="74" t="n">
        <x:f>SUMIFS('Expenses'!$H$2:$H$300,'Expenses'!$B$2:$B$300,B173,'Expenses'!$D$2:$D$300,C173,'Expenses'!$A$2:$A$300,"&gt;="&amp;EOMONTH(A173,-1)+1,'Expenses'!$A$2:$A$300,"&lt;="&amp;EOMONTH(A173,0))+IF(C173="Staff Wages",SUMIFS('Salary_Register'!$I$2:$I$300,'Salary_Register'!$B$2:$B$300,B173,'Salary_Register'!$A$2:$A$300,A173),0)</x:f>
        <x:v>0</x:v>
      </x:c>
      <x:c r="F173" s="74" t="n">
        <x:f>D173-E173</x:f>
        <x:v>0</x:v>
      </x:c>
    </x:row>
    <x:row r="174">
      <x:c r="A174" s="76"/>
      <x:c r="D174" s="74"/>
      <x:c r="E174" s="74" t="n">
        <x:f>SUMIFS('Expenses'!$H$2:$H$300,'Expenses'!$B$2:$B$300,B174,'Expenses'!$D$2:$D$300,C174,'Expenses'!$A$2:$A$300,"&gt;="&amp;EOMONTH(A174,-1)+1,'Expenses'!$A$2:$A$300,"&lt;="&amp;EOMONTH(A174,0))+IF(C174="Staff Wages",SUMIFS('Salary_Register'!$I$2:$I$300,'Salary_Register'!$B$2:$B$300,B174,'Salary_Register'!$A$2:$A$300,A174),0)</x:f>
        <x:v>0</x:v>
      </x:c>
      <x:c r="F174" s="74" t="n">
        <x:f>D174-E174</x:f>
        <x:v>0</x:v>
      </x:c>
    </x:row>
    <x:row r="175">
      <x:c r="A175" s="76"/>
      <x:c r="D175" s="74"/>
      <x:c r="E175" s="74" t="n">
        <x:f>SUMIFS('Expenses'!$H$2:$H$300,'Expenses'!$B$2:$B$300,B175,'Expenses'!$D$2:$D$300,C175,'Expenses'!$A$2:$A$300,"&gt;="&amp;EOMONTH(A175,-1)+1,'Expenses'!$A$2:$A$300,"&lt;="&amp;EOMONTH(A175,0))+IF(C175="Staff Wages",SUMIFS('Salary_Register'!$I$2:$I$300,'Salary_Register'!$B$2:$B$300,B175,'Salary_Register'!$A$2:$A$300,A175),0)</x:f>
        <x:v>0</x:v>
      </x:c>
      <x:c r="F175" s="74" t="n">
        <x:f>D175-E175</x:f>
        <x:v>0</x:v>
      </x:c>
    </x:row>
    <x:row r="176">
      <x:c r="A176" s="76"/>
      <x:c r="D176" s="74"/>
      <x:c r="E176" s="74" t="n">
        <x:f>SUMIFS('Expenses'!$H$2:$H$300,'Expenses'!$B$2:$B$300,B176,'Expenses'!$D$2:$D$300,C176,'Expenses'!$A$2:$A$300,"&gt;="&amp;EOMONTH(A176,-1)+1,'Expenses'!$A$2:$A$300,"&lt;="&amp;EOMONTH(A176,0))+IF(C176="Staff Wages",SUMIFS('Salary_Register'!$I$2:$I$300,'Salary_Register'!$B$2:$B$300,B176,'Salary_Register'!$A$2:$A$300,A176),0)</x:f>
        <x:v>0</x:v>
      </x:c>
      <x:c r="F176" s="74" t="n">
        <x:f>D176-E176</x:f>
        <x:v>0</x:v>
      </x:c>
    </x:row>
    <x:row r="177">
      <x:c r="A177" s="76"/>
      <x:c r="D177" s="74"/>
      <x:c r="E177" s="74" t="n">
        <x:f>SUMIFS('Expenses'!$H$2:$H$300,'Expenses'!$B$2:$B$300,B177,'Expenses'!$D$2:$D$300,C177,'Expenses'!$A$2:$A$300,"&gt;="&amp;EOMONTH(A177,-1)+1,'Expenses'!$A$2:$A$300,"&lt;="&amp;EOMONTH(A177,0))+IF(C177="Staff Wages",SUMIFS('Salary_Register'!$I$2:$I$300,'Salary_Register'!$B$2:$B$300,B177,'Salary_Register'!$A$2:$A$300,A177),0)</x:f>
        <x:v>0</x:v>
      </x:c>
      <x:c r="F177" s="74" t="n">
        <x:f>D177-E177</x:f>
        <x:v>0</x:v>
      </x:c>
    </x:row>
    <x:row r="178">
      <x:c r="A178" s="76"/>
      <x:c r="D178" s="74"/>
      <x:c r="E178" s="74" t="n">
        <x:f>SUMIFS('Expenses'!$H$2:$H$300,'Expenses'!$B$2:$B$300,B178,'Expenses'!$D$2:$D$300,C178,'Expenses'!$A$2:$A$300,"&gt;="&amp;EOMONTH(A178,-1)+1,'Expenses'!$A$2:$A$300,"&lt;="&amp;EOMONTH(A178,0))+IF(C178="Staff Wages",SUMIFS('Salary_Register'!$I$2:$I$300,'Salary_Register'!$B$2:$B$300,B178,'Salary_Register'!$A$2:$A$300,A178),0)</x:f>
        <x:v>0</x:v>
      </x:c>
      <x:c r="F178" s="74" t="n">
        <x:f>D178-E178</x:f>
        <x:v>0</x:v>
      </x:c>
    </x:row>
    <x:row r="179">
      <x:c r="A179" s="76"/>
      <x:c r="D179" s="74"/>
      <x:c r="E179" s="74" t="n">
        <x:f>SUMIFS('Expenses'!$H$2:$H$300,'Expenses'!$B$2:$B$300,B179,'Expenses'!$D$2:$D$300,C179,'Expenses'!$A$2:$A$300,"&gt;="&amp;EOMONTH(A179,-1)+1,'Expenses'!$A$2:$A$300,"&lt;="&amp;EOMONTH(A179,0))+IF(C179="Staff Wages",SUMIFS('Salary_Register'!$I$2:$I$300,'Salary_Register'!$B$2:$B$300,B179,'Salary_Register'!$A$2:$A$300,A179),0)</x:f>
        <x:v>0</x:v>
      </x:c>
      <x:c r="F179" s="74" t="n">
        <x:f>D179-E179</x:f>
        <x:v>0</x:v>
      </x:c>
    </x:row>
    <x:row r="180">
      <x:c r="A180" s="76"/>
      <x:c r="D180" s="74"/>
      <x:c r="E180" s="74" t="n">
        <x:f>SUMIFS('Expenses'!$H$2:$H$300,'Expenses'!$B$2:$B$300,B180,'Expenses'!$D$2:$D$300,C180,'Expenses'!$A$2:$A$300,"&gt;="&amp;EOMONTH(A180,-1)+1,'Expenses'!$A$2:$A$300,"&lt;="&amp;EOMONTH(A180,0))+IF(C180="Staff Wages",SUMIFS('Salary_Register'!$I$2:$I$300,'Salary_Register'!$B$2:$B$300,B180,'Salary_Register'!$A$2:$A$300,A180),0)</x:f>
        <x:v>0</x:v>
      </x:c>
      <x:c r="F180" s="74" t="n">
        <x:f>D180-E180</x:f>
        <x:v>0</x:v>
      </x:c>
    </x:row>
    <x:row r="181">
      <x:c r="A181" s="76"/>
      <x:c r="D181" s="74"/>
      <x:c r="E181" s="74" t="n">
        <x:f>SUMIFS('Expenses'!$H$2:$H$300,'Expenses'!$B$2:$B$300,B181,'Expenses'!$D$2:$D$300,C181,'Expenses'!$A$2:$A$300,"&gt;="&amp;EOMONTH(A181,-1)+1,'Expenses'!$A$2:$A$300,"&lt;="&amp;EOMONTH(A181,0))+IF(C181="Staff Wages",SUMIFS('Salary_Register'!$I$2:$I$300,'Salary_Register'!$B$2:$B$300,B181,'Salary_Register'!$A$2:$A$300,A181),0)</x:f>
        <x:v>0</x:v>
      </x:c>
      <x:c r="F181" s="74" t="n">
        <x:f>D181-E181</x:f>
        <x:v>0</x:v>
      </x:c>
    </x:row>
    <x:row r="182">
      <x:c r="A182" s="76"/>
      <x:c r="D182" s="74"/>
      <x:c r="E182" s="74" t="n">
        <x:f>SUMIFS('Expenses'!$H$2:$H$300,'Expenses'!$B$2:$B$300,B182,'Expenses'!$D$2:$D$300,C182,'Expenses'!$A$2:$A$300,"&gt;="&amp;EOMONTH(A182,-1)+1,'Expenses'!$A$2:$A$300,"&lt;="&amp;EOMONTH(A182,0))+IF(C182="Staff Wages",SUMIFS('Salary_Register'!$I$2:$I$300,'Salary_Register'!$B$2:$B$300,B182,'Salary_Register'!$A$2:$A$300,A182),0)</x:f>
        <x:v>0</x:v>
      </x:c>
      <x:c r="F182" s="74" t="n">
        <x:f>D182-E182</x:f>
        <x:v>0</x:v>
      </x:c>
    </x:row>
    <x:row r="183">
      <x:c r="A183" s="76"/>
      <x:c r="D183" s="74"/>
      <x:c r="E183" s="74" t="n">
        <x:f>SUMIFS('Expenses'!$H$2:$H$300,'Expenses'!$B$2:$B$300,B183,'Expenses'!$D$2:$D$300,C183,'Expenses'!$A$2:$A$300,"&gt;="&amp;EOMONTH(A183,-1)+1,'Expenses'!$A$2:$A$300,"&lt;="&amp;EOMONTH(A183,0))+IF(C183="Staff Wages",SUMIFS('Salary_Register'!$I$2:$I$300,'Salary_Register'!$B$2:$B$300,B183,'Salary_Register'!$A$2:$A$300,A183),0)</x:f>
        <x:v>0</x:v>
      </x:c>
      <x:c r="F183" s="74" t="n">
        <x:f>D183-E183</x:f>
        <x:v>0</x:v>
      </x:c>
    </x:row>
    <x:row r="184">
      <x:c r="A184" s="76"/>
      <x:c r="D184" s="74"/>
      <x:c r="E184" s="74" t="n">
        <x:f>SUMIFS('Expenses'!$H$2:$H$300,'Expenses'!$B$2:$B$300,B184,'Expenses'!$D$2:$D$300,C184,'Expenses'!$A$2:$A$300,"&gt;="&amp;EOMONTH(A184,-1)+1,'Expenses'!$A$2:$A$300,"&lt;="&amp;EOMONTH(A184,0))+IF(C184="Staff Wages",SUMIFS('Salary_Register'!$I$2:$I$300,'Salary_Register'!$B$2:$B$300,B184,'Salary_Register'!$A$2:$A$300,A184),0)</x:f>
        <x:v>0</x:v>
      </x:c>
      <x:c r="F184" s="74" t="n">
        <x:f>D184-E184</x:f>
        <x:v>0</x:v>
      </x:c>
    </x:row>
    <x:row r="185">
      <x:c r="A185" s="76"/>
      <x:c r="D185" s="74"/>
      <x:c r="E185" s="74" t="n">
        <x:f>SUMIFS('Expenses'!$H$2:$H$300,'Expenses'!$B$2:$B$300,B185,'Expenses'!$D$2:$D$300,C185,'Expenses'!$A$2:$A$300,"&gt;="&amp;EOMONTH(A185,-1)+1,'Expenses'!$A$2:$A$300,"&lt;="&amp;EOMONTH(A185,0))+IF(C185="Staff Wages",SUMIFS('Salary_Register'!$I$2:$I$300,'Salary_Register'!$B$2:$B$300,B185,'Salary_Register'!$A$2:$A$300,A185),0)</x:f>
        <x:v>0</x:v>
      </x:c>
      <x:c r="F185" s="74" t="n">
        <x:f>D185-E185</x:f>
        <x:v>0</x:v>
      </x:c>
    </x:row>
    <x:row r="186">
      <x:c r="A186" s="76"/>
      <x:c r="D186" s="74"/>
      <x:c r="E186" s="74" t="n">
        <x:f>SUMIFS('Expenses'!$H$2:$H$300,'Expenses'!$B$2:$B$300,B186,'Expenses'!$D$2:$D$300,C186,'Expenses'!$A$2:$A$300,"&gt;="&amp;EOMONTH(A186,-1)+1,'Expenses'!$A$2:$A$300,"&lt;="&amp;EOMONTH(A186,0))+IF(C186="Staff Wages",SUMIFS('Salary_Register'!$I$2:$I$300,'Salary_Register'!$B$2:$B$300,B186,'Salary_Register'!$A$2:$A$300,A186),0)</x:f>
        <x:v>0</x:v>
      </x:c>
      <x:c r="F186" s="74" t="n">
        <x:f>D186-E186</x:f>
        <x:v>0</x:v>
      </x:c>
    </x:row>
    <x:row r="187">
      <x:c r="A187" s="76"/>
      <x:c r="D187" s="74"/>
      <x:c r="E187" s="74" t="n">
        <x:f>SUMIFS('Expenses'!$H$2:$H$300,'Expenses'!$B$2:$B$300,B187,'Expenses'!$D$2:$D$300,C187,'Expenses'!$A$2:$A$300,"&gt;="&amp;EOMONTH(A187,-1)+1,'Expenses'!$A$2:$A$300,"&lt;="&amp;EOMONTH(A187,0))+IF(C187="Staff Wages",SUMIFS('Salary_Register'!$I$2:$I$300,'Salary_Register'!$B$2:$B$300,B187,'Salary_Register'!$A$2:$A$300,A187),0)</x:f>
        <x:v>0</x:v>
      </x:c>
      <x:c r="F187" s="74" t="n">
        <x:f>D187-E187</x:f>
        <x:v>0</x:v>
      </x:c>
    </x:row>
    <x:row r="188">
      <x:c r="A188" s="76"/>
      <x:c r="D188" s="74"/>
      <x:c r="E188" s="74" t="n">
        <x:f>SUMIFS('Expenses'!$H$2:$H$300,'Expenses'!$B$2:$B$300,B188,'Expenses'!$D$2:$D$300,C188,'Expenses'!$A$2:$A$300,"&gt;="&amp;EOMONTH(A188,-1)+1,'Expenses'!$A$2:$A$300,"&lt;="&amp;EOMONTH(A188,0))+IF(C188="Staff Wages",SUMIFS('Salary_Register'!$I$2:$I$300,'Salary_Register'!$B$2:$B$300,B188,'Salary_Register'!$A$2:$A$300,A188),0)</x:f>
        <x:v>0</x:v>
      </x:c>
      <x:c r="F188" s="74" t="n">
        <x:f>D188-E188</x:f>
        <x:v>0</x:v>
      </x:c>
    </x:row>
    <x:row r="189">
      <x:c r="A189" s="76"/>
      <x:c r="D189" s="74"/>
      <x:c r="E189" s="74" t="n">
        <x:f>SUMIFS('Expenses'!$H$2:$H$300,'Expenses'!$B$2:$B$300,B189,'Expenses'!$D$2:$D$300,C189,'Expenses'!$A$2:$A$300,"&gt;="&amp;EOMONTH(A189,-1)+1,'Expenses'!$A$2:$A$300,"&lt;="&amp;EOMONTH(A189,0))+IF(C189="Staff Wages",SUMIFS('Salary_Register'!$I$2:$I$300,'Salary_Register'!$B$2:$B$300,B189,'Salary_Register'!$A$2:$A$300,A189),0)</x:f>
        <x:v>0</x:v>
      </x:c>
      <x:c r="F189" s="74" t="n">
        <x:f>D189-E189</x:f>
        <x:v>0</x:v>
      </x:c>
    </x:row>
    <x:row r="190">
      <x:c r="A190" s="76"/>
      <x:c r="D190" s="74"/>
      <x:c r="E190" s="74" t="n">
        <x:f>SUMIFS('Expenses'!$H$2:$H$300,'Expenses'!$B$2:$B$300,B190,'Expenses'!$D$2:$D$300,C190,'Expenses'!$A$2:$A$300,"&gt;="&amp;EOMONTH(A190,-1)+1,'Expenses'!$A$2:$A$300,"&lt;="&amp;EOMONTH(A190,0))+IF(C190="Staff Wages",SUMIFS('Salary_Register'!$I$2:$I$300,'Salary_Register'!$B$2:$B$300,B190,'Salary_Register'!$A$2:$A$300,A190),0)</x:f>
        <x:v>0</x:v>
      </x:c>
      <x:c r="F190" s="74" t="n">
        <x:f>D190-E190</x:f>
        <x:v>0</x:v>
      </x:c>
    </x:row>
    <x:row r="191">
      <x:c r="A191" s="76"/>
      <x:c r="D191" s="74"/>
      <x:c r="E191" s="74" t="n">
        <x:f>SUMIFS('Expenses'!$H$2:$H$300,'Expenses'!$B$2:$B$300,B191,'Expenses'!$D$2:$D$300,C191,'Expenses'!$A$2:$A$300,"&gt;="&amp;EOMONTH(A191,-1)+1,'Expenses'!$A$2:$A$300,"&lt;="&amp;EOMONTH(A191,0))+IF(C191="Staff Wages",SUMIFS('Salary_Register'!$I$2:$I$300,'Salary_Register'!$B$2:$B$300,B191,'Salary_Register'!$A$2:$A$300,A191),0)</x:f>
        <x:v>0</x:v>
      </x:c>
      <x:c r="F191" s="74" t="n">
        <x:f>D191-E191</x:f>
        <x:v>0</x:v>
      </x:c>
    </x:row>
    <x:row r="192">
      <x:c r="A192" s="76"/>
      <x:c r="D192" s="74"/>
      <x:c r="E192" s="74" t="n">
        <x:f>SUMIFS('Expenses'!$H$2:$H$300,'Expenses'!$B$2:$B$300,B192,'Expenses'!$D$2:$D$300,C192,'Expenses'!$A$2:$A$300,"&gt;="&amp;EOMONTH(A192,-1)+1,'Expenses'!$A$2:$A$300,"&lt;="&amp;EOMONTH(A192,0))+IF(C192="Staff Wages",SUMIFS('Salary_Register'!$I$2:$I$300,'Salary_Register'!$B$2:$B$300,B192,'Salary_Register'!$A$2:$A$300,A192),0)</x:f>
        <x:v>0</x:v>
      </x:c>
      <x:c r="F192" s="74" t="n">
        <x:f>D192-E192</x:f>
        <x:v>0</x:v>
      </x:c>
    </x:row>
    <x:row r="193">
      <x:c r="A193" s="76"/>
      <x:c r="D193" s="74"/>
      <x:c r="E193" s="74" t="n">
        <x:f>SUMIFS('Expenses'!$H$2:$H$300,'Expenses'!$B$2:$B$300,B193,'Expenses'!$D$2:$D$300,C193,'Expenses'!$A$2:$A$300,"&gt;="&amp;EOMONTH(A193,-1)+1,'Expenses'!$A$2:$A$300,"&lt;="&amp;EOMONTH(A193,0))+IF(C193="Staff Wages",SUMIFS('Salary_Register'!$I$2:$I$300,'Salary_Register'!$B$2:$B$300,B193,'Salary_Register'!$A$2:$A$300,A193),0)</x:f>
        <x:v>0</x:v>
      </x:c>
      <x:c r="F193" s="74" t="n">
        <x:f>D193-E193</x:f>
        <x:v>0</x:v>
      </x:c>
    </x:row>
    <x:row r="194">
      <x:c r="A194" s="76"/>
      <x:c r="D194" s="74"/>
      <x:c r="E194" s="74" t="n">
        <x:f>SUMIFS('Expenses'!$H$2:$H$300,'Expenses'!$B$2:$B$300,B194,'Expenses'!$D$2:$D$300,C194,'Expenses'!$A$2:$A$300,"&gt;="&amp;EOMONTH(A194,-1)+1,'Expenses'!$A$2:$A$300,"&lt;="&amp;EOMONTH(A194,0))+IF(C194="Staff Wages",SUMIFS('Salary_Register'!$I$2:$I$300,'Salary_Register'!$B$2:$B$300,B194,'Salary_Register'!$A$2:$A$300,A194),0)</x:f>
        <x:v>0</x:v>
      </x:c>
      <x:c r="F194" s="74" t="n">
        <x:f>D194-E194</x:f>
        <x:v>0</x:v>
      </x:c>
    </x:row>
    <x:row r="195">
      <x:c r="A195" s="76"/>
      <x:c r="D195" s="74"/>
      <x:c r="E195" s="74" t="n">
        <x:f>SUMIFS('Expenses'!$H$2:$H$300,'Expenses'!$B$2:$B$300,B195,'Expenses'!$D$2:$D$300,C195,'Expenses'!$A$2:$A$300,"&gt;="&amp;EOMONTH(A195,-1)+1,'Expenses'!$A$2:$A$300,"&lt;="&amp;EOMONTH(A195,0))+IF(C195="Staff Wages",SUMIFS('Salary_Register'!$I$2:$I$300,'Salary_Register'!$B$2:$B$300,B195,'Salary_Register'!$A$2:$A$300,A195),0)</x:f>
        <x:v>0</x:v>
      </x:c>
      <x:c r="F195" s="74" t="n">
        <x:f>D195-E195</x:f>
        <x:v>0</x:v>
      </x:c>
    </x:row>
    <x:row r="196">
      <x:c r="A196" s="76"/>
      <x:c r="D196" s="74"/>
      <x:c r="E196" s="74" t="n">
        <x:f>SUMIFS('Expenses'!$H$2:$H$300,'Expenses'!$B$2:$B$300,B196,'Expenses'!$D$2:$D$300,C196,'Expenses'!$A$2:$A$300,"&gt;="&amp;EOMONTH(A196,-1)+1,'Expenses'!$A$2:$A$300,"&lt;="&amp;EOMONTH(A196,0))+IF(C196="Staff Wages",SUMIFS('Salary_Register'!$I$2:$I$300,'Salary_Register'!$B$2:$B$300,B196,'Salary_Register'!$A$2:$A$300,A196),0)</x:f>
        <x:v>0</x:v>
      </x:c>
      <x:c r="F196" s="74" t="n">
        <x:f>D196-E196</x:f>
        <x:v>0</x:v>
      </x:c>
    </x:row>
    <x:row r="197">
      <x:c r="A197" s="76"/>
      <x:c r="D197" s="74"/>
      <x:c r="E197" s="74" t="n">
        <x:f>SUMIFS('Expenses'!$H$2:$H$300,'Expenses'!$B$2:$B$300,B197,'Expenses'!$D$2:$D$300,C197,'Expenses'!$A$2:$A$300,"&gt;="&amp;EOMONTH(A197,-1)+1,'Expenses'!$A$2:$A$300,"&lt;="&amp;EOMONTH(A197,0))+IF(C197="Staff Wages",SUMIFS('Salary_Register'!$I$2:$I$300,'Salary_Register'!$B$2:$B$300,B197,'Salary_Register'!$A$2:$A$300,A197),0)</x:f>
        <x:v>0</x:v>
      </x:c>
      <x:c r="F197" s="74" t="n">
        <x:f>D197-E197</x:f>
        <x:v>0</x:v>
      </x:c>
    </x:row>
    <x:row r="198">
      <x:c r="A198" s="76"/>
      <x:c r="D198" s="74"/>
      <x:c r="E198" s="74" t="n">
        <x:f>SUMIFS('Expenses'!$H$2:$H$300,'Expenses'!$B$2:$B$300,B198,'Expenses'!$D$2:$D$300,C198,'Expenses'!$A$2:$A$300,"&gt;="&amp;EOMONTH(A198,-1)+1,'Expenses'!$A$2:$A$300,"&lt;="&amp;EOMONTH(A198,0))+IF(C198="Staff Wages",SUMIFS('Salary_Register'!$I$2:$I$300,'Salary_Register'!$B$2:$B$300,B198,'Salary_Register'!$A$2:$A$300,A198),0)</x:f>
        <x:v>0</x:v>
      </x:c>
      <x:c r="F198" s="74" t="n">
        <x:f>D198-E198</x:f>
        <x:v>0</x:v>
      </x:c>
    </x:row>
    <x:row r="199">
      <x:c r="A199" s="76"/>
      <x:c r="D199" s="74"/>
      <x:c r="E199" s="74" t="n">
        <x:f>SUMIFS('Expenses'!$H$2:$H$300,'Expenses'!$B$2:$B$300,B199,'Expenses'!$D$2:$D$300,C199,'Expenses'!$A$2:$A$300,"&gt;="&amp;EOMONTH(A199,-1)+1,'Expenses'!$A$2:$A$300,"&lt;="&amp;EOMONTH(A199,0))+IF(C199="Staff Wages",SUMIFS('Salary_Register'!$I$2:$I$300,'Salary_Register'!$B$2:$B$300,B199,'Salary_Register'!$A$2:$A$300,A199),0)</x:f>
        <x:v>0</x:v>
      </x:c>
      <x:c r="F199" s="74" t="n">
        <x:f>D199-E199</x:f>
        <x:v>0</x:v>
      </x:c>
    </x:row>
    <x:row r="200">
      <x:c r="A200" s="76"/>
      <x:c r="D200" s="74"/>
      <x:c r="E200" s="74" t="n">
        <x:f>SUMIFS('Expenses'!$H$2:$H$300,'Expenses'!$B$2:$B$300,B200,'Expenses'!$D$2:$D$300,C200,'Expenses'!$A$2:$A$300,"&gt;="&amp;EOMONTH(A200,-1)+1,'Expenses'!$A$2:$A$300,"&lt;="&amp;EOMONTH(A200,0))+IF(C200="Staff Wages",SUMIFS('Salary_Register'!$I$2:$I$300,'Salary_Register'!$B$2:$B$300,B200,'Salary_Register'!$A$2:$A$300,A200),0)</x:f>
        <x:v>0</x:v>
      </x:c>
      <x:c r="F200" s="74" t="n">
        <x:f>D200-E200</x:f>
        <x:v>0</x:v>
      </x:c>
    </x:row>
    <x:row r="201">
      <x:c r="A201" s="76"/>
      <x:c r="D201" s="74"/>
      <x:c r="E201" s="74" t="n">
        <x:f>SUMIFS('Expenses'!$H$2:$H$300,'Expenses'!$B$2:$B$300,B201,'Expenses'!$D$2:$D$300,C201,'Expenses'!$A$2:$A$300,"&gt;="&amp;EOMONTH(A201,-1)+1,'Expenses'!$A$2:$A$300,"&lt;="&amp;EOMONTH(A201,0))+IF(C201="Staff Wages",SUMIFS('Salary_Register'!$I$2:$I$300,'Salary_Register'!$B$2:$B$300,B201,'Salary_Register'!$A$2:$A$300,A201),0)</x:f>
        <x:v>0</x:v>
      </x:c>
      <x:c r="F201" s="74" t="n">
        <x:f>D201-E201</x:f>
        <x:v>0</x:v>
      </x:c>
    </x:row>
    <x:row r="202">
      <x:c r="A202" s="76"/>
      <x:c r="D202" s="74"/>
      <x:c r="E202" s="74" t="n">
        <x:f>SUMIFS('Expenses'!$H$2:$H$300,'Expenses'!$B$2:$B$300,B202,'Expenses'!$D$2:$D$300,C202,'Expenses'!$A$2:$A$300,"&gt;="&amp;EOMONTH(A202,-1)+1,'Expenses'!$A$2:$A$300,"&lt;="&amp;EOMONTH(A202,0))+IF(C202="Staff Wages",SUMIFS('Salary_Register'!$I$2:$I$300,'Salary_Register'!$B$2:$B$300,B202,'Salary_Register'!$A$2:$A$300,A202),0)</x:f>
        <x:v>0</x:v>
      </x:c>
      <x:c r="F202" s="74" t="n">
        <x:f>D202-E202</x:f>
        <x:v>0</x:v>
      </x:c>
    </x:row>
    <x:row r="203">
      <x:c r="A203" s="76"/>
      <x:c r="D203" s="74"/>
      <x:c r="E203" s="74" t="n">
        <x:f>SUMIFS('Expenses'!$H$2:$H$300,'Expenses'!$B$2:$B$300,B203,'Expenses'!$D$2:$D$300,C203,'Expenses'!$A$2:$A$300,"&gt;="&amp;EOMONTH(A203,-1)+1,'Expenses'!$A$2:$A$300,"&lt;="&amp;EOMONTH(A203,0))+IF(C203="Staff Wages",SUMIFS('Salary_Register'!$I$2:$I$300,'Salary_Register'!$B$2:$B$300,B203,'Salary_Register'!$A$2:$A$300,A203),0)</x:f>
        <x:v>0</x:v>
      </x:c>
      <x:c r="F203" s="74" t="n">
        <x:f>D203-E203</x:f>
        <x:v>0</x:v>
      </x:c>
    </x:row>
    <x:row r="204">
      <x:c r="A204" s="76"/>
      <x:c r="D204" s="74"/>
      <x:c r="E204" s="74" t="n">
        <x:f>SUMIFS('Expenses'!$H$2:$H$300,'Expenses'!$B$2:$B$300,B204,'Expenses'!$D$2:$D$300,C204,'Expenses'!$A$2:$A$300,"&gt;="&amp;EOMONTH(A204,-1)+1,'Expenses'!$A$2:$A$300,"&lt;="&amp;EOMONTH(A204,0))+IF(C204="Staff Wages",SUMIFS('Salary_Register'!$I$2:$I$300,'Salary_Register'!$B$2:$B$300,B204,'Salary_Register'!$A$2:$A$300,A204),0)</x:f>
        <x:v>0</x:v>
      </x:c>
      <x:c r="F204" s="74" t="n">
        <x:f>D204-E204</x:f>
        <x:v>0</x:v>
      </x:c>
    </x:row>
    <x:row r="205">
      <x:c r="A205" s="76"/>
      <x:c r="D205" s="74"/>
      <x:c r="E205" s="74" t="n">
        <x:f>SUMIFS('Expenses'!$H$2:$H$300,'Expenses'!$B$2:$B$300,B205,'Expenses'!$D$2:$D$300,C205,'Expenses'!$A$2:$A$300,"&gt;="&amp;EOMONTH(A205,-1)+1,'Expenses'!$A$2:$A$300,"&lt;="&amp;EOMONTH(A205,0))+IF(C205="Staff Wages",SUMIFS('Salary_Register'!$I$2:$I$300,'Salary_Register'!$B$2:$B$300,B205,'Salary_Register'!$A$2:$A$300,A205),0)</x:f>
        <x:v>0</x:v>
      </x:c>
      <x:c r="F205" s="74" t="n">
        <x:f>D205-E205</x:f>
        <x:v>0</x:v>
      </x:c>
    </x:row>
    <x:row r="206">
      <x:c r="A206" s="76"/>
      <x:c r="D206" s="74"/>
      <x:c r="E206" s="74" t="n">
        <x:f>SUMIFS('Expenses'!$H$2:$H$300,'Expenses'!$B$2:$B$300,B206,'Expenses'!$D$2:$D$300,C206,'Expenses'!$A$2:$A$300,"&gt;="&amp;EOMONTH(A206,-1)+1,'Expenses'!$A$2:$A$300,"&lt;="&amp;EOMONTH(A206,0))+IF(C206="Staff Wages",SUMIFS('Salary_Register'!$I$2:$I$300,'Salary_Register'!$B$2:$B$300,B206,'Salary_Register'!$A$2:$A$300,A206),0)</x:f>
        <x:v>0</x:v>
      </x:c>
      <x:c r="F206" s="74" t="n">
        <x:f>D206-E206</x:f>
        <x:v>0</x:v>
      </x:c>
    </x:row>
    <x:row r="207">
      <x:c r="A207" s="76"/>
      <x:c r="D207" s="74"/>
      <x:c r="E207" s="74" t="n">
        <x:f>SUMIFS('Expenses'!$H$2:$H$300,'Expenses'!$B$2:$B$300,B207,'Expenses'!$D$2:$D$300,C207,'Expenses'!$A$2:$A$300,"&gt;="&amp;EOMONTH(A207,-1)+1,'Expenses'!$A$2:$A$300,"&lt;="&amp;EOMONTH(A207,0))+IF(C207="Staff Wages",SUMIFS('Salary_Register'!$I$2:$I$300,'Salary_Register'!$B$2:$B$300,B207,'Salary_Register'!$A$2:$A$300,A207),0)</x:f>
        <x:v>0</x:v>
      </x:c>
      <x:c r="F207" s="74" t="n">
        <x:f>D207-E207</x:f>
        <x:v>0</x:v>
      </x:c>
    </x:row>
    <x:row r="208">
      <x:c r="A208" s="76"/>
      <x:c r="D208" s="74"/>
      <x:c r="E208" s="74" t="n">
        <x:f>SUMIFS('Expenses'!$H$2:$H$300,'Expenses'!$B$2:$B$300,B208,'Expenses'!$D$2:$D$300,C208,'Expenses'!$A$2:$A$300,"&gt;="&amp;EOMONTH(A208,-1)+1,'Expenses'!$A$2:$A$300,"&lt;="&amp;EOMONTH(A208,0))+IF(C208="Staff Wages",SUMIFS('Salary_Register'!$I$2:$I$300,'Salary_Register'!$B$2:$B$300,B208,'Salary_Register'!$A$2:$A$300,A208),0)</x:f>
        <x:v>0</x:v>
      </x:c>
      <x:c r="F208" s="74" t="n">
        <x:f>D208-E208</x:f>
        <x:v>0</x:v>
      </x:c>
    </x:row>
    <x:row r="209">
      <x:c r="A209" s="76"/>
      <x:c r="D209" s="74"/>
      <x:c r="E209" s="74" t="n">
        <x:f>SUMIFS('Expenses'!$H$2:$H$300,'Expenses'!$B$2:$B$300,B209,'Expenses'!$D$2:$D$300,C209,'Expenses'!$A$2:$A$300,"&gt;="&amp;EOMONTH(A209,-1)+1,'Expenses'!$A$2:$A$300,"&lt;="&amp;EOMONTH(A209,0))+IF(C209="Staff Wages",SUMIFS('Salary_Register'!$I$2:$I$300,'Salary_Register'!$B$2:$B$300,B209,'Salary_Register'!$A$2:$A$300,A209),0)</x:f>
        <x:v>0</x:v>
      </x:c>
      <x:c r="F209" s="74" t="n">
        <x:f>D209-E209</x:f>
        <x:v>0</x:v>
      </x:c>
    </x:row>
    <x:row r="210">
      <x:c r="A210" s="76"/>
      <x:c r="D210" s="74"/>
      <x:c r="E210" s="74" t="n">
        <x:f>SUMIFS('Expenses'!$H$2:$H$300,'Expenses'!$B$2:$B$300,B210,'Expenses'!$D$2:$D$300,C210,'Expenses'!$A$2:$A$300,"&gt;="&amp;EOMONTH(A210,-1)+1,'Expenses'!$A$2:$A$300,"&lt;="&amp;EOMONTH(A210,0))+IF(C210="Staff Wages",SUMIFS('Salary_Register'!$I$2:$I$300,'Salary_Register'!$B$2:$B$300,B210,'Salary_Register'!$A$2:$A$300,A210),0)</x:f>
        <x:v>0</x:v>
      </x:c>
      <x:c r="F210" s="74" t="n">
        <x:f>D210-E210</x:f>
        <x:v>0</x:v>
      </x:c>
    </x:row>
    <x:row r="211">
      <x:c r="A211" s="76"/>
      <x:c r="D211" s="74"/>
      <x:c r="E211" s="74" t="n">
        <x:f>SUMIFS('Expenses'!$H$2:$H$300,'Expenses'!$B$2:$B$300,B211,'Expenses'!$D$2:$D$300,C211,'Expenses'!$A$2:$A$300,"&gt;="&amp;EOMONTH(A211,-1)+1,'Expenses'!$A$2:$A$300,"&lt;="&amp;EOMONTH(A211,0))+IF(C211="Staff Wages",SUMIFS('Salary_Register'!$I$2:$I$300,'Salary_Register'!$B$2:$B$300,B211,'Salary_Register'!$A$2:$A$300,A211),0)</x:f>
        <x:v>0</x:v>
      </x:c>
      <x:c r="F211" s="74" t="n">
        <x:f>D211-E211</x:f>
        <x:v>0</x:v>
      </x:c>
    </x:row>
    <x:row r="212">
      <x:c r="A212" s="76"/>
      <x:c r="D212" s="74"/>
      <x:c r="E212" s="74" t="n">
        <x:f>SUMIFS('Expenses'!$H$2:$H$300,'Expenses'!$B$2:$B$300,B212,'Expenses'!$D$2:$D$300,C212,'Expenses'!$A$2:$A$300,"&gt;="&amp;EOMONTH(A212,-1)+1,'Expenses'!$A$2:$A$300,"&lt;="&amp;EOMONTH(A212,0))+IF(C212="Staff Wages",SUMIFS('Salary_Register'!$I$2:$I$300,'Salary_Register'!$B$2:$B$300,B212,'Salary_Register'!$A$2:$A$300,A212),0)</x:f>
        <x:v>0</x:v>
      </x:c>
      <x:c r="F212" s="74" t="n">
        <x:f>D212-E212</x:f>
        <x:v>0</x:v>
      </x:c>
    </x:row>
    <x:row r="213">
      <x:c r="A213" s="76"/>
      <x:c r="D213" s="74"/>
      <x:c r="E213" s="74" t="n">
        <x:f>SUMIFS('Expenses'!$H$2:$H$300,'Expenses'!$B$2:$B$300,B213,'Expenses'!$D$2:$D$300,C213,'Expenses'!$A$2:$A$300,"&gt;="&amp;EOMONTH(A213,-1)+1,'Expenses'!$A$2:$A$300,"&lt;="&amp;EOMONTH(A213,0))+IF(C213="Staff Wages",SUMIFS('Salary_Register'!$I$2:$I$300,'Salary_Register'!$B$2:$B$300,B213,'Salary_Register'!$A$2:$A$300,A213),0)</x:f>
        <x:v>0</x:v>
      </x:c>
      <x:c r="F213" s="74" t="n">
        <x:f>D213-E213</x:f>
        <x:v>0</x:v>
      </x:c>
    </x:row>
    <x:row r="214">
      <x:c r="A214" s="76"/>
      <x:c r="D214" s="74"/>
      <x:c r="E214" s="74" t="n">
        <x:f>SUMIFS('Expenses'!$H$2:$H$300,'Expenses'!$B$2:$B$300,B214,'Expenses'!$D$2:$D$300,C214,'Expenses'!$A$2:$A$300,"&gt;="&amp;EOMONTH(A214,-1)+1,'Expenses'!$A$2:$A$300,"&lt;="&amp;EOMONTH(A214,0))+IF(C214="Staff Wages",SUMIFS('Salary_Register'!$I$2:$I$300,'Salary_Register'!$B$2:$B$300,B214,'Salary_Register'!$A$2:$A$300,A214),0)</x:f>
        <x:v>0</x:v>
      </x:c>
      <x:c r="F214" s="74" t="n">
        <x:f>D214-E214</x:f>
        <x:v>0</x:v>
      </x:c>
    </x:row>
    <x:row r="215">
      <x:c r="A215" s="76"/>
      <x:c r="D215" s="74"/>
      <x:c r="E215" s="74" t="n">
        <x:f>SUMIFS('Expenses'!$H$2:$H$300,'Expenses'!$B$2:$B$300,B215,'Expenses'!$D$2:$D$300,C215,'Expenses'!$A$2:$A$300,"&gt;="&amp;EOMONTH(A215,-1)+1,'Expenses'!$A$2:$A$300,"&lt;="&amp;EOMONTH(A215,0))+IF(C215="Staff Wages",SUMIFS('Salary_Register'!$I$2:$I$300,'Salary_Register'!$B$2:$B$300,B215,'Salary_Register'!$A$2:$A$300,A215),0)</x:f>
        <x:v>0</x:v>
      </x:c>
      <x:c r="F215" s="74" t="n">
        <x:f>D215-E215</x:f>
        <x:v>0</x:v>
      </x:c>
    </x:row>
    <x:row r="216">
      <x:c r="A216" s="76"/>
      <x:c r="D216" s="74"/>
      <x:c r="E216" s="74" t="n">
        <x:f>SUMIFS('Expenses'!$H$2:$H$300,'Expenses'!$B$2:$B$300,B216,'Expenses'!$D$2:$D$300,C216,'Expenses'!$A$2:$A$300,"&gt;="&amp;EOMONTH(A216,-1)+1,'Expenses'!$A$2:$A$300,"&lt;="&amp;EOMONTH(A216,0))+IF(C216="Staff Wages",SUMIFS('Salary_Register'!$I$2:$I$300,'Salary_Register'!$B$2:$B$300,B216,'Salary_Register'!$A$2:$A$300,A216),0)</x:f>
        <x:v>0</x:v>
      </x:c>
      <x:c r="F216" s="74" t="n">
        <x:f>D216-E216</x:f>
        <x:v>0</x:v>
      </x:c>
    </x:row>
    <x:row r="217">
      <x:c r="A217" s="76"/>
      <x:c r="D217" s="74"/>
      <x:c r="E217" s="74" t="n">
        <x:f>SUMIFS('Expenses'!$H$2:$H$300,'Expenses'!$B$2:$B$300,B217,'Expenses'!$D$2:$D$300,C217,'Expenses'!$A$2:$A$300,"&gt;="&amp;EOMONTH(A217,-1)+1,'Expenses'!$A$2:$A$300,"&lt;="&amp;EOMONTH(A217,0))+IF(C217="Staff Wages",SUMIFS('Salary_Register'!$I$2:$I$300,'Salary_Register'!$B$2:$B$300,B217,'Salary_Register'!$A$2:$A$300,A217),0)</x:f>
        <x:v>0</x:v>
      </x:c>
      <x:c r="F217" s="74" t="n">
        <x:f>D217-E217</x:f>
        <x:v>0</x:v>
      </x:c>
    </x:row>
    <x:row r="218">
      <x:c r="A218" s="76"/>
      <x:c r="D218" s="74"/>
      <x:c r="E218" s="74" t="n">
        <x:f>SUMIFS('Expenses'!$H$2:$H$300,'Expenses'!$B$2:$B$300,B218,'Expenses'!$D$2:$D$300,C218,'Expenses'!$A$2:$A$300,"&gt;="&amp;EOMONTH(A218,-1)+1,'Expenses'!$A$2:$A$300,"&lt;="&amp;EOMONTH(A218,0))+IF(C218="Staff Wages",SUMIFS('Salary_Register'!$I$2:$I$300,'Salary_Register'!$B$2:$B$300,B218,'Salary_Register'!$A$2:$A$300,A218),0)</x:f>
        <x:v>0</x:v>
      </x:c>
      <x:c r="F218" s="74" t="n">
        <x:f>D218-E218</x:f>
        <x:v>0</x:v>
      </x:c>
    </x:row>
    <x:row r="219">
      <x:c r="A219" s="76"/>
      <x:c r="D219" s="74"/>
      <x:c r="E219" s="74" t="n">
        <x:f>SUMIFS('Expenses'!$H$2:$H$300,'Expenses'!$B$2:$B$300,B219,'Expenses'!$D$2:$D$300,C219,'Expenses'!$A$2:$A$300,"&gt;="&amp;EOMONTH(A219,-1)+1,'Expenses'!$A$2:$A$300,"&lt;="&amp;EOMONTH(A219,0))+IF(C219="Staff Wages",SUMIFS('Salary_Register'!$I$2:$I$300,'Salary_Register'!$B$2:$B$300,B219,'Salary_Register'!$A$2:$A$300,A219),0)</x:f>
        <x:v>0</x:v>
      </x:c>
      <x:c r="F219" s="74" t="n">
        <x:f>D219-E219</x:f>
        <x:v>0</x:v>
      </x:c>
    </x:row>
    <x:row r="220">
      <x:c r="A220" s="76"/>
      <x:c r="D220" s="74"/>
      <x:c r="E220" s="74" t="n">
        <x:f>SUMIFS('Expenses'!$H$2:$H$300,'Expenses'!$B$2:$B$300,B220,'Expenses'!$D$2:$D$300,C220,'Expenses'!$A$2:$A$300,"&gt;="&amp;EOMONTH(A220,-1)+1,'Expenses'!$A$2:$A$300,"&lt;="&amp;EOMONTH(A220,0))+IF(C220="Staff Wages",SUMIFS('Salary_Register'!$I$2:$I$300,'Salary_Register'!$B$2:$B$300,B220,'Salary_Register'!$A$2:$A$300,A220),0)</x:f>
        <x:v>0</x:v>
      </x:c>
      <x:c r="F220" s="74" t="n">
        <x:f>D220-E220</x:f>
        <x:v>0</x:v>
      </x:c>
    </x:row>
    <x:row r="221">
      <x:c r="A221" s="76"/>
      <x:c r="D221" s="74"/>
      <x:c r="E221" s="74" t="n">
        <x:f>SUMIFS('Expenses'!$H$2:$H$300,'Expenses'!$B$2:$B$300,B221,'Expenses'!$D$2:$D$300,C221,'Expenses'!$A$2:$A$300,"&gt;="&amp;EOMONTH(A221,-1)+1,'Expenses'!$A$2:$A$300,"&lt;="&amp;EOMONTH(A221,0))+IF(C221="Staff Wages",SUMIFS('Salary_Register'!$I$2:$I$300,'Salary_Register'!$B$2:$B$300,B221,'Salary_Register'!$A$2:$A$300,A221),0)</x:f>
        <x:v>0</x:v>
      </x:c>
      <x:c r="F221" s="74" t="n">
        <x:f>D221-E221</x:f>
        <x:v>0</x:v>
      </x:c>
    </x:row>
    <x:row r="222">
      <x:c r="A222" s="76"/>
      <x:c r="D222" s="74"/>
      <x:c r="E222" s="74" t="n">
        <x:f>SUMIFS('Expenses'!$H$2:$H$300,'Expenses'!$B$2:$B$300,B222,'Expenses'!$D$2:$D$300,C222,'Expenses'!$A$2:$A$300,"&gt;="&amp;EOMONTH(A222,-1)+1,'Expenses'!$A$2:$A$300,"&lt;="&amp;EOMONTH(A222,0))+IF(C222="Staff Wages",SUMIFS('Salary_Register'!$I$2:$I$300,'Salary_Register'!$B$2:$B$300,B222,'Salary_Register'!$A$2:$A$300,A222),0)</x:f>
        <x:v>0</x:v>
      </x:c>
      <x:c r="F222" s="74" t="n">
        <x:f>D222-E222</x:f>
        <x:v>0</x:v>
      </x:c>
    </x:row>
    <x:row r="223">
      <x:c r="A223" s="76"/>
      <x:c r="D223" s="74"/>
      <x:c r="E223" s="74" t="n">
        <x:f>SUMIFS('Expenses'!$H$2:$H$300,'Expenses'!$B$2:$B$300,B223,'Expenses'!$D$2:$D$300,C223,'Expenses'!$A$2:$A$300,"&gt;="&amp;EOMONTH(A223,-1)+1,'Expenses'!$A$2:$A$300,"&lt;="&amp;EOMONTH(A223,0))+IF(C223="Staff Wages",SUMIFS('Salary_Register'!$I$2:$I$300,'Salary_Register'!$B$2:$B$300,B223,'Salary_Register'!$A$2:$A$300,A223),0)</x:f>
        <x:v>0</x:v>
      </x:c>
      <x:c r="F223" s="74" t="n">
        <x:f>D223-E223</x:f>
        <x:v>0</x:v>
      </x:c>
    </x:row>
    <x:row r="224">
      <x:c r="A224" s="76"/>
      <x:c r="D224" s="74"/>
      <x:c r="E224" s="74" t="n">
        <x:f>SUMIFS('Expenses'!$H$2:$H$300,'Expenses'!$B$2:$B$300,B224,'Expenses'!$D$2:$D$300,C224,'Expenses'!$A$2:$A$300,"&gt;="&amp;EOMONTH(A224,-1)+1,'Expenses'!$A$2:$A$300,"&lt;="&amp;EOMONTH(A224,0))+IF(C224="Staff Wages",SUMIFS('Salary_Register'!$I$2:$I$300,'Salary_Register'!$B$2:$B$300,B224,'Salary_Register'!$A$2:$A$300,A224),0)</x:f>
        <x:v>0</x:v>
      </x:c>
      <x:c r="F224" s="74" t="n">
        <x:f>D224-E224</x:f>
        <x:v>0</x:v>
      </x:c>
    </x:row>
    <x:row r="225">
      <x:c r="A225" s="76"/>
      <x:c r="D225" s="74"/>
      <x:c r="E225" s="74" t="n">
        <x:f>SUMIFS('Expenses'!$H$2:$H$300,'Expenses'!$B$2:$B$300,B225,'Expenses'!$D$2:$D$300,C225,'Expenses'!$A$2:$A$300,"&gt;="&amp;EOMONTH(A225,-1)+1,'Expenses'!$A$2:$A$300,"&lt;="&amp;EOMONTH(A225,0))+IF(C225="Staff Wages",SUMIFS('Salary_Register'!$I$2:$I$300,'Salary_Register'!$B$2:$B$300,B225,'Salary_Register'!$A$2:$A$300,A225),0)</x:f>
        <x:v>0</x:v>
      </x:c>
      <x:c r="F225" s="74" t="n">
        <x:f>D225-E225</x:f>
        <x:v>0</x:v>
      </x:c>
    </x:row>
    <x:row r="226">
      <x:c r="A226" s="76"/>
      <x:c r="D226" s="74"/>
      <x:c r="E226" s="74" t="n">
        <x:f>SUMIFS('Expenses'!$H$2:$H$300,'Expenses'!$B$2:$B$300,B226,'Expenses'!$D$2:$D$300,C226,'Expenses'!$A$2:$A$300,"&gt;="&amp;EOMONTH(A226,-1)+1,'Expenses'!$A$2:$A$300,"&lt;="&amp;EOMONTH(A226,0))+IF(C226="Staff Wages",SUMIFS('Salary_Register'!$I$2:$I$300,'Salary_Register'!$B$2:$B$300,B226,'Salary_Register'!$A$2:$A$300,A226),0)</x:f>
        <x:v>0</x:v>
      </x:c>
      <x:c r="F226" s="74" t="n">
        <x:f>D226-E226</x:f>
        <x:v>0</x:v>
      </x:c>
    </x:row>
    <x:row r="227">
      <x:c r="A227" s="76"/>
      <x:c r="D227" s="74"/>
      <x:c r="E227" s="74" t="n">
        <x:f>SUMIFS('Expenses'!$H$2:$H$300,'Expenses'!$B$2:$B$300,B227,'Expenses'!$D$2:$D$300,C227,'Expenses'!$A$2:$A$300,"&gt;="&amp;EOMONTH(A227,-1)+1,'Expenses'!$A$2:$A$300,"&lt;="&amp;EOMONTH(A227,0))+IF(C227="Staff Wages",SUMIFS('Salary_Register'!$I$2:$I$300,'Salary_Register'!$B$2:$B$300,B227,'Salary_Register'!$A$2:$A$300,A227),0)</x:f>
        <x:v>0</x:v>
      </x:c>
      <x:c r="F227" s="74" t="n">
        <x:f>D227-E227</x:f>
        <x:v>0</x:v>
      </x:c>
    </x:row>
    <x:row r="228">
      <x:c r="A228" s="76"/>
      <x:c r="D228" s="74"/>
      <x:c r="E228" s="74" t="n">
        <x:f>SUMIFS('Expenses'!$H$2:$H$300,'Expenses'!$B$2:$B$300,B228,'Expenses'!$D$2:$D$300,C228,'Expenses'!$A$2:$A$300,"&gt;="&amp;EOMONTH(A228,-1)+1,'Expenses'!$A$2:$A$300,"&lt;="&amp;EOMONTH(A228,0))+IF(C228="Staff Wages",SUMIFS('Salary_Register'!$I$2:$I$300,'Salary_Register'!$B$2:$B$300,B228,'Salary_Register'!$A$2:$A$300,A228),0)</x:f>
        <x:v>0</x:v>
      </x:c>
      <x:c r="F228" s="74" t="n">
        <x:f>D228-E228</x:f>
        <x:v>0</x:v>
      </x:c>
    </x:row>
    <x:row r="229">
      <x:c r="A229" s="76"/>
      <x:c r="D229" s="74"/>
      <x:c r="E229" s="74" t="n">
        <x:f>SUMIFS('Expenses'!$H$2:$H$300,'Expenses'!$B$2:$B$300,B229,'Expenses'!$D$2:$D$300,C229,'Expenses'!$A$2:$A$300,"&gt;="&amp;EOMONTH(A229,-1)+1,'Expenses'!$A$2:$A$300,"&lt;="&amp;EOMONTH(A229,0))+IF(C229="Staff Wages",SUMIFS('Salary_Register'!$I$2:$I$300,'Salary_Register'!$B$2:$B$300,B229,'Salary_Register'!$A$2:$A$300,A229),0)</x:f>
        <x:v>0</x:v>
      </x:c>
      <x:c r="F229" s="74" t="n">
        <x:f>D229-E229</x:f>
        <x:v>0</x:v>
      </x:c>
    </x:row>
    <x:row r="230">
      <x:c r="A230" s="76"/>
      <x:c r="D230" s="74"/>
      <x:c r="E230" s="74" t="n">
        <x:f>SUMIFS('Expenses'!$H$2:$H$300,'Expenses'!$B$2:$B$300,B230,'Expenses'!$D$2:$D$300,C230,'Expenses'!$A$2:$A$300,"&gt;="&amp;EOMONTH(A230,-1)+1,'Expenses'!$A$2:$A$300,"&lt;="&amp;EOMONTH(A230,0))+IF(C230="Staff Wages",SUMIFS('Salary_Register'!$I$2:$I$300,'Salary_Register'!$B$2:$B$300,B230,'Salary_Register'!$A$2:$A$300,A230),0)</x:f>
        <x:v>0</x:v>
      </x:c>
      <x:c r="F230" s="74" t="n">
        <x:f>D230-E230</x:f>
        <x:v>0</x:v>
      </x:c>
    </x:row>
    <x:row r="231">
      <x:c r="A231" s="76"/>
      <x:c r="D231" s="74"/>
      <x:c r="E231" s="74" t="n">
        <x:f>SUMIFS('Expenses'!$H$2:$H$300,'Expenses'!$B$2:$B$300,B231,'Expenses'!$D$2:$D$300,C231,'Expenses'!$A$2:$A$300,"&gt;="&amp;EOMONTH(A231,-1)+1,'Expenses'!$A$2:$A$300,"&lt;="&amp;EOMONTH(A231,0))+IF(C231="Staff Wages",SUMIFS('Salary_Register'!$I$2:$I$300,'Salary_Register'!$B$2:$B$300,B231,'Salary_Register'!$A$2:$A$300,A231),0)</x:f>
        <x:v>0</x:v>
      </x:c>
      <x:c r="F231" s="74" t="n">
        <x:f>D231-E231</x:f>
        <x:v>0</x:v>
      </x:c>
    </x:row>
    <x:row r="232">
      <x:c r="A232" s="76"/>
      <x:c r="D232" s="74"/>
      <x:c r="E232" s="74" t="n">
        <x:f>SUMIFS('Expenses'!$H$2:$H$300,'Expenses'!$B$2:$B$300,B232,'Expenses'!$D$2:$D$300,C232,'Expenses'!$A$2:$A$300,"&gt;="&amp;EOMONTH(A232,-1)+1,'Expenses'!$A$2:$A$300,"&lt;="&amp;EOMONTH(A232,0))+IF(C232="Staff Wages",SUMIFS('Salary_Register'!$I$2:$I$300,'Salary_Register'!$B$2:$B$300,B232,'Salary_Register'!$A$2:$A$300,A232),0)</x:f>
        <x:v>0</x:v>
      </x:c>
      <x:c r="F232" s="74" t="n">
        <x:f>D232-E232</x:f>
        <x:v>0</x:v>
      </x:c>
    </x:row>
    <x:row r="233">
      <x:c r="A233" s="76"/>
      <x:c r="D233" s="74"/>
      <x:c r="E233" s="74" t="n">
        <x:f>SUMIFS('Expenses'!$H$2:$H$300,'Expenses'!$B$2:$B$300,B233,'Expenses'!$D$2:$D$300,C233,'Expenses'!$A$2:$A$300,"&gt;="&amp;EOMONTH(A233,-1)+1,'Expenses'!$A$2:$A$300,"&lt;="&amp;EOMONTH(A233,0))+IF(C233="Staff Wages",SUMIFS('Salary_Register'!$I$2:$I$300,'Salary_Register'!$B$2:$B$300,B233,'Salary_Register'!$A$2:$A$300,A233),0)</x:f>
        <x:v>0</x:v>
      </x:c>
      <x:c r="F233" s="74" t="n">
        <x:f>D233-E233</x:f>
        <x:v>0</x:v>
      </x:c>
    </x:row>
    <x:row r="234">
      <x:c r="A234" s="76"/>
      <x:c r="D234" s="74"/>
      <x:c r="E234" s="74" t="n">
        <x:f>SUMIFS('Expenses'!$H$2:$H$300,'Expenses'!$B$2:$B$300,B234,'Expenses'!$D$2:$D$300,C234,'Expenses'!$A$2:$A$300,"&gt;="&amp;EOMONTH(A234,-1)+1,'Expenses'!$A$2:$A$300,"&lt;="&amp;EOMONTH(A234,0))+IF(C234="Staff Wages",SUMIFS('Salary_Register'!$I$2:$I$300,'Salary_Register'!$B$2:$B$300,B234,'Salary_Register'!$A$2:$A$300,A234),0)</x:f>
        <x:v>0</x:v>
      </x:c>
      <x:c r="F234" s="74" t="n">
        <x:f>D234-E234</x:f>
        <x:v>0</x:v>
      </x:c>
    </x:row>
    <x:row r="235">
      <x:c r="A235" s="76"/>
      <x:c r="D235" s="74"/>
      <x:c r="E235" s="74" t="n">
        <x:f>SUMIFS('Expenses'!$H$2:$H$300,'Expenses'!$B$2:$B$300,B235,'Expenses'!$D$2:$D$300,C235,'Expenses'!$A$2:$A$300,"&gt;="&amp;EOMONTH(A235,-1)+1,'Expenses'!$A$2:$A$300,"&lt;="&amp;EOMONTH(A235,0))+IF(C235="Staff Wages",SUMIFS('Salary_Register'!$I$2:$I$300,'Salary_Register'!$B$2:$B$300,B235,'Salary_Register'!$A$2:$A$300,A235),0)</x:f>
        <x:v>0</x:v>
      </x:c>
      <x:c r="F235" s="74" t="n">
        <x:f>D235-E235</x:f>
        <x:v>0</x:v>
      </x:c>
    </x:row>
    <x:row r="236">
      <x:c r="A236" s="76"/>
      <x:c r="D236" s="74"/>
      <x:c r="E236" s="74" t="n">
        <x:f>SUMIFS('Expenses'!$H$2:$H$300,'Expenses'!$B$2:$B$300,B236,'Expenses'!$D$2:$D$300,C236,'Expenses'!$A$2:$A$300,"&gt;="&amp;EOMONTH(A236,-1)+1,'Expenses'!$A$2:$A$300,"&lt;="&amp;EOMONTH(A236,0))+IF(C236="Staff Wages",SUMIFS('Salary_Register'!$I$2:$I$300,'Salary_Register'!$B$2:$B$300,B236,'Salary_Register'!$A$2:$A$300,A236),0)</x:f>
        <x:v>0</x:v>
      </x:c>
      <x:c r="F236" s="74" t="n">
        <x:f>D236-E236</x:f>
        <x:v>0</x:v>
      </x:c>
    </x:row>
    <x:row r="237">
      <x:c r="A237" s="76"/>
      <x:c r="D237" s="74"/>
      <x:c r="E237" s="74" t="n">
        <x:f>SUMIFS('Expenses'!$H$2:$H$300,'Expenses'!$B$2:$B$300,B237,'Expenses'!$D$2:$D$300,C237,'Expenses'!$A$2:$A$300,"&gt;="&amp;EOMONTH(A237,-1)+1,'Expenses'!$A$2:$A$300,"&lt;="&amp;EOMONTH(A237,0))+IF(C237="Staff Wages",SUMIFS('Salary_Register'!$I$2:$I$300,'Salary_Register'!$B$2:$B$300,B237,'Salary_Register'!$A$2:$A$300,A237),0)</x:f>
        <x:v>0</x:v>
      </x:c>
      <x:c r="F237" s="74" t="n">
        <x:f>D237-E237</x:f>
        <x:v>0</x:v>
      </x:c>
    </x:row>
    <x:row r="238">
      <x:c r="A238" s="76"/>
      <x:c r="D238" s="74"/>
      <x:c r="E238" s="74" t="n">
        <x:f>SUMIFS('Expenses'!$H$2:$H$300,'Expenses'!$B$2:$B$300,B238,'Expenses'!$D$2:$D$300,C238,'Expenses'!$A$2:$A$300,"&gt;="&amp;EOMONTH(A238,-1)+1,'Expenses'!$A$2:$A$300,"&lt;="&amp;EOMONTH(A238,0))+IF(C238="Staff Wages",SUMIFS('Salary_Register'!$I$2:$I$300,'Salary_Register'!$B$2:$B$300,B238,'Salary_Register'!$A$2:$A$300,A238),0)</x:f>
        <x:v>0</x:v>
      </x:c>
      <x:c r="F238" s="74" t="n">
        <x:f>D238-E238</x:f>
        <x:v>0</x:v>
      </x:c>
    </x:row>
    <x:row r="239">
      <x:c r="A239" s="76"/>
      <x:c r="D239" s="74"/>
      <x:c r="E239" s="74" t="n">
        <x:f>SUMIFS('Expenses'!$H$2:$H$300,'Expenses'!$B$2:$B$300,B239,'Expenses'!$D$2:$D$300,C239,'Expenses'!$A$2:$A$300,"&gt;="&amp;EOMONTH(A239,-1)+1,'Expenses'!$A$2:$A$300,"&lt;="&amp;EOMONTH(A239,0))+IF(C239="Staff Wages",SUMIFS('Salary_Register'!$I$2:$I$300,'Salary_Register'!$B$2:$B$300,B239,'Salary_Register'!$A$2:$A$300,A239),0)</x:f>
        <x:v>0</x:v>
      </x:c>
      <x:c r="F239" s="74" t="n">
        <x:f>D239-E239</x:f>
        <x:v>0</x:v>
      </x:c>
    </x:row>
    <x:row r="240">
      <x:c r="A240" s="76"/>
      <x:c r="D240" s="74"/>
      <x:c r="E240" s="74" t="n">
        <x:f>SUMIFS('Expenses'!$H$2:$H$300,'Expenses'!$B$2:$B$300,B240,'Expenses'!$D$2:$D$300,C240,'Expenses'!$A$2:$A$300,"&gt;="&amp;EOMONTH(A240,-1)+1,'Expenses'!$A$2:$A$300,"&lt;="&amp;EOMONTH(A240,0))+IF(C240="Staff Wages",SUMIFS('Salary_Register'!$I$2:$I$300,'Salary_Register'!$B$2:$B$300,B240,'Salary_Register'!$A$2:$A$300,A240),0)</x:f>
        <x:v>0</x:v>
      </x:c>
      <x:c r="F240" s="74" t="n">
        <x:f>D240-E240</x:f>
        <x:v>0</x:v>
      </x:c>
    </x:row>
    <x:row r="241">
      <x:c r="A241" s="76"/>
      <x:c r="D241" s="74"/>
      <x:c r="E241" s="74" t="n">
        <x:f>SUMIFS('Expenses'!$H$2:$H$300,'Expenses'!$B$2:$B$300,B241,'Expenses'!$D$2:$D$300,C241,'Expenses'!$A$2:$A$300,"&gt;="&amp;EOMONTH(A241,-1)+1,'Expenses'!$A$2:$A$300,"&lt;="&amp;EOMONTH(A241,0))+IF(C241="Staff Wages",SUMIFS('Salary_Register'!$I$2:$I$300,'Salary_Register'!$B$2:$B$300,B241,'Salary_Register'!$A$2:$A$300,A241),0)</x:f>
        <x:v>0</x:v>
      </x:c>
      <x:c r="F241" s="74" t="n">
        <x:f>D241-E241</x:f>
        <x:v>0</x:v>
      </x:c>
    </x:row>
    <x:row r="242">
      <x:c r="A242" s="76"/>
      <x:c r="D242" s="74"/>
      <x:c r="E242" s="74" t="n">
        <x:f>SUMIFS('Expenses'!$H$2:$H$300,'Expenses'!$B$2:$B$300,B242,'Expenses'!$D$2:$D$300,C242,'Expenses'!$A$2:$A$300,"&gt;="&amp;EOMONTH(A242,-1)+1,'Expenses'!$A$2:$A$300,"&lt;="&amp;EOMONTH(A242,0))+IF(C242="Staff Wages",SUMIFS('Salary_Register'!$I$2:$I$300,'Salary_Register'!$B$2:$B$300,B242,'Salary_Register'!$A$2:$A$300,A242),0)</x:f>
        <x:v>0</x:v>
      </x:c>
      <x:c r="F242" s="74" t="n">
        <x:f>D242-E242</x:f>
        <x:v>0</x:v>
      </x:c>
    </x:row>
    <x:row r="243">
      <x:c r="A243" s="76"/>
      <x:c r="D243" s="74"/>
      <x:c r="E243" s="74" t="n">
        <x:f>SUMIFS('Expenses'!$H$2:$H$300,'Expenses'!$B$2:$B$300,B243,'Expenses'!$D$2:$D$300,C243,'Expenses'!$A$2:$A$300,"&gt;="&amp;EOMONTH(A243,-1)+1,'Expenses'!$A$2:$A$300,"&lt;="&amp;EOMONTH(A243,0))+IF(C243="Staff Wages",SUMIFS('Salary_Register'!$I$2:$I$300,'Salary_Register'!$B$2:$B$300,B243,'Salary_Register'!$A$2:$A$300,A243),0)</x:f>
        <x:v>0</x:v>
      </x:c>
      <x:c r="F243" s="74" t="n">
        <x:f>D243-E243</x:f>
        <x:v>0</x:v>
      </x:c>
    </x:row>
    <x:row r="244">
      <x:c r="A244" s="76"/>
      <x:c r="D244" s="74"/>
      <x:c r="E244" s="74" t="n">
        <x:f>SUMIFS('Expenses'!$H$2:$H$300,'Expenses'!$B$2:$B$300,B244,'Expenses'!$D$2:$D$300,C244,'Expenses'!$A$2:$A$300,"&gt;="&amp;EOMONTH(A244,-1)+1,'Expenses'!$A$2:$A$300,"&lt;="&amp;EOMONTH(A244,0))+IF(C244="Staff Wages",SUMIFS('Salary_Register'!$I$2:$I$300,'Salary_Register'!$B$2:$B$300,B244,'Salary_Register'!$A$2:$A$300,A244),0)</x:f>
        <x:v>0</x:v>
      </x:c>
      <x:c r="F244" s="74" t="n">
        <x:f>D244-E244</x:f>
        <x:v>0</x:v>
      </x:c>
    </x:row>
    <x:row r="245">
      <x:c r="A245" s="76"/>
      <x:c r="D245" s="74"/>
      <x:c r="E245" s="74" t="n">
        <x:f>SUMIFS('Expenses'!$H$2:$H$300,'Expenses'!$B$2:$B$300,B245,'Expenses'!$D$2:$D$300,C245,'Expenses'!$A$2:$A$300,"&gt;="&amp;EOMONTH(A245,-1)+1,'Expenses'!$A$2:$A$300,"&lt;="&amp;EOMONTH(A245,0))+IF(C245="Staff Wages",SUMIFS('Salary_Register'!$I$2:$I$300,'Salary_Register'!$B$2:$B$300,B245,'Salary_Register'!$A$2:$A$300,A245),0)</x:f>
        <x:v>0</x:v>
      </x:c>
      <x:c r="F245" s="74" t="n">
        <x:f>D245-E245</x:f>
        <x:v>0</x:v>
      </x:c>
    </x:row>
    <x:row r="246">
      <x:c r="A246" s="76"/>
      <x:c r="D246" s="74"/>
      <x:c r="E246" s="74" t="n">
        <x:f>SUMIFS('Expenses'!$H$2:$H$300,'Expenses'!$B$2:$B$300,B246,'Expenses'!$D$2:$D$300,C246,'Expenses'!$A$2:$A$300,"&gt;="&amp;EOMONTH(A246,-1)+1,'Expenses'!$A$2:$A$300,"&lt;="&amp;EOMONTH(A246,0))+IF(C246="Staff Wages",SUMIFS('Salary_Register'!$I$2:$I$300,'Salary_Register'!$B$2:$B$300,B246,'Salary_Register'!$A$2:$A$300,A246),0)</x:f>
        <x:v>0</x:v>
      </x:c>
      <x:c r="F246" s="74" t="n">
        <x:f>D246-E246</x:f>
        <x:v>0</x:v>
      </x:c>
    </x:row>
    <x:row r="247">
      <x:c r="A247" s="76"/>
      <x:c r="D247" s="74"/>
      <x:c r="E247" s="74" t="n">
        <x:f>SUMIFS('Expenses'!$H$2:$H$300,'Expenses'!$B$2:$B$300,B247,'Expenses'!$D$2:$D$300,C247,'Expenses'!$A$2:$A$300,"&gt;="&amp;EOMONTH(A247,-1)+1,'Expenses'!$A$2:$A$300,"&lt;="&amp;EOMONTH(A247,0))+IF(C247="Staff Wages",SUMIFS('Salary_Register'!$I$2:$I$300,'Salary_Register'!$B$2:$B$300,B247,'Salary_Register'!$A$2:$A$300,A247),0)</x:f>
        <x:v>0</x:v>
      </x:c>
      <x:c r="F247" s="74" t="n">
        <x:f>D247-E247</x:f>
        <x:v>0</x:v>
      </x:c>
    </x:row>
    <x:row r="248">
      <x:c r="A248" s="76"/>
      <x:c r="D248" s="74"/>
      <x:c r="E248" s="74" t="n">
        <x:f>SUMIFS('Expenses'!$H$2:$H$300,'Expenses'!$B$2:$B$300,B248,'Expenses'!$D$2:$D$300,C248,'Expenses'!$A$2:$A$300,"&gt;="&amp;EOMONTH(A248,-1)+1,'Expenses'!$A$2:$A$300,"&lt;="&amp;EOMONTH(A248,0))+IF(C248="Staff Wages",SUMIFS('Salary_Register'!$I$2:$I$300,'Salary_Register'!$B$2:$B$300,B248,'Salary_Register'!$A$2:$A$300,A248),0)</x:f>
        <x:v>0</x:v>
      </x:c>
      <x:c r="F248" s="74" t="n">
        <x:f>D248-E248</x:f>
        <x:v>0</x:v>
      </x:c>
    </x:row>
    <x:row r="249">
      <x:c r="A249" s="76"/>
      <x:c r="D249" s="74"/>
      <x:c r="E249" s="74" t="n">
        <x:f>SUMIFS('Expenses'!$H$2:$H$300,'Expenses'!$B$2:$B$300,B249,'Expenses'!$D$2:$D$300,C249,'Expenses'!$A$2:$A$300,"&gt;="&amp;EOMONTH(A249,-1)+1,'Expenses'!$A$2:$A$300,"&lt;="&amp;EOMONTH(A249,0))+IF(C249="Staff Wages",SUMIFS('Salary_Register'!$I$2:$I$300,'Salary_Register'!$B$2:$B$300,B249,'Salary_Register'!$A$2:$A$300,A249),0)</x:f>
        <x:v>0</x:v>
      </x:c>
      <x:c r="F249" s="74" t="n">
        <x:f>D249-E249</x:f>
        <x:v>0</x:v>
      </x:c>
    </x:row>
    <x:row r="250">
      <x:c r="A250" s="76"/>
      <x:c r="D250" s="74"/>
      <x:c r="E250" s="74" t="n">
        <x:f>SUMIFS('Expenses'!$H$2:$H$300,'Expenses'!$B$2:$B$300,B250,'Expenses'!$D$2:$D$300,C250,'Expenses'!$A$2:$A$300,"&gt;="&amp;EOMONTH(A250,-1)+1,'Expenses'!$A$2:$A$300,"&lt;="&amp;EOMONTH(A250,0))+IF(C250="Staff Wages",SUMIFS('Salary_Register'!$I$2:$I$300,'Salary_Register'!$B$2:$B$300,B250,'Salary_Register'!$A$2:$A$300,A250),0)</x:f>
        <x:v>0</x:v>
      </x:c>
      <x:c r="F250" s="74" t="n">
        <x:f>D250-E250</x:f>
        <x:v>0</x:v>
      </x:c>
    </x:row>
    <x:row r="251">
      <x:c r="A251" s="76"/>
      <x:c r="D251" s="74"/>
      <x:c r="E251" s="74" t="n">
        <x:f>SUMIFS('Expenses'!$H$2:$H$300,'Expenses'!$B$2:$B$300,B251,'Expenses'!$D$2:$D$300,C251,'Expenses'!$A$2:$A$300,"&gt;="&amp;EOMONTH(A251,-1)+1,'Expenses'!$A$2:$A$300,"&lt;="&amp;EOMONTH(A251,0))+IF(C251="Staff Wages",SUMIFS('Salary_Register'!$I$2:$I$300,'Salary_Register'!$B$2:$B$300,B251,'Salary_Register'!$A$2:$A$300,A251),0)</x:f>
        <x:v>0</x:v>
      </x:c>
      <x:c r="F251" s="74" t="n">
        <x:f>D251-E251</x:f>
        <x:v>0</x:v>
      </x:c>
    </x:row>
    <x:row r="252">
      <x:c r="A252" s="76"/>
      <x:c r="D252" s="74"/>
      <x:c r="E252" s="74" t="n">
        <x:f>SUMIFS('Expenses'!$H$2:$H$300,'Expenses'!$B$2:$B$300,B252,'Expenses'!$D$2:$D$300,C252,'Expenses'!$A$2:$A$300,"&gt;="&amp;EOMONTH(A252,-1)+1,'Expenses'!$A$2:$A$300,"&lt;="&amp;EOMONTH(A252,0))+IF(C252="Staff Wages",SUMIFS('Salary_Register'!$I$2:$I$300,'Salary_Register'!$B$2:$B$300,B252,'Salary_Register'!$A$2:$A$300,A252),0)</x:f>
        <x:v>0</x:v>
      </x:c>
      <x:c r="F252" s="74" t="n">
        <x:f>D252-E252</x:f>
        <x:v>0</x:v>
      </x:c>
    </x:row>
    <x:row r="253">
      <x:c r="A253" s="76"/>
      <x:c r="D253" s="74"/>
      <x:c r="E253" s="74" t="n">
        <x:f>SUMIFS('Expenses'!$H$2:$H$300,'Expenses'!$B$2:$B$300,B253,'Expenses'!$D$2:$D$300,C253,'Expenses'!$A$2:$A$300,"&gt;="&amp;EOMONTH(A253,-1)+1,'Expenses'!$A$2:$A$300,"&lt;="&amp;EOMONTH(A253,0))+IF(C253="Staff Wages",SUMIFS('Salary_Register'!$I$2:$I$300,'Salary_Register'!$B$2:$B$300,B253,'Salary_Register'!$A$2:$A$300,A253),0)</x:f>
        <x:v>0</x:v>
      </x:c>
      <x:c r="F253" s="74" t="n">
        <x:f>D253-E253</x:f>
        <x:v>0</x:v>
      </x:c>
    </x:row>
    <x:row r="254">
      <x:c r="A254" s="76"/>
      <x:c r="D254" s="74"/>
      <x:c r="E254" s="74" t="n">
        <x:f>SUMIFS('Expenses'!$H$2:$H$300,'Expenses'!$B$2:$B$300,B254,'Expenses'!$D$2:$D$300,C254,'Expenses'!$A$2:$A$300,"&gt;="&amp;EOMONTH(A254,-1)+1,'Expenses'!$A$2:$A$300,"&lt;="&amp;EOMONTH(A254,0))+IF(C254="Staff Wages",SUMIFS('Salary_Register'!$I$2:$I$300,'Salary_Register'!$B$2:$B$300,B254,'Salary_Register'!$A$2:$A$300,A254),0)</x:f>
        <x:v>0</x:v>
      </x:c>
      <x:c r="F254" s="74" t="n">
        <x:f>D254-E254</x:f>
        <x:v>0</x:v>
      </x:c>
    </x:row>
    <x:row r="255">
      <x:c r="A255" s="76"/>
      <x:c r="D255" s="74"/>
      <x:c r="E255" s="74" t="n">
        <x:f>SUMIFS('Expenses'!$H$2:$H$300,'Expenses'!$B$2:$B$300,B255,'Expenses'!$D$2:$D$300,C255,'Expenses'!$A$2:$A$300,"&gt;="&amp;EOMONTH(A255,-1)+1,'Expenses'!$A$2:$A$300,"&lt;="&amp;EOMONTH(A255,0))+IF(C255="Staff Wages",SUMIFS('Salary_Register'!$I$2:$I$300,'Salary_Register'!$B$2:$B$300,B255,'Salary_Register'!$A$2:$A$300,A255),0)</x:f>
        <x:v>0</x:v>
      </x:c>
      <x:c r="F255" s="74" t="n">
        <x:f>D255-E255</x:f>
        <x:v>0</x:v>
      </x:c>
    </x:row>
    <x:row r="256">
      <x:c r="A256" s="76"/>
      <x:c r="D256" s="74"/>
      <x:c r="E256" s="74" t="n">
        <x:f>SUMIFS('Expenses'!$H$2:$H$300,'Expenses'!$B$2:$B$300,B256,'Expenses'!$D$2:$D$300,C256,'Expenses'!$A$2:$A$300,"&gt;="&amp;EOMONTH(A256,-1)+1,'Expenses'!$A$2:$A$300,"&lt;="&amp;EOMONTH(A256,0))+IF(C256="Staff Wages",SUMIFS('Salary_Register'!$I$2:$I$300,'Salary_Register'!$B$2:$B$300,B256,'Salary_Register'!$A$2:$A$300,A256),0)</x:f>
        <x:v>0</x:v>
      </x:c>
      <x:c r="F256" s="74" t="n">
        <x:f>D256-E256</x:f>
        <x:v>0</x:v>
      </x:c>
    </x:row>
    <x:row r="257">
      <x:c r="A257" s="76"/>
      <x:c r="D257" s="74"/>
      <x:c r="E257" s="74" t="n">
        <x:f>SUMIFS('Expenses'!$H$2:$H$300,'Expenses'!$B$2:$B$300,B257,'Expenses'!$D$2:$D$300,C257,'Expenses'!$A$2:$A$300,"&gt;="&amp;EOMONTH(A257,-1)+1,'Expenses'!$A$2:$A$300,"&lt;="&amp;EOMONTH(A257,0))+IF(C257="Staff Wages",SUMIFS('Salary_Register'!$I$2:$I$300,'Salary_Register'!$B$2:$B$300,B257,'Salary_Register'!$A$2:$A$300,A257),0)</x:f>
        <x:v>0</x:v>
      </x:c>
      <x:c r="F257" s="74" t="n">
        <x:f>D257-E257</x:f>
        <x:v>0</x:v>
      </x:c>
    </x:row>
    <x:row r="258">
      <x:c r="A258" s="76"/>
      <x:c r="D258" s="74"/>
      <x:c r="E258" s="74" t="n">
        <x:f>SUMIFS('Expenses'!$H$2:$H$300,'Expenses'!$B$2:$B$300,B258,'Expenses'!$D$2:$D$300,C258,'Expenses'!$A$2:$A$300,"&gt;="&amp;EOMONTH(A258,-1)+1,'Expenses'!$A$2:$A$300,"&lt;="&amp;EOMONTH(A258,0))+IF(C258="Staff Wages",SUMIFS('Salary_Register'!$I$2:$I$300,'Salary_Register'!$B$2:$B$300,B258,'Salary_Register'!$A$2:$A$300,A258),0)</x:f>
        <x:v>0</x:v>
      </x:c>
      <x:c r="F258" s="74" t="n">
        <x:f>D258-E258</x:f>
        <x:v>0</x:v>
      </x:c>
    </x:row>
    <x:row r="259">
      <x:c r="A259" s="76"/>
      <x:c r="D259" s="74"/>
      <x:c r="E259" s="74" t="n">
        <x:f>SUMIFS('Expenses'!$H$2:$H$300,'Expenses'!$B$2:$B$300,B259,'Expenses'!$D$2:$D$300,C259,'Expenses'!$A$2:$A$300,"&gt;="&amp;EOMONTH(A259,-1)+1,'Expenses'!$A$2:$A$300,"&lt;="&amp;EOMONTH(A259,0))+IF(C259="Staff Wages",SUMIFS('Salary_Register'!$I$2:$I$300,'Salary_Register'!$B$2:$B$300,B259,'Salary_Register'!$A$2:$A$300,A259),0)</x:f>
        <x:v>0</x:v>
      </x:c>
      <x:c r="F259" s="74" t="n">
        <x:f>D259-E259</x:f>
        <x:v>0</x:v>
      </x:c>
    </x:row>
    <x:row r="260">
      <x:c r="A260" s="76"/>
      <x:c r="D260" s="74"/>
      <x:c r="E260" s="74" t="n">
        <x:f>SUMIFS('Expenses'!$H$2:$H$300,'Expenses'!$B$2:$B$300,B260,'Expenses'!$D$2:$D$300,C260,'Expenses'!$A$2:$A$300,"&gt;="&amp;EOMONTH(A260,-1)+1,'Expenses'!$A$2:$A$300,"&lt;="&amp;EOMONTH(A260,0))+IF(C260="Staff Wages",SUMIFS('Salary_Register'!$I$2:$I$300,'Salary_Register'!$B$2:$B$300,B260,'Salary_Register'!$A$2:$A$300,A260),0)</x:f>
        <x:v>0</x:v>
      </x:c>
      <x:c r="F260" s="74" t="n">
        <x:f>D260-E260</x:f>
        <x:v>0</x:v>
      </x:c>
    </x:row>
    <x:row r="261">
      <x:c r="A261" s="76"/>
      <x:c r="D261" s="74"/>
      <x:c r="E261" s="74" t="n">
        <x:f>SUMIFS('Expenses'!$H$2:$H$300,'Expenses'!$B$2:$B$300,B261,'Expenses'!$D$2:$D$300,C261,'Expenses'!$A$2:$A$300,"&gt;="&amp;EOMONTH(A261,-1)+1,'Expenses'!$A$2:$A$300,"&lt;="&amp;EOMONTH(A261,0))+IF(C261="Staff Wages",SUMIFS('Salary_Register'!$I$2:$I$300,'Salary_Register'!$B$2:$B$300,B261,'Salary_Register'!$A$2:$A$300,A261),0)</x:f>
        <x:v>0</x:v>
      </x:c>
      <x:c r="F261" s="74" t="n">
        <x:f>D261-E261</x:f>
        <x:v>0</x:v>
      </x:c>
    </x:row>
    <x:row r="262">
      <x:c r="A262" s="76"/>
      <x:c r="D262" s="74"/>
      <x:c r="E262" s="74" t="n">
        <x:f>SUMIFS('Expenses'!$H$2:$H$300,'Expenses'!$B$2:$B$300,B262,'Expenses'!$D$2:$D$300,C262,'Expenses'!$A$2:$A$300,"&gt;="&amp;EOMONTH(A262,-1)+1,'Expenses'!$A$2:$A$300,"&lt;="&amp;EOMONTH(A262,0))+IF(C262="Staff Wages",SUMIFS('Salary_Register'!$I$2:$I$300,'Salary_Register'!$B$2:$B$300,B262,'Salary_Register'!$A$2:$A$300,A262),0)</x:f>
        <x:v>0</x:v>
      </x:c>
      <x:c r="F262" s="74" t="n">
        <x:f>D262-E262</x:f>
        <x:v>0</x:v>
      </x:c>
    </x:row>
    <x:row r="263">
      <x:c r="A263" s="76"/>
      <x:c r="D263" s="74"/>
      <x:c r="E263" s="74" t="n">
        <x:f>SUMIFS('Expenses'!$H$2:$H$300,'Expenses'!$B$2:$B$300,B263,'Expenses'!$D$2:$D$300,C263,'Expenses'!$A$2:$A$300,"&gt;="&amp;EOMONTH(A263,-1)+1,'Expenses'!$A$2:$A$300,"&lt;="&amp;EOMONTH(A263,0))+IF(C263="Staff Wages",SUMIFS('Salary_Register'!$I$2:$I$300,'Salary_Register'!$B$2:$B$300,B263,'Salary_Register'!$A$2:$A$300,A263),0)</x:f>
        <x:v>0</x:v>
      </x:c>
      <x:c r="F263" s="74" t="n">
        <x:f>D263-E263</x:f>
        <x:v>0</x:v>
      </x:c>
    </x:row>
    <x:row r="264">
      <x:c r="A264" s="76"/>
      <x:c r="D264" s="74"/>
      <x:c r="E264" s="74" t="n">
        <x:f>SUMIFS('Expenses'!$H$2:$H$300,'Expenses'!$B$2:$B$300,B264,'Expenses'!$D$2:$D$300,C264,'Expenses'!$A$2:$A$300,"&gt;="&amp;EOMONTH(A264,-1)+1,'Expenses'!$A$2:$A$300,"&lt;="&amp;EOMONTH(A264,0))+IF(C264="Staff Wages",SUMIFS('Salary_Register'!$I$2:$I$300,'Salary_Register'!$B$2:$B$300,B264,'Salary_Register'!$A$2:$A$300,A264),0)</x:f>
        <x:v>0</x:v>
      </x:c>
      <x:c r="F264" s="74" t="n">
        <x:f>D264-E264</x:f>
        <x:v>0</x:v>
      </x:c>
    </x:row>
    <x:row r="265">
      <x:c r="A265" s="76"/>
      <x:c r="D265" s="74"/>
      <x:c r="E265" s="74" t="n">
        <x:f>SUMIFS('Expenses'!$H$2:$H$300,'Expenses'!$B$2:$B$300,B265,'Expenses'!$D$2:$D$300,C265,'Expenses'!$A$2:$A$300,"&gt;="&amp;EOMONTH(A265,-1)+1,'Expenses'!$A$2:$A$300,"&lt;="&amp;EOMONTH(A265,0))+IF(C265="Staff Wages",SUMIFS('Salary_Register'!$I$2:$I$300,'Salary_Register'!$B$2:$B$300,B265,'Salary_Register'!$A$2:$A$300,A265),0)</x:f>
        <x:v>0</x:v>
      </x:c>
      <x:c r="F265" s="74" t="n">
        <x:f>D265-E265</x:f>
        <x:v>0</x:v>
      </x:c>
    </x:row>
    <x:row r="266">
      <x:c r="A266" s="76"/>
      <x:c r="D266" s="74"/>
      <x:c r="E266" s="74" t="n">
        <x:f>SUMIFS('Expenses'!$H$2:$H$300,'Expenses'!$B$2:$B$300,B266,'Expenses'!$D$2:$D$300,C266,'Expenses'!$A$2:$A$300,"&gt;="&amp;EOMONTH(A266,-1)+1,'Expenses'!$A$2:$A$300,"&lt;="&amp;EOMONTH(A266,0))+IF(C266="Staff Wages",SUMIFS('Salary_Register'!$I$2:$I$300,'Salary_Register'!$B$2:$B$300,B266,'Salary_Register'!$A$2:$A$300,A266),0)</x:f>
        <x:v>0</x:v>
      </x:c>
      <x:c r="F266" s="74" t="n">
        <x:f>D266-E266</x:f>
        <x:v>0</x:v>
      </x:c>
    </x:row>
    <x:row r="267">
      <x:c r="A267" s="76"/>
      <x:c r="D267" s="74"/>
      <x:c r="E267" s="74" t="n">
        <x:f>SUMIFS('Expenses'!$H$2:$H$300,'Expenses'!$B$2:$B$300,B267,'Expenses'!$D$2:$D$300,C267,'Expenses'!$A$2:$A$300,"&gt;="&amp;EOMONTH(A267,-1)+1,'Expenses'!$A$2:$A$300,"&lt;="&amp;EOMONTH(A267,0))+IF(C267="Staff Wages",SUMIFS('Salary_Register'!$I$2:$I$300,'Salary_Register'!$B$2:$B$300,B267,'Salary_Register'!$A$2:$A$300,A267),0)</x:f>
        <x:v>0</x:v>
      </x:c>
      <x:c r="F267" s="74" t="n">
        <x:f>D267-E267</x:f>
        <x:v>0</x:v>
      </x:c>
    </x:row>
    <x:row r="268">
      <x:c r="A268" s="76"/>
      <x:c r="D268" s="74"/>
      <x:c r="E268" s="74" t="n">
        <x:f>SUMIFS('Expenses'!$H$2:$H$300,'Expenses'!$B$2:$B$300,B268,'Expenses'!$D$2:$D$300,C268,'Expenses'!$A$2:$A$300,"&gt;="&amp;EOMONTH(A268,-1)+1,'Expenses'!$A$2:$A$300,"&lt;="&amp;EOMONTH(A268,0))+IF(C268="Staff Wages",SUMIFS('Salary_Register'!$I$2:$I$300,'Salary_Register'!$B$2:$B$300,B268,'Salary_Register'!$A$2:$A$300,A268),0)</x:f>
        <x:v>0</x:v>
      </x:c>
      <x:c r="F268" s="74" t="n">
        <x:f>D268-E268</x:f>
        <x:v>0</x:v>
      </x:c>
    </x:row>
    <x:row r="269">
      <x:c r="A269" s="76"/>
      <x:c r="D269" s="74"/>
      <x:c r="E269" s="74" t="n">
        <x:f>SUMIFS('Expenses'!$H$2:$H$300,'Expenses'!$B$2:$B$300,B269,'Expenses'!$D$2:$D$300,C269,'Expenses'!$A$2:$A$300,"&gt;="&amp;EOMONTH(A269,-1)+1,'Expenses'!$A$2:$A$300,"&lt;="&amp;EOMONTH(A269,0))+IF(C269="Staff Wages",SUMIFS('Salary_Register'!$I$2:$I$300,'Salary_Register'!$B$2:$B$300,B269,'Salary_Register'!$A$2:$A$300,A269),0)</x:f>
        <x:v>0</x:v>
      </x:c>
      <x:c r="F269" s="74" t="n">
        <x:f>D269-E269</x:f>
        <x:v>0</x:v>
      </x:c>
    </x:row>
    <x:row r="270">
      <x:c r="A270" s="76"/>
      <x:c r="D270" s="74"/>
      <x:c r="E270" s="74" t="n">
        <x:f>SUMIFS('Expenses'!$H$2:$H$300,'Expenses'!$B$2:$B$300,B270,'Expenses'!$D$2:$D$300,C270,'Expenses'!$A$2:$A$300,"&gt;="&amp;EOMONTH(A270,-1)+1,'Expenses'!$A$2:$A$300,"&lt;="&amp;EOMONTH(A270,0))+IF(C270="Staff Wages",SUMIFS('Salary_Register'!$I$2:$I$300,'Salary_Register'!$B$2:$B$300,B270,'Salary_Register'!$A$2:$A$300,A270),0)</x:f>
        <x:v>0</x:v>
      </x:c>
      <x:c r="F270" s="74" t="n">
        <x:f>D270-E270</x:f>
        <x:v>0</x:v>
      </x:c>
    </x:row>
    <x:row r="271">
      <x:c r="A271" s="76"/>
      <x:c r="D271" s="74"/>
      <x:c r="E271" s="74" t="n">
        <x:f>SUMIFS('Expenses'!$H$2:$H$300,'Expenses'!$B$2:$B$300,B271,'Expenses'!$D$2:$D$300,C271,'Expenses'!$A$2:$A$300,"&gt;="&amp;EOMONTH(A271,-1)+1,'Expenses'!$A$2:$A$300,"&lt;="&amp;EOMONTH(A271,0))+IF(C271="Staff Wages",SUMIFS('Salary_Register'!$I$2:$I$300,'Salary_Register'!$B$2:$B$300,B271,'Salary_Register'!$A$2:$A$300,A271),0)</x:f>
        <x:v>0</x:v>
      </x:c>
      <x:c r="F271" s="74" t="n">
        <x:f>D271-E271</x:f>
        <x:v>0</x:v>
      </x:c>
    </x:row>
    <x:row r="272">
      <x:c r="A272" s="76"/>
      <x:c r="D272" s="74"/>
      <x:c r="E272" s="74" t="n">
        <x:f>SUMIFS('Expenses'!$H$2:$H$300,'Expenses'!$B$2:$B$300,B272,'Expenses'!$D$2:$D$300,C272,'Expenses'!$A$2:$A$300,"&gt;="&amp;EOMONTH(A272,-1)+1,'Expenses'!$A$2:$A$300,"&lt;="&amp;EOMONTH(A272,0))+IF(C272="Staff Wages",SUMIFS('Salary_Register'!$I$2:$I$300,'Salary_Register'!$B$2:$B$300,B272,'Salary_Register'!$A$2:$A$300,A272),0)</x:f>
        <x:v>0</x:v>
      </x:c>
      <x:c r="F272" s="74" t="n">
        <x:f>D272-E272</x:f>
        <x:v>0</x:v>
      </x:c>
    </x:row>
    <x:row r="273">
      <x:c r="A273" s="76"/>
      <x:c r="D273" s="74"/>
      <x:c r="E273" s="74" t="n">
        <x:f>SUMIFS('Expenses'!$H$2:$H$300,'Expenses'!$B$2:$B$300,B273,'Expenses'!$D$2:$D$300,C273,'Expenses'!$A$2:$A$300,"&gt;="&amp;EOMONTH(A273,-1)+1,'Expenses'!$A$2:$A$300,"&lt;="&amp;EOMONTH(A273,0))+IF(C273="Staff Wages",SUMIFS('Salary_Register'!$I$2:$I$300,'Salary_Register'!$B$2:$B$300,B273,'Salary_Register'!$A$2:$A$300,A273),0)</x:f>
        <x:v>0</x:v>
      </x:c>
      <x:c r="F273" s="74" t="n">
        <x:f>D273-E273</x:f>
        <x:v>0</x:v>
      </x:c>
    </x:row>
    <x:row r="274">
      <x:c r="A274" s="76"/>
      <x:c r="D274" s="74"/>
      <x:c r="E274" s="74" t="n">
        <x:f>SUMIFS('Expenses'!$H$2:$H$300,'Expenses'!$B$2:$B$300,B274,'Expenses'!$D$2:$D$300,C274,'Expenses'!$A$2:$A$300,"&gt;="&amp;EOMONTH(A274,-1)+1,'Expenses'!$A$2:$A$300,"&lt;="&amp;EOMONTH(A274,0))+IF(C274="Staff Wages",SUMIFS('Salary_Register'!$I$2:$I$300,'Salary_Register'!$B$2:$B$300,B274,'Salary_Register'!$A$2:$A$300,A274),0)</x:f>
        <x:v>0</x:v>
      </x:c>
      <x:c r="F274" s="74" t="n">
        <x:f>D274-E274</x:f>
        <x:v>0</x:v>
      </x:c>
    </x:row>
    <x:row r="275">
      <x:c r="A275" s="76"/>
      <x:c r="D275" s="74"/>
      <x:c r="E275" s="74" t="n">
        <x:f>SUMIFS('Expenses'!$H$2:$H$300,'Expenses'!$B$2:$B$300,B275,'Expenses'!$D$2:$D$300,C275,'Expenses'!$A$2:$A$300,"&gt;="&amp;EOMONTH(A275,-1)+1,'Expenses'!$A$2:$A$300,"&lt;="&amp;EOMONTH(A275,0))+IF(C275="Staff Wages",SUMIFS('Salary_Register'!$I$2:$I$300,'Salary_Register'!$B$2:$B$300,B275,'Salary_Register'!$A$2:$A$300,A275),0)</x:f>
        <x:v>0</x:v>
      </x:c>
      <x:c r="F275" s="74" t="n">
        <x:f>D275-E275</x:f>
        <x:v>0</x:v>
      </x:c>
    </x:row>
    <x:row r="276">
      <x:c r="A276" s="76"/>
      <x:c r="D276" s="74"/>
      <x:c r="E276" s="74" t="n">
        <x:f>SUMIFS('Expenses'!$H$2:$H$300,'Expenses'!$B$2:$B$300,B276,'Expenses'!$D$2:$D$300,C276,'Expenses'!$A$2:$A$300,"&gt;="&amp;EOMONTH(A276,-1)+1,'Expenses'!$A$2:$A$300,"&lt;="&amp;EOMONTH(A276,0))+IF(C276="Staff Wages",SUMIFS('Salary_Register'!$I$2:$I$300,'Salary_Register'!$B$2:$B$300,B276,'Salary_Register'!$A$2:$A$300,A276),0)</x:f>
        <x:v>0</x:v>
      </x:c>
      <x:c r="F276" s="74" t="n">
        <x:f>D276-E276</x:f>
        <x:v>0</x:v>
      </x:c>
    </x:row>
    <x:row r="277">
      <x:c r="A277" s="76"/>
      <x:c r="D277" s="74"/>
      <x:c r="E277" s="74" t="n">
        <x:f>SUMIFS('Expenses'!$H$2:$H$300,'Expenses'!$B$2:$B$300,B277,'Expenses'!$D$2:$D$300,C277,'Expenses'!$A$2:$A$300,"&gt;="&amp;EOMONTH(A277,-1)+1,'Expenses'!$A$2:$A$300,"&lt;="&amp;EOMONTH(A277,0))+IF(C277="Staff Wages",SUMIFS('Salary_Register'!$I$2:$I$300,'Salary_Register'!$B$2:$B$300,B277,'Salary_Register'!$A$2:$A$300,A277),0)</x:f>
        <x:v>0</x:v>
      </x:c>
      <x:c r="F277" s="74" t="n">
        <x:f>D277-E277</x:f>
        <x:v>0</x:v>
      </x:c>
    </x:row>
    <x:row r="278">
      <x:c r="A278" s="76"/>
      <x:c r="D278" s="74"/>
      <x:c r="E278" s="74" t="n">
        <x:f>SUMIFS('Expenses'!$H$2:$H$300,'Expenses'!$B$2:$B$300,B278,'Expenses'!$D$2:$D$300,C278,'Expenses'!$A$2:$A$300,"&gt;="&amp;EOMONTH(A278,-1)+1,'Expenses'!$A$2:$A$300,"&lt;="&amp;EOMONTH(A278,0))+IF(C278="Staff Wages",SUMIFS('Salary_Register'!$I$2:$I$300,'Salary_Register'!$B$2:$B$300,B278,'Salary_Register'!$A$2:$A$300,A278),0)</x:f>
        <x:v>0</x:v>
      </x:c>
      <x:c r="F278" s="74" t="n">
        <x:f>D278-E278</x:f>
        <x:v>0</x:v>
      </x:c>
    </x:row>
    <x:row r="279">
      <x:c r="A279" s="76"/>
      <x:c r="D279" s="74"/>
      <x:c r="E279" s="74" t="n">
        <x:f>SUMIFS('Expenses'!$H$2:$H$300,'Expenses'!$B$2:$B$300,B279,'Expenses'!$D$2:$D$300,C279,'Expenses'!$A$2:$A$300,"&gt;="&amp;EOMONTH(A279,-1)+1,'Expenses'!$A$2:$A$300,"&lt;="&amp;EOMONTH(A279,0))+IF(C279="Staff Wages",SUMIFS('Salary_Register'!$I$2:$I$300,'Salary_Register'!$B$2:$B$300,B279,'Salary_Register'!$A$2:$A$300,A279),0)</x:f>
        <x:v>0</x:v>
      </x:c>
      <x:c r="F279" s="74" t="n">
        <x:f>D279-E279</x:f>
        <x:v>0</x:v>
      </x:c>
    </x:row>
    <x:row r="280">
      <x:c r="A280" s="76"/>
      <x:c r="D280" s="74"/>
      <x:c r="E280" s="74" t="n">
        <x:f>SUMIFS('Expenses'!$H$2:$H$300,'Expenses'!$B$2:$B$300,B280,'Expenses'!$D$2:$D$300,C280,'Expenses'!$A$2:$A$300,"&gt;="&amp;EOMONTH(A280,-1)+1,'Expenses'!$A$2:$A$300,"&lt;="&amp;EOMONTH(A280,0))+IF(C280="Staff Wages",SUMIFS('Salary_Register'!$I$2:$I$300,'Salary_Register'!$B$2:$B$300,B280,'Salary_Register'!$A$2:$A$300,A280),0)</x:f>
        <x:v>0</x:v>
      </x:c>
      <x:c r="F280" s="74" t="n">
        <x:f>D280-E280</x:f>
        <x:v>0</x:v>
      </x:c>
    </x:row>
    <x:row r="281">
      <x:c r="A281" s="76"/>
      <x:c r="D281" s="74"/>
      <x:c r="E281" s="74" t="n">
        <x:f>SUMIFS('Expenses'!$H$2:$H$300,'Expenses'!$B$2:$B$300,B281,'Expenses'!$D$2:$D$300,C281,'Expenses'!$A$2:$A$300,"&gt;="&amp;EOMONTH(A281,-1)+1,'Expenses'!$A$2:$A$300,"&lt;="&amp;EOMONTH(A281,0))+IF(C281="Staff Wages",SUMIFS('Salary_Register'!$I$2:$I$300,'Salary_Register'!$B$2:$B$300,B281,'Salary_Register'!$A$2:$A$300,A281),0)</x:f>
        <x:v>0</x:v>
      </x:c>
      <x:c r="F281" s="74" t="n">
        <x:f>D281-E281</x:f>
        <x:v>0</x:v>
      </x:c>
    </x:row>
    <x:row r="282">
      <x:c r="A282" s="76"/>
      <x:c r="D282" s="74"/>
      <x:c r="E282" s="74" t="n">
        <x:f>SUMIFS('Expenses'!$H$2:$H$300,'Expenses'!$B$2:$B$300,B282,'Expenses'!$D$2:$D$300,C282,'Expenses'!$A$2:$A$300,"&gt;="&amp;EOMONTH(A282,-1)+1,'Expenses'!$A$2:$A$300,"&lt;="&amp;EOMONTH(A282,0))+IF(C282="Staff Wages",SUMIFS('Salary_Register'!$I$2:$I$300,'Salary_Register'!$B$2:$B$300,B282,'Salary_Register'!$A$2:$A$300,A282),0)</x:f>
        <x:v>0</x:v>
      </x:c>
      <x:c r="F282" s="74" t="n">
        <x:f>D282-E282</x:f>
        <x:v>0</x:v>
      </x:c>
    </x:row>
    <x:row r="283">
      <x:c r="A283" s="76"/>
      <x:c r="D283" s="74"/>
      <x:c r="E283" s="74" t="n">
        <x:f>SUMIFS('Expenses'!$H$2:$H$300,'Expenses'!$B$2:$B$300,B283,'Expenses'!$D$2:$D$300,C283,'Expenses'!$A$2:$A$300,"&gt;="&amp;EOMONTH(A283,-1)+1,'Expenses'!$A$2:$A$300,"&lt;="&amp;EOMONTH(A283,0))+IF(C283="Staff Wages",SUMIFS('Salary_Register'!$I$2:$I$300,'Salary_Register'!$B$2:$B$300,B283,'Salary_Register'!$A$2:$A$300,A283),0)</x:f>
        <x:v>0</x:v>
      </x:c>
      <x:c r="F283" s="74" t="n">
        <x:f>D283-E283</x:f>
        <x:v>0</x:v>
      </x:c>
    </x:row>
    <x:row r="284">
      <x:c r="A284" s="76"/>
      <x:c r="D284" s="74"/>
      <x:c r="E284" s="74" t="n">
        <x:f>SUMIFS('Expenses'!$H$2:$H$300,'Expenses'!$B$2:$B$300,B284,'Expenses'!$D$2:$D$300,C284,'Expenses'!$A$2:$A$300,"&gt;="&amp;EOMONTH(A284,-1)+1,'Expenses'!$A$2:$A$300,"&lt;="&amp;EOMONTH(A284,0))+IF(C284="Staff Wages",SUMIFS('Salary_Register'!$I$2:$I$300,'Salary_Register'!$B$2:$B$300,B284,'Salary_Register'!$A$2:$A$300,A284),0)</x:f>
        <x:v>0</x:v>
      </x:c>
      <x:c r="F284" s="74" t="n">
        <x:f>D284-E284</x:f>
        <x:v>0</x:v>
      </x:c>
    </x:row>
    <x:row r="285">
      <x:c r="A285" s="76"/>
      <x:c r="D285" s="74"/>
      <x:c r="E285" s="74" t="n">
        <x:f>SUMIFS('Expenses'!$H$2:$H$300,'Expenses'!$B$2:$B$300,B285,'Expenses'!$D$2:$D$300,C285,'Expenses'!$A$2:$A$300,"&gt;="&amp;EOMONTH(A285,-1)+1,'Expenses'!$A$2:$A$300,"&lt;="&amp;EOMONTH(A285,0))+IF(C285="Staff Wages",SUMIFS('Salary_Register'!$I$2:$I$300,'Salary_Register'!$B$2:$B$300,B285,'Salary_Register'!$A$2:$A$300,A285),0)</x:f>
        <x:v>0</x:v>
      </x:c>
      <x:c r="F285" s="74" t="n">
        <x:f>D285-E285</x:f>
        <x:v>0</x:v>
      </x:c>
    </x:row>
    <x:row r="286">
      <x:c r="A286" s="76"/>
      <x:c r="D286" s="74"/>
      <x:c r="E286" s="74" t="n">
        <x:f>SUMIFS('Expenses'!$H$2:$H$300,'Expenses'!$B$2:$B$300,B286,'Expenses'!$D$2:$D$300,C286,'Expenses'!$A$2:$A$300,"&gt;="&amp;EOMONTH(A286,-1)+1,'Expenses'!$A$2:$A$300,"&lt;="&amp;EOMONTH(A286,0))+IF(C286="Staff Wages",SUMIFS('Salary_Register'!$I$2:$I$300,'Salary_Register'!$B$2:$B$300,B286,'Salary_Register'!$A$2:$A$300,A286),0)</x:f>
        <x:v>0</x:v>
      </x:c>
      <x:c r="F286" s="74" t="n">
        <x:f>D286-E286</x:f>
        <x:v>0</x:v>
      </x:c>
    </x:row>
    <x:row r="287">
      <x:c r="A287" s="76"/>
      <x:c r="D287" s="74"/>
      <x:c r="E287" s="74" t="n">
        <x:f>SUMIFS('Expenses'!$H$2:$H$300,'Expenses'!$B$2:$B$300,B287,'Expenses'!$D$2:$D$300,C287,'Expenses'!$A$2:$A$300,"&gt;="&amp;EOMONTH(A287,-1)+1,'Expenses'!$A$2:$A$300,"&lt;="&amp;EOMONTH(A287,0))+IF(C287="Staff Wages",SUMIFS('Salary_Register'!$I$2:$I$300,'Salary_Register'!$B$2:$B$300,B287,'Salary_Register'!$A$2:$A$300,A287),0)</x:f>
        <x:v>0</x:v>
      </x:c>
      <x:c r="F287" s="74" t="n">
        <x:f>D287-E287</x:f>
        <x:v>0</x:v>
      </x:c>
    </x:row>
    <x:row r="288">
      <x:c r="A288" s="76"/>
      <x:c r="D288" s="74"/>
      <x:c r="E288" s="74" t="n">
        <x:f>SUMIFS('Expenses'!$H$2:$H$300,'Expenses'!$B$2:$B$300,B288,'Expenses'!$D$2:$D$300,C288,'Expenses'!$A$2:$A$300,"&gt;="&amp;EOMONTH(A288,-1)+1,'Expenses'!$A$2:$A$300,"&lt;="&amp;EOMONTH(A288,0))+IF(C288="Staff Wages",SUMIFS('Salary_Register'!$I$2:$I$300,'Salary_Register'!$B$2:$B$300,B288,'Salary_Register'!$A$2:$A$300,A288),0)</x:f>
        <x:v>0</x:v>
      </x:c>
      <x:c r="F288" s="74" t="n">
        <x:f>D288-E288</x:f>
        <x:v>0</x:v>
      </x:c>
    </x:row>
    <x:row r="289">
      <x:c r="A289" s="76"/>
      <x:c r="D289" s="74"/>
      <x:c r="E289" s="74" t="n">
        <x:f>SUMIFS('Expenses'!$H$2:$H$300,'Expenses'!$B$2:$B$300,B289,'Expenses'!$D$2:$D$300,C289,'Expenses'!$A$2:$A$300,"&gt;="&amp;EOMONTH(A289,-1)+1,'Expenses'!$A$2:$A$300,"&lt;="&amp;EOMONTH(A289,0))+IF(C289="Staff Wages",SUMIFS('Salary_Register'!$I$2:$I$300,'Salary_Register'!$B$2:$B$300,B289,'Salary_Register'!$A$2:$A$300,A289),0)</x:f>
        <x:v>0</x:v>
      </x:c>
      <x:c r="F289" s="74" t="n">
        <x:f>D289-E289</x:f>
        <x:v>0</x:v>
      </x:c>
    </x:row>
    <x:row r="290">
      <x:c r="A290" s="76"/>
      <x:c r="D290" s="74"/>
      <x:c r="E290" s="74" t="n">
        <x:f>SUMIFS('Expenses'!$H$2:$H$300,'Expenses'!$B$2:$B$300,B290,'Expenses'!$D$2:$D$300,C290,'Expenses'!$A$2:$A$300,"&gt;="&amp;EOMONTH(A290,-1)+1,'Expenses'!$A$2:$A$300,"&lt;="&amp;EOMONTH(A290,0))+IF(C290="Staff Wages",SUMIFS('Salary_Register'!$I$2:$I$300,'Salary_Register'!$B$2:$B$300,B290,'Salary_Register'!$A$2:$A$300,A290),0)</x:f>
        <x:v>0</x:v>
      </x:c>
      <x:c r="F290" s="74" t="n">
        <x:f>D290-E290</x:f>
        <x:v>0</x:v>
      </x:c>
    </x:row>
    <x:row r="291">
      <x:c r="A291" s="76"/>
      <x:c r="D291" s="74"/>
      <x:c r="E291" s="74" t="n">
        <x:f>SUMIFS('Expenses'!$H$2:$H$300,'Expenses'!$B$2:$B$300,B291,'Expenses'!$D$2:$D$300,C291,'Expenses'!$A$2:$A$300,"&gt;="&amp;EOMONTH(A291,-1)+1,'Expenses'!$A$2:$A$300,"&lt;="&amp;EOMONTH(A291,0))+IF(C291="Staff Wages",SUMIFS('Salary_Register'!$I$2:$I$300,'Salary_Register'!$B$2:$B$300,B291,'Salary_Register'!$A$2:$A$300,A291),0)</x:f>
        <x:v>0</x:v>
      </x:c>
      <x:c r="F291" s="74" t="n">
        <x:f>D291-E291</x:f>
        <x:v>0</x:v>
      </x:c>
    </x:row>
    <x:row r="292">
      <x:c r="A292" s="76"/>
      <x:c r="D292" s="74"/>
      <x:c r="E292" s="74" t="n">
        <x:f>SUMIFS('Expenses'!$H$2:$H$300,'Expenses'!$B$2:$B$300,B292,'Expenses'!$D$2:$D$300,C292,'Expenses'!$A$2:$A$300,"&gt;="&amp;EOMONTH(A292,-1)+1,'Expenses'!$A$2:$A$300,"&lt;="&amp;EOMONTH(A292,0))+IF(C292="Staff Wages",SUMIFS('Salary_Register'!$I$2:$I$300,'Salary_Register'!$B$2:$B$300,B292,'Salary_Register'!$A$2:$A$300,A292),0)</x:f>
        <x:v>0</x:v>
      </x:c>
      <x:c r="F292" s="74" t="n">
        <x:f>D292-E292</x:f>
        <x:v>0</x:v>
      </x:c>
    </x:row>
    <x:row r="293">
      <x:c r="A293" s="76"/>
      <x:c r="D293" s="74"/>
      <x:c r="E293" s="74" t="n">
        <x:f>SUMIFS('Expenses'!$H$2:$H$300,'Expenses'!$B$2:$B$300,B293,'Expenses'!$D$2:$D$300,C293,'Expenses'!$A$2:$A$300,"&gt;="&amp;EOMONTH(A293,-1)+1,'Expenses'!$A$2:$A$300,"&lt;="&amp;EOMONTH(A293,0))+IF(C293="Staff Wages",SUMIFS('Salary_Register'!$I$2:$I$300,'Salary_Register'!$B$2:$B$300,B293,'Salary_Register'!$A$2:$A$300,A293),0)</x:f>
        <x:v>0</x:v>
      </x:c>
      <x:c r="F293" s="74" t="n">
        <x:f>D293-E293</x:f>
        <x:v>0</x:v>
      </x:c>
    </x:row>
    <x:row r="294">
      <x:c r="A294" s="76"/>
      <x:c r="D294" s="74"/>
      <x:c r="E294" s="74" t="n">
        <x:f>SUMIFS('Expenses'!$H$2:$H$300,'Expenses'!$B$2:$B$300,B294,'Expenses'!$D$2:$D$300,C294,'Expenses'!$A$2:$A$300,"&gt;="&amp;EOMONTH(A294,-1)+1,'Expenses'!$A$2:$A$300,"&lt;="&amp;EOMONTH(A294,0))+IF(C294="Staff Wages",SUMIFS('Salary_Register'!$I$2:$I$300,'Salary_Register'!$B$2:$B$300,B294,'Salary_Register'!$A$2:$A$300,A294),0)</x:f>
        <x:v>0</x:v>
      </x:c>
      <x:c r="F294" s="74" t="n">
        <x:f>D294-E294</x:f>
        <x:v>0</x:v>
      </x:c>
    </x:row>
    <x:row r="295">
      <x:c r="A295" s="76"/>
      <x:c r="D295" s="74"/>
      <x:c r="E295" s="74" t="n">
        <x:f>SUMIFS('Expenses'!$H$2:$H$300,'Expenses'!$B$2:$B$300,B295,'Expenses'!$D$2:$D$300,C295,'Expenses'!$A$2:$A$300,"&gt;="&amp;EOMONTH(A295,-1)+1,'Expenses'!$A$2:$A$300,"&lt;="&amp;EOMONTH(A295,0))+IF(C295="Staff Wages",SUMIFS('Salary_Register'!$I$2:$I$300,'Salary_Register'!$B$2:$B$300,B295,'Salary_Register'!$A$2:$A$300,A295),0)</x:f>
        <x:v>0</x:v>
      </x:c>
      <x:c r="F295" s="74" t="n">
        <x:f>D295-E295</x:f>
        <x:v>0</x:v>
      </x:c>
    </x:row>
    <x:row r="296">
      <x:c r="A296" s="76"/>
      <x:c r="D296" s="74"/>
      <x:c r="E296" s="74" t="n">
        <x:f>SUMIFS('Expenses'!$H$2:$H$300,'Expenses'!$B$2:$B$300,B296,'Expenses'!$D$2:$D$300,C296,'Expenses'!$A$2:$A$300,"&gt;="&amp;EOMONTH(A296,-1)+1,'Expenses'!$A$2:$A$300,"&lt;="&amp;EOMONTH(A296,0))+IF(C296="Staff Wages",SUMIFS('Salary_Register'!$I$2:$I$300,'Salary_Register'!$B$2:$B$300,B296,'Salary_Register'!$A$2:$A$300,A296),0)</x:f>
        <x:v>0</x:v>
      </x:c>
      <x:c r="F296" s="74" t="n">
        <x:f>D296-E296</x:f>
        <x:v>0</x:v>
      </x:c>
    </x:row>
    <x:row r="297">
      <x:c r="A297" s="76"/>
      <x:c r="D297" s="74"/>
      <x:c r="E297" s="74" t="n">
        <x:f>SUMIFS('Expenses'!$H$2:$H$300,'Expenses'!$B$2:$B$300,B297,'Expenses'!$D$2:$D$300,C297,'Expenses'!$A$2:$A$300,"&gt;="&amp;EOMONTH(A297,-1)+1,'Expenses'!$A$2:$A$300,"&lt;="&amp;EOMONTH(A297,0))+IF(C297="Staff Wages",SUMIFS('Salary_Register'!$I$2:$I$300,'Salary_Register'!$B$2:$B$300,B297,'Salary_Register'!$A$2:$A$300,A297),0)</x:f>
        <x:v>0</x:v>
      </x:c>
      <x:c r="F297" s="74" t="n">
        <x:f>D297-E297</x:f>
        <x:v>0</x:v>
      </x:c>
    </x:row>
    <x:row r="298">
      <x:c r="A298" s="76"/>
      <x:c r="D298" s="74"/>
      <x:c r="E298" s="74" t="n">
        <x:f>SUMIFS('Expenses'!$H$2:$H$300,'Expenses'!$B$2:$B$300,B298,'Expenses'!$D$2:$D$300,C298,'Expenses'!$A$2:$A$300,"&gt;="&amp;EOMONTH(A298,-1)+1,'Expenses'!$A$2:$A$300,"&lt;="&amp;EOMONTH(A298,0))+IF(C298="Staff Wages",SUMIFS('Salary_Register'!$I$2:$I$300,'Salary_Register'!$B$2:$B$300,B298,'Salary_Register'!$A$2:$A$300,A298),0)</x:f>
        <x:v>0</x:v>
      </x:c>
      <x:c r="F298" s="74" t="n">
        <x:f>D298-E298</x:f>
        <x:v>0</x:v>
      </x:c>
    </x:row>
    <x:row r="299">
      <x:c r="A299" s="76"/>
      <x:c r="D299" s="74"/>
      <x:c r="E299" s="74" t="n">
        <x:f>SUMIFS('Expenses'!$H$2:$H$300,'Expenses'!$B$2:$B$300,B299,'Expenses'!$D$2:$D$300,C299,'Expenses'!$A$2:$A$300,"&gt;="&amp;EOMONTH(A299,-1)+1,'Expenses'!$A$2:$A$300,"&lt;="&amp;EOMONTH(A299,0))+IF(C299="Staff Wages",SUMIFS('Salary_Register'!$I$2:$I$300,'Salary_Register'!$B$2:$B$300,B299,'Salary_Register'!$A$2:$A$300,A299),0)</x:f>
        <x:v>0</x:v>
      </x:c>
      <x:c r="F299" s="74" t="n">
        <x:f>D299-E299</x:f>
        <x:v>0</x:v>
      </x:c>
    </x:row>
    <x:row r="300">
      <x:c r="A300" s="76"/>
      <x:c r="D300" s="74"/>
      <x:c r="E300" s="74" t="n">
        <x:f>SUMIFS('Expenses'!$H$2:$H$300,'Expenses'!$B$2:$B$300,B300,'Expenses'!$D$2:$D$300,C300,'Expenses'!$A$2:$A$300,"&gt;="&amp;EOMONTH(A300,-1)+1,'Expenses'!$A$2:$A$300,"&lt;="&amp;EOMONTH(A300,0))+IF(C300="Staff Wages",SUMIFS('Salary_Register'!$I$2:$I$300,'Salary_Register'!$B$2:$B$300,B300,'Salary_Register'!$A$2:$A$300,A300),0)</x:f>
        <x:v>0</x:v>
      </x:c>
      <x:c r="F300" s="74" t="n">
        <x:f>D300-E300</x:f>
        <x:v>0</x:v>
      </x:c>
    </x:row>
  </x:sheetData>
  <x:dataValidations count="2">
    <x:dataValidation type="list" sqref="B2:B300">
      <x:formula1>'Lists'!$A$2:$A$12</x:formula1>
    </x:dataValidation>
    <x:dataValidation type="list" sqref="C2:C300">
      <x:formula1>'Lists'!$B$2:$B$46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.110000133514404" hidden="0" customWidth="1"/>
    <x:col min="2" max="2" width="11.5600004196167" hidden="0" customWidth="1"/>
    <x:col min="3" max="3" width="18.110000610351562" hidden="0" customWidth="1"/>
    <x:col min="4" max="4" width="5.110000133514404" hidden="0" customWidth="1"/>
  </x:cols>
  <x:sheetData>
    <x:row r="1">
      <x:c r="A1" s="6" t="str">
        <x:v>Date</x:v>
      </x:c>
      <x:c r="B1" s="6" t="str">
        <x:v>Business Area</x:v>
      </x:c>
      <x:c r="C1" s="6" t="str">
        <x:v>Total Daily Sales (GHS)</x:v>
      </x:c>
      <x:c r="D1" s="6" t="str">
        <x:v>Notes</x:v>
      </x:c>
    </x:row>
    <x:row r="2">
      <x:c r="A2" s="77"/>
      <x:c r="C2" s="74"/>
    </x:row>
    <x:row r="3">
      <x:c r="A3" s="77"/>
      <x:c r="C3" s="74"/>
    </x:row>
    <x:row r="4">
      <x:c r="A4" s="77"/>
      <x:c r="C4" s="74"/>
    </x:row>
    <x:row r="5">
      <x:c r="A5" s="77"/>
      <x:c r="C5" s="74"/>
    </x:row>
    <x:row r="6">
      <x:c r="A6" s="77"/>
      <x:c r="C6" s="74"/>
    </x:row>
    <x:row r="7">
      <x:c r="A7" s="77"/>
      <x:c r="C7" s="74"/>
    </x:row>
    <x:row r="8">
      <x:c r="A8" s="77"/>
      <x:c r="C8" s="74"/>
    </x:row>
    <x:row r="9">
      <x:c r="A9" s="77"/>
      <x:c r="C9" s="74"/>
    </x:row>
    <x:row r="10">
      <x:c r="A10" s="77"/>
      <x:c r="C10" s="74"/>
    </x:row>
    <x:row r="11">
      <x:c r="A11" s="77"/>
      <x:c r="C11" s="74"/>
    </x:row>
    <x:row r="12">
      <x:c r="A12" s="77"/>
      <x:c r="C12" s="74"/>
    </x:row>
    <x:row r="13">
      <x:c r="A13" s="77"/>
      <x:c r="C13" s="74"/>
    </x:row>
    <x:row r="14">
      <x:c r="A14" s="77"/>
      <x:c r="C14" s="74"/>
    </x:row>
    <x:row r="15">
      <x:c r="A15" s="77"/>
      <x:c r="C15" s="74"/>
    </x:row>
    <x:row r="16">
      <x:c r="A16" s="77"/>
      <x:c r="C16" s="74"/>
    </x:row>
    <x:row r="17">
      <x:c r="A17" s="77"/>
      <x:c r="C17" s="74"/>
    </x:row>
    <x:row r="18">
      <x:c r="A18" s="77"/>
      <x:c r="C18" s="74"/>
    </x:row>
    <x:row r="19">
      <x:c r="A19" s="77"/>
      <x:c r="C19" s="74"/>
    </x:row>
    <x:row r="20">
      <x:c r="A20" s="77"/>
      <x:c r="C20" s="74"/>
    </x:row>
    <x:row r="21">
      <x:c r="A21" s="77"/>
      <x:c r="C21" s="74"/>
    </x:row>
    <x:row r="22">
      <x:c r="A22" s="77"/>
      <x:c r="C22" s="74"/>
    </x:row>
    <x:row r="23">
      <x:c r="A23" s="77"/>
      <x:c r="C23" s="74"/>
    </x:row>
    <x:row r="24">
      <x:c r="A24" s="77"/>
      <x:c r="C24" s="74"/>
    </x:row>
    <x:row r="25">
      <x:c r="A25" s="77"/>
      <x:c r="C25" s="74"/>
    </x:row>
    <x:row r="26">
      <x:c r="A26" s="77"/>
      <x:c r="C26" s="74"/>
    </x:row>
    <x:row r="27">
      <x:c r="A27" s="77"/>
      <x:c r="C27" s="74"/>
    </x:row>
    <x:row r="28">
      <x:c r="A28" s="77"/>
      <x:c r="C28" s="74"/>
    </x:row>
    <x:row r="29">
      <x:c r="A29" s="77"/>
      <x:c r="C29" s="74"/>
    </x:row>
    <x:row r="30">
      <x:c r="A30" s="77"/>
      <x:c r="C30" s="74"/>
    </x:row>
    <x:row r="31">
      <x:c r="A31" s="77"/>
      <x:c r="C31" s="74"/>
    </x:row>
    <x:row r="32">
      <x:c r="A32" s="77"/>
      <x:c r="C32" s="74"/>
    </x:row>
    <x:row r="33">
      <x:c r="A33" s="77"/>
      <x:c r="C33" s="74"/>
    </x:row>
    <x:row r="34">
      <x:c r="A34" s="77"/>
      <x:c r="C34" s="74"/>
    </x:row>
    <x:row r="35">
      <x:c r="A35" s="77"/>
      <x:c r="C35" s="74"/>
    </x:row>
    <x:row r="36">
      <x:c r="A36" s="77"/>
      <x:c r="C36" s="74"/>
    </x:row>
    <x:row r="37">
      <x:c r="A37" s="77"/>
      <x:c r="C37" s="74"/>
    </x:row>
    <x:row r="38">
      <x:c r="A38" s="77"/>
      <x:c r="C38" s="74"/>
    </x:row>
    <x:row r="39">
      <x:c r="A39" s="77"/>
      <x:c r="C39" s="74"/>
    </x:row>
    <x:row r="40">
      <x:c r="A40" s="77"/>
      <x:c r="C40" s="74"/>
    </x:row>
    <x:row r="41">
      <x:c r="A41" s="77"/>
      <x:c r="C41" s="74"/>
    </x:row>
    <x:row r="42">
      <x:c r="A42" s="77"/>
      <x:c r="C42" s="74"/>
    </x:row>
    <x:row r="43">
      <x:c r="A43" s="77"/>
      <x:c r="C43" s="74"/>
    </x:row>
    <x:row r="44">
      <x:c r="A44" s="77"/>
      <x:c r="C44" s="74"/>
    </x:row>
    <x:row r="45">
      <x:c r="A45" s="77"/>
      <x:c r="C45" s="74"/>
    </x:row>
    <x:row r="46">
      <x:c r="A46" s="77"/>
      <x:c r="C46" s="74"/>
    </x:row>
    <x:row r="47">
      <x:c r="A47" s="77"/>
      <x:c r="C47" s="74"/>
    </x:row>
    <x:row r="48">
      <x:c r="A48" s="77"/>
      <x:c r="C48" s="74"/>
    </x:row>
    <x:row r="49">
      <x:c r="A49" s="77"/>
      <x:c r="C49" s="74"/>
    </x:row>
    <x:row r="50">
      <x:c r="A50" s="77"/>
      <x:c r="C50" s="74"/>
    </x:row>
    <x:row r="51">
      <x:c r="A51" s="77"/>
      <x:c r="C51" s="74"/>
    </x:row>
    <x:row r="52">
      <x:c r="A52" s="77"/>
      <x:c r="C52" s="74"/>
    </x:row>
    <x:row r="53">
      <x:c r="A53" s="77"/>
      <x:c r="C53" s="74"/>
    </x:row>
    <x:row r="54">
      <x:c r="A54" s="77"/>
      <x:c r="C54" s="74"/>
    </x:row>
    <x:row r="55">
      <x:c r="A55" s="77"/>
      <x:c r="C55" s="74"/>
    </x:row>
    <x:row r="56">
      <x:c r="A56" s="77"/>
      <x:c r="C56" s="74"/>
    </x:row>
    <x:row r="57">
      <x:c r="A57" s="77"/>
      <x:c r="C57" s="74"/>
    </x:row>
    <x:row r="58">
      <x:c r="A58" s="77"/>
      <x:c r="C58" s="74"/>
    </x:row>
    <x:row r="59">
      <x:c r="A59" s="77"/>
      <x:c r="C59" s="74"/>
    </x:row>
    <x:row r="60">
      <x:c r="A60" s="77"/>
      <x:c r="C60" s="74"/>
    </x:row>
    <x:row r="61">
      <x:c r="A61" s="77"/>
      <x:c r="C61" s="74"/>
    </x:row>
    <x:row r="62">
      <x:c r="A62" s="77"/>
      <x:c r="C62" s="74"/>
    </x:row>
    <x:row r="63">
      <x:c r="A63" s="77"/>
      <x:c r="C63" s="74"/>
    </x:row>
    <x:row r="64">
      <x:c r="A64" s="77"/>
      <x:c r="C64" s="74"/>
    </x:row>
    <x:row r="65">
      <x:c r="A65" s="77"/>
      <x:c r="C65" s="74"/>
    </x:row>
    <x:row r="66">
      <x:c r="A66" s="77"/>
      <x:c r="C66" s="74"/>
    </x:row>
    <x:row r="67">
      <x:c r="A67" s="77"/>
      <x:c r="C67" s="74"/>
    </x:row>
    <x:row r="68">
      <x:c r="A68" s="77"/>
      <x:c r="C68" s="74"/>
    </x:row>
    <x:row r="69">
      <x:c r="A69" s="77"/>
      <x:c r="C69" s="74"/>
    </x:row>
    <x:row r="70">
      <x:c r="A70" s="77"/>
      <x:c r="C70" s="74"/>
    </x:row>
    <x:row r="71">
      <x:c r="A71" s="77"/>
      <x:c r="C71" s="74"/>
    </x:row>
    <x:row r="72">
      <x:c r="A72" s="77"/>
      <x:c r="C72" s="74"/>
    </x:row>
    <x:row r="73">
      <x:c r="A73" s="77"/>
      <x:c r="C73" s="74"/>
    </x:row>
    <x:row r="74">
      <x:c r="A74" s="77"/>
      <x:c r="C74" s="74"/>
    </x:row>
    <x:row r="75">
      <x:c r="A75" s="77"/>
      <x:c r="C75" s="74"/>
    </x:row>
    <x:row r="76">
      <x:c r="A76" s="77"/>
      <x:c r="C76" s="74"/>
    </x:row>
    <x:row r="77">
      <x:c r="A77" s="77"/>
      <x:c r="C77" s="74"/>
    </x:row>
    <x:row r="78">
      <x:c r="A78" s="77"/>
      <x:c r="C78" s="74"/>
    </x:row>
    <x:row r="79">
      <x:c r="A79" s="77"/>
      <x:c r="C79" s="74"/>
    </x:row>
    <x:row r="80">
      <x:c r="A80" s="77"/>
      <x:c r="C80" s="74"/>
    </x:row>
    <x:row r="81">
      <x:c r="A81" s="77"/>
      <x:c r="C81" s="74"/>
    </x:row>
    <x:row r="82">
      <x:c r="A82" s="77"/>
      <x:c r="C82" s="74"/>
    </x:row>
    <x:row r="83">
      <x:c r="A83" s="77"/>
      <x:c r="C83" s="74"/>
    </x:row>
    <x:row r="84">
      <x:c r="A84" s="77"/>
      <x:c r="C84" s="74"/>
    </x:row>
    <x:row r="85">
      <x:c r="A85" s="77"/>
      <x:c r="C85" s="74"/>
    </x:row>
    <x:row r="86">
      <x:c r="A86" s="77"/>
      <x:c r="C86" s="74"/>
    </x:row>
    <x:row r="87">
      <x:c r="A87" s="77"/>
      <x:c r="C87" s="74"/>
    </x:row>
    <x:row r="88">
      <x:c r="A88" s="77"/>
      <x:c r="C88" s="74"/>
    </x:row>
    <x:row r="89">
      <x:c r="A89" s="77"/>
      <x:c r="C89" s="74"/>
    </x:row>
    <x:row r="90">
      <x:c r="A90" s="77"/>
      <x:c r="C90" s="74"/>
    </x:row>
    <x:row r="91">
      <x:c r="A91" s="77"/>
      <x:c r="C91" s="74"/>
    </x:row>
    <x:row r="92">
      <x:c r="A92" s="77"/>
      <x:c r="C92" s="74"/>
    </x:row>
    <x:row r="93">
      <x:c r="A93" s="77"/>
      <x:c r="C93" s="74"/>
    </x:row>
    <x:row r="94">
      <x:c r="A94" s="77"/>
      <x:c r="C94" s="74"/>
    </x:row>
    <x:row r="95">
      <x:c r="A95" s="77"/>
      <x:c r="C95" s="74"/>
    </x:row>
    <x:row r="96">
      <x:c r="A96" s="77"/>
      <x:c r="C96" s="74"/>
    </x:row>
    <x:row r="97">
      <x:c r="A97" s="77"/>
      <x:c r="C97" s="74"/>
    </x:row>
    <x:row r="98">
      <x:c r="A98" s="77"/>
      <x:c r="C98" s="74"/>
    </x:row>
    <x:row r="99">
      <x:c r="A99" s="77"/>
      <x:c r="C99" s="74"/>
    </x:row>
    <x:row r="100">
      <x:c r="A100" s="77"/>
      <x:c r="C100" s="74"/>
    </x:row>
    <x:row r="101">
      <x:c r="A101" s="77"/>
      <x:c r="C101" s="74"/>
    </x:row>
    <x:row r="102">
      <x:c r="A102" s="77"/>
      <x:c r="C102" s="74"/>
    </x:row>
    <x:row r="103">
      <x:c r="A103" s="77"/>
      <x:c r="C103" s="74"/>
    </x:row>
    <x:row r="104">
      <x:c r="A104" s="77"/>
      <x:c r="C104" s="74"/>
    </x:row>
    <x:row r="105">
      <x:c r="A105" s="77"/>
      <x:c r="C105" s="74"/>
    </x:row>
    <x:row r="106">
      <x:c r="A106" s="77"/>
      <x:c r="C106" s="74"/>
    </x:row>
    <x:row r="107">
      <x:c r="A107" s="77"/>
      <x:c r="C107" s="74"/>
    </x:row>
    <x:row r="108">
      <x:c r="A108" s="77"/>
      <x:c r="C108" s="74"/>
    </x:row>
    <x:row r="109">
      <x:c r="A109" s="77"/>
      <x:c r="C109" s="74"/>
    </x:row>
    <x:row r="110">
      <x:c r="A110" s="77"/>
      <x:c r="C110" s="74"/>
    </x:row>
    <x:row r="111">
      <x:c r="A111" s="77"/>
      <x:c r="C111" s="74"/>
    </x:row>
    <x:row r="112">
      <x:c r="A112" s="77"/>
      <x:c r="C112" s="74"/>
    </x:row>
    <x:row r="113">
      <x:c r="A113" s="77"/>
      <x:c r="C113" s="74"/>
    </x:row>
    <x:row r="114">
      <x:c r="A114" s="77"/>
      <x:c r="C114" s="74"/>
    </x:row>
    <x:row r="115">
      <x:c r="A115" s="77"/>
      <x:c r="C115" s="74"/>
    </x:row>
    <x:row r="116">
      <x:c r="A116" s="77"/>
      <x:c r="C116" s="74"/>
    </x:row>
    <x:row r="117">
      <x:c r="A117" s="77"/>
      <x:c r="C117" s="74"/>
    </x:row>
    <x:row r="118">
      <x:c r="A118" s="77"/>
      <x:c r="C118" s="74"/>
    </x:row>
    <x:row r="119">
      <x:c r="A119" s="77"/>
      <x:c r="C119" s="74"/>
    </x:row>
    <x:row r="120">
      <x:c r="A120" s="77"/>
      <x:c r="C120" s="74"/>
    </x:row>
    <x:row r="121">
      <x:c r="A121" s="77"/>
      <x:c r="C121" s="74"/>
    </x:row>
    <x:row r="122">
      <x:c r="A122" s="77"/>
      <x:c r="C122" s="74"/>
    </x:row>
    <x:row r="123">
      <x:c r="A123" s="77"/>
      <x:c r="C123" s="74"/>
    </x:row>
    <x:row r="124">
      <x:c r="A124" s="77"/>
      <x:c r="C124" s="74"/>
    </x:row>
    <x:row r="125">
      <x:c r="A125" s="77"/>
      <x:c r="C125" s="74"/>
    </x:row>
    <x:row r="126">
      <x:c r="A126" s="77"/>
      <x:c r="C126" s="74"/>
    </x:row>
    <x:row r="127">
      <x:c r="A127" s="77"/>
      <x:c r="C127" s="74"/>
    </x:row>
    <x:row r="128">
      <x:c r="A128" s="77"/>
      <x:c r="C128" s="74"/>
    </x:row>
    <x:row r="129">
      <x:c r="A129" s="77"/>
      <x:c r="C129" s="74"/>
    </x:row>
    <x:row r="130">
      <x:c r="A130" s="77"/>
      <x:c r="C130" s="74"/>
    </x:row>
    <x:row r="131">
      <x:c r="A131" s="77"/>
      <x:c r="C131" s="74"/>
    </x:row>
    <x:row r="132">
      <x:c r="A132" s="77"/>
      <x:c r="C132" s="74"/>
    </x:row>
    <x:row r="133">
      <x:c r="A133" s="77"/>
      <x:c r="C133" s="74"/>
    </x:row>
    <x:row r="134">
      <x:c r="A134" s="77"/>
      <x:c r="C134" s="74"/>
    </x:row>
    <x:row r="135">
      <x:c r="A135" s="77"/>
      <x:c r="C135" s="74"/>
    </x:row>
    <x:row r="136">
      <x:c r="A136" s="77"/>
      <x:c r="C136" s="74"/>
    </x:row>
    <x:row r="137">
      <x:c r="A137" s="77"/>
      <x:c r="C137" s="74"/>
    </x:row>
    <x:row r="138">
      <x:c r="A138" s="77"/>
      <x:c r="C138" s="74"/>
    </x:row>
    <x:row r="139">
      <x:c r="A139" s="77"/>
      <x:c r="C139" s="74"/>
    </x:row>
    <x:row r="140">
      <x:c r="A140" s="77"/>
      <x:c r="C140" s="74"/>
    </x:row>
    <x:row r="141">
      <x:c r="A141" s="77"/>
      <x:c r="C141" s="74"/>
    </x:row>
    <x:row r="142">
      <x:c r="A142" s="77"/>
      <x:c r="C142" s="74"/>
    </x:row>
    <x:row r="143">
      <x:c r="A143" s="77"/>
      <x:c r="C143" s="74"/>
    </x:row>
    <x:row r="144">
      <x:c r="A144" s="77"/>
      <x:c r="C144" s="74"/>
    </x:row>
    <x:row r="145">
      <x:c r="A145" s="77"/>
      <x:c r="C145" s="74"/>
    </x:row>
    <x:row r="146">
      <x:c r="A146" s="77"/>
      <x:c r="C146" s="74"/>
    </x:row>
    <x:row r="147">
      <x:c r="A147" s="77"/>
      <x:c r="C147" s="74"/>
    </x:row>
    <x:row r="148">
      <x:c r="A148" s="77"/>
      <x:c r="C148" s="74"/>
    </x:row>
    <x:row r="149">
      <x:c r="A149" s="77"/>
      <x:c r="C149" s="74"/>
    </x:row>
    <x:row r="150">
      <x:c r="A150" s="77"/>
      <x:c r="C150" s="74"/>
    </x:row>
    <x:row r="151">
      <x:c r="A151" s="77"/>
      <x:c r="C151" s="74"/>
    </x:row>
    <x:row r="152">
      <x:c r="A152" s="77"/>
      <x:c r="C152" s="74"/>
    </x:row>
    <x:row r="153">
      <x:c r="A153" s="77"/>
      <x:c r="C153" s="74"/>
    </x:row>
    <x:row r="154">
      <x:c r="A154" s="77"/>
      <x:c r="C154" s="74"/>
    </x:row>
    <x:row r="155">
      <x:c r="A155" s="77"/>
      <x:c r="C155" s="74"/>
    </x:row>
    <x:row r="156">
      <x:c r="A156" s="77"/>
      <x:c r="C156" s="74"/>
    </x:row>
    <x:row r="157">
      <x:c r="A157" s="77"/>
      <x:c r="C157" s="74"/>
    </x:row>
    <x:row r="158">
      <x:c r="A158" s="77"/>
      <x:c r="C158" s="74"/>
    </x:row>
    <x:row r="159">
      <x:c r="A159" s="77"/>
      <x:c r="C159" s="74"/>
    </x:row>
    <x:row r="160">
      <x:c r="A160" s="77"/>
      <x:c r="C160" s="74"/>
    </x:row>
    <x:row r="161">
      <x:c r="A161" s="77"/>
      <x:c r="C161" s="74"/>
    </x:row>
    <x:row r="162">
      <x:c r="A162" s="77"/>
      <x:c r="C162" s="74"/>
    </x:row>
    <x:row r="163">
      <x:c r="A163" s="77"/>
      <x:c r="C163" s="74"/>
    </x:row>
    <x:row r="164">
      <x:c r="A164" s="77"/>
      <x:c r="C164" s="74"/>
    </x:row>
    <x:row r="165">
      <x:c r="A165" s="77"/>
      <x:c r="C165" s="74"/>
    </x:row>
    <x:row r="166">
      <x:c r="A166" s="77"/>
      <x:c r="C166" s="74"/>
    </x:row>
    <x:row r="167">
      <x:c r="A167" s="77"/>
      <x:c r="C167" s="74"/>
    </x:row>
    <x:row r="168">
      <x:c r="A168" s="77"/>
      <x:c r="C168" s="74"/>
    </x:row>
    <x:row r="169">
      <x:c r="A169" s="77"/>
      <x:c r="C169" s="74"/>
    </x:row>
    <x:row r="170">
      <x:c r="A170" s="77"/>
      <x:c r="C170" s="74"/>
    </x:row>
    <x:row r="171">
      <x:c r="A171" s="77"/>
      <x:c r="C171" s="74"/>
    </x:row>
    <x:row r="172">
      <x:c r="A172" s="77"/>
      <x:c r="C172" s="74"/>
    </x:row>
    <x:row r="173">
      <x:c r="A173" s="77"/>
      <x:c r="C173" s="74"/>
    </x:row>
    <x:row r="174">
      <x:c r="A174" s="77"/>
      <x:c r="C174" s="74"/>
    </x:row>
    <x:row r="175">
      <x:c r="A175" s="77"/>
      <x:c r="C175" s="74"/>
    </x:row>
    <x:row r="176">
      <x:c r="A176" s="77"/>
      <x:c r="C176" s="74"/>
    </x:row>
    <x:row r="177">
      <x:c r="A177" s="77"/>
      <x:c r="C177" s="74"/>
    </x:row>
    <x:row r="178">
      <x:c r="A178" s="77"/>
      <x:c r="C178" s="74"/>
    </x:row>
    <x:row r="179">
      <x:c r="A179" s="77"/>
      <x:c r="C179" s="74"/>
    </x:row>
    <x:row r="180">
      <x:c r="A180" s="77"/>
      <x:c r="C180" s="74"/>
    </x:row>
    <x:row r="181">
      <x:c r="A181" s="77"/>
      <x:c r="C181" s="74"/>
    </x:row>
    <x:row r="182">
      <x:c r="A182" s="77"/>
      <x:c r="C182" s="74"/>
    </x:row>
    <x:row r="183">
      <x:c r="A183" s="77"/>
      <x:c r="C183" s="74"/>
    </x:row>
    <x:row r="184">
      <x:c r="A184" s="77"/>
      <x:c r="C184" s="74"/>
    </x:row>
    <x:row r="185">
      <x:c r="A185" s="77"/>
      <x:c r="C185" s="74"/>
    </x:row>
    <x:row r="186">
      <x:c r="A186" s="77"/>
      <x:c r="C186" s="74"/>
    </x:row>
    <x:row r="187">
      <x:c r="A187" s="77"/>
      <x:c r="C187" s="74"/>
    </x:row>
    <x:row r="188">
      <x:c r="A188" s="77"/>
      <x:c r="C188" s="74"/>
    </x:row>
    <x:row r="189">
      <x:c r="A189" s="77"/>
      <x:c r="C189" s="74"/>
    </x:row>
    <x:row r="190">
      <x:c r="A190" s="77"/>
      <x:c r="C190" s="74"/>
    </x:row>
    <x:row r="191">
      <x:c r="A191" s="77"/>
      <x:c r="C191" s="74"/>
    </x:row>
    <x:row r="192">
      <x:c r="A192" s="77"/>
      <x:c r="C192" s="74"/>
    </x:row>
    <x:row r="193">
      <x:c r="A193" s="77"/>
      <x:c r="C193" s="74"/>
    </x:row>
    <x:row r="194">
      <x:c r="A194" s="77"/>
      <x:c r="C194" s="74"/>
    </x:row>
    <x:row r="195">
      <x:c r="A195" s="77"/>
      <x:c r="C195" s="74"/>
    </x:row>
    <x:row r="196">
      <x:c r="A196" s="77"/>
      <x:c r="C196" s="74"/>
    </x:row>
    <x:row r="197">
      <x:c r="A197" s="77"/>
      <x:c r="C197" s="74"/>
    </x:row>
    <x:row r="198">
      <x:c r="A198" s="77"/>
      <x:c r="C198" s="74"/>
    </x:row>
    <x:row r="199">
      <x:c r="A199" s="77"/>
      <x:c r="C199" s="74"/>
    </x:row>
    <x:row r="200">
      <x:c r="A200" s="77"/>
      <x:c r="C200" s="74"/>
    </x:row>
    <x:row r="201">
      <x:c r="A201" s="77"/>
      <x:c r="C201" s="74"/>
    </x:row>
    <x:row r="202">
      <x:c r="A202" s="77"/>
      <x:c r="C202" s="74"/>
    </x:row>
    <x:row r="203">
      <x:c r="A203" s="77"/>
      <x:c r="C203" s="74"/>
    </x:row>
    <x:row r="204">
      <x:c r="A204" s="77"/>
      <x:c r="C204" s="74"/>
    </x:row>
    <x:row r="205">
      <x:c r="A205" s="77"/>
      <x:c r="C205" s="74"/>
    </x:row>
    <x:row r="206">
      <x:c r="A206" s="77"/>
      <x:c r="C206" s="74"/>
    </x:row>
    <x:row r="207">
      <x:c r="A207" s="77"/>
      <x:c r="C207" s="74"/>
    </x:row>
    <x:row r="208">
      <x:c r="A208" s="77"/>
      <x:c r="C208" s="74"/>
    </x:row>
    <x:row r="209">
      <x:c r="A209" s="77"/>
      <x:c r="C209" s="74"/>
    </x:row>
    <x:row r="210">
      <x:c r="A210" s="77"/>
      <x:c r="C210" s="74"/>
    </x:row>
    <x:row r="211">
      <x:c r="A211" s="77"/>
      <x:c r="C211" s="74"/>
    </x:row>
    <x:row r="212">
      <x:c r="A212" s="77"/>
      <x:c r="C212" s="74"/>
    </x:row>
    <x:row r="213">
      <x:c r="A213" s="77"/>
      <x:c r="C213" s="74"/>
    </x:row>
    <x:row r="214">
      <x:c r="A214" s="77"/>
      <x:c r="C214" s="74"/>
    </x:row>
    <x:row r="215">
      <x:c r="A215" s="77"/>
      <x:c r="C215" s="74"/>
    </x:row>
    <x:row r="216">
      <x:c r="A216" s="77"/>
      <x:c r="C216" s="74"/>
    </x:row>
    <x:row r="217">
      <x:c r="A217" s="77"/>
      <x:c r="C217" s="74"/>
    </x:row>
    <x:row r="218">
      <x:c r="A218" s="77"/>
      <x:c r="C218" s="74"/>
    </x:row>
    <x:row r="219">
      <x:c r="A219" s="77"/>
      <x:c r="C219" s="74"/>
    </x:row>
    <x:row r="220">
      <x:c r="A220" s="77"/>
      <x:c r="C220" s="74"/>
    </x:row>
    <x:row r="221">
      <x:c r="A221" s="77"/>
      <x:c r="C221" s="74"/>
    </x:row>
    <x:row r="222">
      <x:c r="A222" s="77"/>
      <x:c r="C222" s="74"/>
    </x:row>
    <x:row r="223">
      <x:c r="A223" s="77"/>
      <x:c r="C223" s="74"/>
    </x:row>
    <x:row r="224">
      <x:c r="A224" s="77"/>
      <x:c r="C224" s="74"/>
    </x:row>
    <x:row r="225">
      <x:c r="A225" s="77"/>
      <x:c r="C225" s="74"/>
    </x:row>
    <x:row r="226">
      <x:c r="A226" s="77"/>
      <x:c r="C226" s="74"/>
    </x:row>
    <x:row r="227">
      <x:c r="A227" s="77"/>
      <x:c r="C227" s="74"/>
    </x:row>
    <x:row r="228">
      <x:c r="A228" s="77"/>
      <x:c r="C228" s="74"/>
    </x:row>
    <x:row r="229">
      <x:c r="A229" s="77"/>
      <x:c r="C229" s="74"/>
    </x:row>
    <x:row r="230">
      <x:c r="A230" s="77"/>
      <x:c r="C230" s="74"/>
    </x:row>
    <x:row r="231">
      <x:c r="A231" s="77"/>
      <x:c r="C231" s="74"/>
    </x:row>
    <x:row r="232">
      <x:c r="A232" s="77"/>
      <x:c r="C232" s="74"/>
    </x:row>
    <x:row r="233">
      <x:c r="A233" s="77"/>
      <x:c r="C233" s="74"/>
    </x:row>
    <x:row r="234">
      <x:c r="A234" s="77"/>
      <x:c r="C234" s="74"/>
    </x:row>
    <x:row r="235">
      <x:c r="A235" s="77"/>
      <x:c r="C235" s="74"/>
    </x:row>
    <x:row r="236">
      <x:c r="A236" s="77"/>
      <x:c r="C236" s="74"/>
    </x:row>
    <x:row r="237">
      <x:c r="A237" s="77"/>
      <x:c r="C237" s="74"/>
    </x:row>
    <x:row r="238">
      <x:c r="A238" s="77"/>
      <x:c r="C238" s="74"/>
    </x:row>
    <x:row r="239">
      <x:c r="A239" s="77"/>
      <x:c r="C239" s="74"/>
    </x:row>
    <x:row r="240">
      <x:c r="A240" s="77"/>
      <x:c r="C240" s="74"/>
    </x:row>
    <x:row r="241">
      <x:c r="A241" s="77"/>
      <x:c r="C241" s="74"/>
    </x:row>
    <x:row r="242">
      <x:c r="A242" s="77"/>
      <x:c r="C242" s="74"/>
    </x:row>
    <x:row r="243">
      <x:c r="A243" s="77"/>
      <x:c r="C243" s="74"/>
    </x:row>
    <x:row r="244">
      <x:c r="A244" s="77"/>
      <x:c r="C244" s="74"/>
    </x:row>
    <x:row r="245">
      <x:c r="A245" s="77"/>
      <x:c r="C245" s="74"/>
    </x:row>
    <x:row r="246">
      <x:c r="A246" s="77"/>
      <x:c r="C246" s="74"/>
    </x:row>
    <x:row r="247">
      <x:c r="A247" s="77"/>
      <x:c r="C247" s="74"/>
    </x:row>
    <x:row r="248">
      <x:c r="A248" s="77"/>
      <x:c r="C248" s="74"/>
    </x:row>
    <x:row r="249">
      <x:c r="A249" s="77"/>
      <x:c r="C249" s="74"/>
    </x:row>
    <x:row r="250">
      <x:c r="A250" s="77"/>
      <x:c r="C250" s="74"/>
    </x:row>
    <x:row r="251">
      <x:c r="A251" s="77"/>
      <x:c r="C251" s="74"/>
    </x:row>
    <x:row r="252">
      <x:c r="A252" s="77"/>
      <x:c r="C252" s="74"/>
    </x:row>
    <x:row r="253">
      <x:c r="A253" s="77"/>
      <x:c r="C253" s="74"/>
    </x:row>
    <x:row r="254">
      <x:c r="A254" s="77"/>
      <x:c r="C254" s="74"/>
    </x:row>
    <x:row r="255">
      <x:c r="A255" s="77"/>
      <x:c r="C255" s="74"/>
    </x:row>
    <x:row r="256">
      <x:c r="A256" s="77"/>
      <x:c r="C256" s="74"/>
    </x:row>
    <x:row r="257">
      <x:c r="A257" s="77"/>
      <x:c r="C257" s="74"/>
    </x:row>
    <x:row r="258">
      <x:c r="A258" s="77"/>
      <x:c r="C258" s="74"/>
    </x:row>
    <x:row r="259">
      <x:c r="A259" s="77"/>
      <x:c r="C259" s="74"/>
    </x:row>
    <x:row r="260">
      <x:c r="A260" s="77"/>
      <x:c r="C260" s="74"/>
    </x:row>
    <x:row r="261">
      <x:c r="A261" s="77"/>
      <x:c r="C261" s="74"/>
    </x:row>
    <x:row r="262">
      <x:c r="A262" s="77"/>
      <x:c r="C262" s="74"/>
    </x:row>
    <x:row r="263">
      <x:c r="A263" s="77"/>
      <x:c r="C263" s="74"/>
    </x:row>
    <x:row r="264">
      <x:c r="A264" s="77"/>
      <x:c r="C264" s="74"/>
    </x:row>
    <x:row r="265">
      <x:c r="A265" s="77"/>
      <x:c r="C265" s="74"/>
    </x:row>
    <x:row r="266">
      <x:c r="A266" s="77"/>
      <x:c r="C266" s="74"/>
    </x:row>
    <x:row r="267">
      <x:c r="A267" s="77"/>
      <x:c r="C267" s="74"/>
    </x:row>
    <x:row r="268">
      <x:c r="A268" s="77"/>
      <x:c r="C268" s="74"/>
    </x:row>
    <x:row r="269">
      <x:c r="A269" s="77"/>
      <x:c r="C269" s="74"/>
    </x:row>
    <x:row r="270">
      <x:c r="A270" s="77"/>
      <x:c r="C270" s="74"/>
    </x:row>
    <x:row r="271">
      <x:c r="A271" s="77"/>
      <x:c r="C271" s="74"/>
    </x:row>
    <x:row r="272">
      <x:c r="A272" s="77"/>
      <x:c r="C272" s="74"/>
    </x:row>
    <x:row r="273">
      <x:c r="A273" s="77"/>
      <x:c r="C273" s="74"/>
    </x:row>
    <x:row r="274">
      <x:c r="A274" s="77"/>
      <x:c r="C274" s="74"/>
    </x:row>
    <x:row r="275">
      <x:c r="A275" s="77"/>
      <x:c r="C275" s="74"/>
    </x:row>
    <x:row r="276">
      <x:c r="A276" s="77"/>
      <x:c r="C276" s="74"/>
    </x:row>
    <x:row r="277">
      <x:c r="A277" s="77"/>
      <x:c r="C277" s="74"/>
    </x:row>
    <x:row r="278">
      <x:c r="A278" s="77"/>
      <x:c r="C278" s="74"/>
    </x:row>
    <x:row r="279">
      <x:c r="A279" s="77"/>
      <x:c r="C279" s="74"/>
    </x:row>
    <x:row r="280">
      <x:c r="A280" s="77"/>
      <x:c r="C280" s="74"/>
    </x:row>
    <x:row r="281">
      <x:c r="A281" s="77"/>
      <x:c r="C281" s="74"/>
    </x:row>
    <x:row r="282">
      <x:c r="A282" s="77"/>
      <x:c r="C282" s="74"/>
    </x:row>
    <x:row r="283">
      <x:c r="A283" s="77"/>
      <x:c r="C283" s="74"/>
    </x:row>
    <x:row r="284">
      <x:c r="A284" s="77"/>
      <x:c r="C284" s="74"/>
    </x:row>
    <x:row r="285">
      <x:c r="A285" s="77"/>
      <x:c r="C285" s="74"/>
    </x:row>
    <x:row r="286">
      <x:c r="A286" s="77"/>
      <x:c r="C286" s="74"/>
    </x:row>
    <x:row r="287">
      <x:c r="A287" s="77"/>
      <x:c r="C287" s="74"/>
    </x:row>
    <x:row r="288">
      <x:c r="A288" s="77"/>
      <x:c r="C288" s="74"/>
    </x:row>
    <x:row r="289">
      <x:c r="A289" s="77"/>
      <x:c r="C289" s="74"/>
    </x:row>
    <x:row r="290">
      <x:c r="A290" s="77"/>
      <x:c r="C290" s="74"/>
    </x:row>
    <x:row r="291">
      <x:c r="A291" s="77"/>
      <x:c r="C291" s="74"/>
    </x:row>
    <x:row r="292">
      <x:c r="A292" s="77"/>
      <x:c r="C292" s="74"/>
    </x:row>
    <x:row r="293">
      <x:c r="A293" s="77"/>
      <x:c r="C293" s="74"/>
    </x:row>
    <x:row r="294">
      <x:c r="A294" s="77"/>
      <x:c r="C294" s="74"/>
    </x:row>
    <x:row r="295">
      <x:c r="A295" s="77"/>
      <x:c r="C295" s="74"/>
    </x:row>
    <x:row r="296">
      <x:c r="A296" s="77"/>
      <x:c r="C296" s="74"/>
    </x:row>
    <x:row r="297">
      <x:c r="A297" s="77"/>
      <x:c r="C297" s="74"/>
    </x:row>
    <x:row r="298">
      <x:c r="A298" s="77"/>
      <x:c r="C298" s="74"/>
    </x:row>
    <x:row r="299">
      <x:c r="A299" s="77"/>
      <x:c r="C299" s="74"/>
    </x:row>
    <x:row r="300">
      <x:c r="A300" s="77"/>
      <x:c r="C300" s="74"/>
    </x:row>
  </x:sheetData>
  <x:dataValidations count="1">
    <x:dataValidation type="list" sqref="B2:B300">
      <x:formula1>'Lists'!$A$2:$A$12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0.779999732971191" hidden="0" customWidth="1"/>
    <x:col min="2" max="2" width="4.440000057220459" hidden="0" customWidth="1"/>
    <x:col min="3" max="3" width="5.440000057220459" hidden="0" customWidth="1"/>
    <x:col min="4" max="4" width="5.670000076293945" hidden="0" customWidth="1"/>
    <x:col min="5" max="5" width="11.109999656677246" hidden="0" customWidth="1"/>
    <x:col min="6" max="6" width="15.890000343322754" hidden="0" customWidth="1"/>
    <x:col min="7" max="7" width="5.329999923706055" hidden="0" customWidth="1"/>
    <x:col min="8" max="8" width="6.889999866485596" hidden="0" customWidth="1"/>
    <x:col min="9" max="9" width="8.220000267028809" hidden="0" customWidth="1"/>
    <x:col min="10" max="10" width="9" hidden="0" customWidth="1"/>
    <x:col min="11" max="11" width="11.109999656677246" hidden="0" customWidth="1"/>
    <x:col min="12" max="12" width="16.329999923706055" hidden="0" customWidth="1"/>
    <x:col min="13" max="13" width="12.670000076293945" hidden="0" customWidth="1"/>
    <x:col min="14" max="14" width="13" hidden="0" customWidth="1"/>
    <x:col min="15" max="15" width="12.220000267028809" hidden="0" customWidth="1"/>
    <x:col min="16" max="16" width="11.4399995803833" hidden="0" customWidth="1"/>
    <x:col min="17" max="17" width="11.779999732971191" hidden="0" customWidth="1"/>
    <x:col min="18" max="18" width="11.329999923706055" hidden="0" customWidth="1"/>
    <x:col min="19" max="19" width="15.5600004196167" hidden="0" customWidth="1"/>
    <x:col min="20" max="20" width="17.780000686645508" hidden="0" customWidth="1"/>
    <x:col min="21" max="21" width="12.5600004196167" hidden="0" customWidth="1"/>
    <x:col min="22" max="22" width="12.890000343322754" hidden="0" customWidth="1"/>
    <x:col min="23" max="23" width="12.4399995803833" hidden="0" customWidth="1"/>
    <x:col min="24" max="24" width="15.890000343322754" hidden="0" customWidth="1"/>
    <x:col min="25" max="25" width="13.109999656677246" hidden="0" customWidth="1"/>
    <x:col min="26" max="26" width="10.5600004196167" hidden="0" customWidth="1"/>
    <x:col min="27" max="27" width="12.5600004196167" hidden="0" customWidth="1"/>
    <x:col min="28" max="28" width="14.329999923706055" hidden="0" customWidth="1"/>
    <x:col min="29" max="29" width="16.559999465942383" hidden="0" customWidth="1"/>
    <x:col min="30" max="30" width="11.329999923706055" hidden="0" customWidth="1"/>
    <x:col min="31" max="31" width="14.329999923706055" hidden="0" customWidth="1"/>
    <x:col min="32" max="32" width="12.109999656677246" hidden="0" customWidth="1"/>
    <x:col min="33" max="33" width="15.670000076293945" hidden="0" customWidth="1"/>
    <x:col min="34" max="34" width="14.220000267028809" hidden="0" customWidth="1"/>
    <x:col min="35" max="35" width="5.110000133514404" hidden="0" customWidth="1"/>
    <x:col min="36" max="36" width="16.440000534057617" hidden="0" customWidth="1"/>
    <x:col min="37" max="37" width="19.440000534057617" hidden="0" customWidth="1"/>
  </x:cols>
  <x:sheetData>
    <x:row r="1">
      <x:c r="A1" s="78" t="str">
        <x:v>Billing Month</x:v>
      </x:c>
      <x:c r="B1" s="78" t="str">
        <x:v>Suite</x:v>
      </x:c>
      <x:c r="C1" s="78" t="str">
        <x:v>Status</x:v>
      </x:c>
      <x:c r="D1" s="78" t="str">
        <x:v>Tenant</x:v>
      </x:c>
      <x:c r="E1" s="78" t="str">
        <x:v>Tenant Phone</x:v>
      </x:c>
      <x:c r="F1" s="78" t="str">
        <x:v>Emergency Contact</x:v>
      </x:c>
      <x:c r="G1" s="78" t="str">
        <x:v>ID Ref</x:v>
      </x:c>
      <x:c r="H1" s="78" t="str">
        <x:v>Move-In</x:v>
      </x:c>
      <x:c r="I1" s="78" t="str">
        <x:v>Move-Out</x:v>
      </x:c>
      <x:c r="J1" s="78" t="str">
        <x:v>Rent Cycle</x:v>
      </x:c>
      <x:c r="K1" s="78" t="str">
        <x:v>Cycle Months</x:v>
      </x:c>
      <x:c r="L1" s="78" t="str">
        <x:v>Cycle Amount (GHS)</x:v>
      </x:c>
      <x:c r="M1" s="78" t="str">
        <x:v>Rent Due (GHS)</x:v>
      </x:c>
      <x:c r="N1" s="78" t="str">
        <x:v>Rent Paid (GHS)</x:v>
      </x:c>
      <x:c r="O1" s="78" t="str">
        <x:v>Coverage Start</x:v>
      </x:c>
      <x:c r="P1" s="78" t="str">
        <x:v>Coverage End</x:v>
      </x:c>
      <x:c r="Q1" s="78" t="str">
        <x:v>Next Rent Due</x:v>
      </x:c>
      <x:c r="R1" s="78" t="str">
        <x:v>Renewal Date</x:v>
      </x:c>
      <x:c r="S1" s="78" t="str">
        <x:v>Rent Payment Date</x:v>
      </x:c>
      <x:c r="T1" s="78" t="str">
        <x:v>Rent Payment Method</x:v>
      </x:c>
      <x:c r="U1" s="78" t="str">
        <x:v>Rent Reference</x:v>
      </x:c>
      <x:c r="V1" s="78" t="str">
        <x:v>Water Bill (GHS)</x:v>
      </x:c>
      <x:c r="W1" s="78" t="str">
        <x:v>Toilet Bill (GHS)</x:v>
      </x:c>
      <x:c r="X1" s="78" t="str">
        <x:v>Sweeping Bill (GHS)</x:v>
      </x:c>
      <x:c r="Y1" s="78" t="str">
        <x:v>Waste Bill (GHS)</x:v>
      </x:c>
      <x:c r="Z1" s="78" t="str">
        <x:v>Bill Due Date</x:v>
      </x:c>
      <x:c r="AA1" s="78" t="str">
        <x:v>Bills Paid (GHS)</x:v>
      </x:c>
      <x:c r="AB1" s="78" t="str">
        <x:v>Bill Payment Date</x:v>
      </x:c>
      <x:c r="AC1" s="78" t="str">
        <x:v>Bill Payment Method</x:v>
      </x:c>
      <x:c r="AD1" s="78" t="str">
        <x:v>Bill Reference</x:v>
      </x:c>
      <x:c r="AE1" s="78" t="str">
        <x:v>Arrears B/F (GHS)</x:v>
      </x:c>
      <x:c r="AF1" s="78" t="str">
        <x:v>Late Fee (GHS)</x:v>
      </x:c>
      <x:c r="AG1" s="78" t="str">
        <x:v>Custom Total (GHS)</x:v>
      </x:c>
      <x:c r="AH1" s="78" t="str">
        <x:v>Custom Bill Items</x:v>
      </x:c>
      <x:c r="AI1" s="78" t="str">
        <x:v>Notes</x:v>
      </x:c>
      <x:c r="AJ1" s="78" t="str">
        <x:v>Total Bills Due (GHS)</x:v>
      </x:c>
      <x:c r="AK1" s="78" t="str">
        <x:v>Total Balance Due (GHS)</x:v>
      </x:c>
    </x:row>
    <x:row r="2">
      <x:c r="A2" s="76"/>
      <x:c r="H2" s="77"/>
      <x:c r="I2" s="77"/>
      <x:c r="L2" s="74"/>
      <x:c r="M2" s="74"/>
      <x:c r="N2" s="74"/>
      <x:c r="O2" s="77"/>
      <x:c r="P2" s="77"/>
      <x:c r="Q2" s="77"/>
      <x:c r="R2" s="77"/>
      <x:c r="S2" s="77"/>
      <x:c r="V2" s="74"/>
      <x:c r="W2" s="74"/>
      <x:c r="X2" s="74"/>
      <x:c r="Y2" s="74"/>
      <x:c r="Z2" s="77"/>
      <x:c r="AA2" s="74"/>
      <x:c r="AB2" s="77"/>
      <x:c r="AE2" s="74"/>
      <x:c r="AF2" s="74"/>
      <x:c r="AG2" s="74"/>
      <x:c r="AJ2" s="74" t="n">
        <x:f>SUM(V2:Y2)+AG2</x:f>
        <x:v>0</x:v>
      </x:c>
      <x:c r="AK2" s="74" t="n">
        <x:f>MAX(M2-N2,0)+MAX(AJ2-AA2,0)+AE2+AF2</x:f>
        <x:v>0</x:v>
      </x:c>
    </x:row>
    <x:row r="3">
      <x:c r="A3" s="76"/>
      <x:c r="H3" s="77"/>
      <x:c r="I3" s="77"/>
      <x:c r="L3" s="74"/>
      <x:c r="M3" s="74"/>
      <x:c r="N3" s="74"/>
      <x:c r="O3" s="77"/>
      <x:c r="P3" s="77"/>
      <x:c r="Q3" s="77"/>
      <x:c r="R3" s="77"/>
      <x:c r="S3" s="77"/>
      <x:c r="V3" s="74"/>
      <x:c r="W3" s="74"/>
      <x:c r="X3" s="74"/>
      <x:c r="Y3" s="74"/>
      <x:c r="Z3" s="77"/>
      <x:c r="AA3" s="74"/>
      <x:c r="AB3" s="77"/>
      <x:c r="AE3" s="74"/>
      <x:c r="AF3" s="74"/>
      <x:c r="AG3" s="74"/>
      <x:c r="AJ3" s="74" t="n">
        <x:f>SUM(V3:Y3)+AG3</x:f>
        <x:v>0</x:v>
      </x:c>
      <x:c r="AK3" s="74" t="n">
        <x:f>MAX(M3-N3,0)+MAX(AJ3-AA3,0)+AE3+AF3</x:f>
        <x:v>0</x:v>
      </x:c>
    </x:row>
    <x:row r="4">
      <x:c r="A4" s="76"/>
      <x:c r="H4" s="77"/>
      <x:c r="I4" s="77"/>
      <x:c r="L4" s="74"/>
      <x:c r="M4" s="74"/>
      <x:c r="N4" s="74"/>
      <x:c r="O4" s="77"/>
      <x:c r="P4" s="77"/>
      <x:c r="Q4" s="77"/>
      <x:c r="R4" s="77"/>
      <x:c r="S4" s="77"/>
      <x:c r="V4" s="74"/>
      <x:c r="W4" s="74"/>
      <x:c r="X4" s="74"/>
      <x:c r="Y4" s="74"/>
      <x:c r="Z4" s="77"/>
      <x:c r="AA4" s="74"/>
      <x:c r="AB4" s="77"/>
      <x:c r="AE4" s="74"/>
      <x:c r="AF4" s="74"/>
      <x:c r="AG4" s="74"/>
      <x:c r="AJ4" s="74" t="n">
        <x:f>SUM(V4:Y4)+AG4</x:f>
        <x:v>0</x:v>
      </x:c>
      <x:c r="AK4" s="74" t="n">
        <x:f>MAX(M4-N4,0)+MAX(AJ4-AA4,0)+AE4+AF4</x:f>
        <x:v>0</x:v>
      </x:c>
    </x:row>
    <x:row r="5">
      <x:c r="A5" s="76"/>
      <x:c r="H5" s="77"/>
      <x:c r="I5" s="77"/>
      <x:c r="L5" s="74"/>
      <x:c r="M5" s="74"/>
      <x:c r="N5" s="74"/>
      <x:c r="O5" s="77"/>
      <x:c r="P5" s="77"/>
      <x:c r="Q5" s="77"/>
      <x:c r="R5" s="77"/>
      <x:c r="S5" s="77"/>
      <x:c r="V5" s="74"/>
      <x:c r="W5" s="74"/>
      <x:c r="X5" s="74"/>
      <x:c r="Y5" s="74"/>
      <x:c r="Z5" s="77"/>
      <x:c r="AA5" s="74"/>
      <x:c r="AB5" s="77"/>
      <x:c r="AE5" s="74"/>
      <x:c r="AF5" s="74"/>
      <x:c r="AG5" s="74"/>
      <x:c r="AJ5" s="74" t="n">
        <x:f>SUM(V5:Y5)+AG5</x:f>
        <x:v>0</x:v>
      </x:c>
      <x:c r="AK5" s="74" t="n">
        <x:f>MAX(M5-N5,0)+MAX(AJ5-AA5,0)+AE5+AF5</x:f>
        <x:v>0</x:v>
      </x:c>
    </x:row>
    <x:row r="6">
      <x:c r="A6" s="76"/>
      <x:c r="H6" s="77"/>
      <x:c r="I6" s="77"/>
      <x:c r="L6" s="74"/>
      <x:c r="M6" s="74"/>
      <x:c r="N6" s="74"/>
      <x:c r="O6" s="77"/>
      <x:c r="P6" s="77"/>
      <x:c r="Q6" s="77"/>
      <x:c r="R6" s="77"/>
      <x:c r="S6" s="77"/>
      <x:c r="V6" s="74"/>
      <x:c r="W6" s="74"/>
      <x:c r="X6" s="74"/>
      <x:c r="Y6" s="74"/>
      <x:c r="Z6" s="77"/>
      <x:c r="AA6" s="74"/>
      <x:c r="AB6" s="77"/>
      <x:c r="AE6" s="74"/>
      <x:c r="AF6" s="74"/>
      <x:c r="AG6" s="74"/>
      <x:c r="AJ6" s="74" t="n">
        <x:f>SUM(V6:Y6)+AG6</x:f>
        <x:v>0</x:v>
      </x:c>
      <x:c r="AK6" s="74" t="n">
        <x:f>MAX(M6-N6,0)+MAX(AJ6-AA6,0)+AE6+AF6</x:f>
        <x:v>0</x:v>
      </x:c>
    </x:row>
    <x:row r="7">
      <x:c r="A7" s="76"/>
      <x:c r="H7" s="77"/>
      <x:c r="I7" s="77"/>
      <x:c r="L7" s="74"/>
      <x:c r="M7" s="74"/>
      <x:c r="N7" s="74"/>
      <x:c r="O7" s="77"/>
      <x:c r="P7" s="77"/>
      <x:c r="Q7" s="77"/>
      <x:c r="R7" s="77"/>
      <x:c r="S7" s="77"/>
      <x:c r="V7" s="74"/>
      <x:c r="W7" s="74"/>
      <x:c r="X7" s="74"/>
      <x:c r="Y7" s="74"/>
      <x:c r="Z7" s="77"/>
      <x:c r="AA7" s="74"/>
      <x:c r="AB7" s="77"/>
      <x:c r="AE7" s="74"/>
      <x:c r="AF7" s="74"/>
      <x:c r="AG7" s="74"/>
      <x:c r="AJ7" s="74" t="n">
        <x:f>SUM(V7:Y7)+AG7</x:f>
        <x:v>0</x:v>
      </x:c>
      <x:c r="AK7" s="74" t="n">
        <x:f>MAX(M7-N7,0)+MAX(AJ7-AA7,0)+AE7+AF7</x:f>
        <x:v>0</x:v>
      </x:c>
    </x:row>
    <x:row r="8">
      <x:c r="A8" s="76"/>
      <x:c r="H8" s="77"/>
      <x:c r="I8" s="77"/>
      <x:c r="L8" s="74"/>
      <x:c r="M8" s="74"/>
      <x:c r="N8" s="74"/>
      <x:c r="O8" s="77"/>
      <x:c r="P8" s="77"/>
      <x:c r="Q8" s="77"/>
      <x:c r="R8" s="77"/>
      <x:c r="S8" s="77"/>
      <x:c r="V8" s="74"/>
      <x:c r="W8" s="74"/>
      <x:c r="X8" s="74"/>
      <x:c r="Y8" s="74"/>
      <x:c r="Z8" s="77"/>
      <x:c r="AA8" s="74"/>
      <x:c r="AB8" s="77"/>
      <x:c r="AE8" s="74"/>
      <x:c r="AF8" s="74"/>
      <x:c r="AG8" s="74"/>
      <x:c r="AJ8" s="74" t="n">
        <x:f>SUM(V8:Y8)+AG8</x:f>
        <x:v>0</x:v>
      </x:c>
      <x:c r="AK8" s="74" t="n">
        <x:f>MAX(M8-N8,0)+MAX(AJ8-AA8,0)+AE8+AF8</x:f>
        <x:v>0</x:v>
      </x:c>
    </x:row>
    <x:row r="9">
      <x:c r="A9" s="76"/>
      <x:c r="H9" s="77"/>
      <x:c r="I9" s="77"/>
      <x:c r="L9" s="74"/>
      <x:c r="M9" s="74"/>
      <x:c r="N9" s="74"/>
      <x:c r="O9" s="77"/>
      <x:c r="P9" s="77"/>
      <x:c r="Q9" s="77"/>
      <x:c r="R9" s="77"/>
      <x:c r="S9" s="77"/>
      <x:c r="V9" s="74"/>
      <x:c r="W9" s="74"/>
      <x:c r="X9" s="74"/>
      <x:c r="Y9" s="74"/>
      <x:c r="Z9" s="77"/>
      <x:c r="AA9" s="74"/>
      <x:c r="AB9" s="77"/>
      <x:c r="AE9" s="74"/>
      <x:c r="AF9" s="74"/>
      <x:c r="AG9" s="74"/>
      <x:c r="AJ9" s="74" t="n">
        <x:f>SUM(V9:Y9)+AG9</x:f>
        <x:v>0</x:v>
      </x:c>
      <x:c r="AK9" s="74" t="n">
        <x:f>MAX(M9-N9,0)+MAX(AJ9-AA9,0)+AE9+AF9</x:f>
        <x:v>0</x:v>
      </x:c>
    </x:row>
    <x:row r="10">
      <x:c r="A10" s="76"/>
      <x:c r="H10" s="77"/>
      <x:c r="I10" s="77"/>
      <x:c r="L10" s="74"/>
      <x:c r="M10" s="74"/>
      <x:c r="N10" s="74"/>
      <x:c r="O10" s="77"/>
      <x:c r="P10" s="77"/>
      <x:c r="Q10" s="77"/>
      <x:c r="R10" s="77"/>
      <x:c r="S10" s="77"/>
      <x:c r="V10" s="74"/>
      <x:c r="W10" s="74"/>
      <x:c r="X10" s="74"/>
      <x:c r="Y10" s="74"/>
      <x:c r="Z10" s="77"/>
      <x:c r="AA10" s="74"/>
      <x:c r="AB10" s="77"/>
      <x:c r="AE10" s="74"/>
      <x:c r="AF10" s="74"/>
      <x:c r="AG10" s="74"/>
      <x:c r="AJ10" s="74" t="n">
        <x:f>SUM(V10:Y10)+AG10</x:f>
        <x:v>0</x:v>
      </x:c>
      <x:c r="AK10" s="74" t="n">
        <x:f>MAX(M10-N10,0)+MAX(AJ10-AA10,0)+AE10+AF10</x:f>
        <x:v>0</x:v>
      </x:c>
    </x:row>
    <x:row r="11">
      <x:c r="A11" s="76"/>
      <x:c r="H11" s="77"/>
      <x:c r="I11" s="77"/>
      <x:c r="L11" s="74"/>
      <x:c r="M11" s="74"/>
      <x:c r="N11" s="74"/>
      <x:c r="O11" s="77"/>
      <x:c r="P11" s="77"/>
      <x:c r="Q11" s="77"/>
      <x:c r="R11" s="77"/>
      <x:c r="S11" s="77"/>
      <x:c r="V11" s="74"/>
      <x:c r="W11" s="74"/>
      <x:c r="X11" s="74"/>
      <x:c r="Y11" s="74"/>
      <x:c r="Z11" s="77"/>
      <x:c r="AA11" s="74"/>
      <x:c r="AB11" s="77"/>
      <x:c r="AE11" s="74"/>
      <x:c r="AF11" s="74"/>
      <x:c r="AG11" s="74"/>
      <x:c r="AJ11" s="74" t="n">
        <x:f>SUM(V11:Y11)+AG11</x:f>
        <x:v>0</x:v>
      </x:c>
      <x:c r="AK11" s="74" t="n">
        <x:f>MAX(M11-N11,0)+MAX(AJ11-AA11,0)+AE11+AF11</x:f>
        <x:v>0</x:v>
      </x:c>
    </x:row>
    <x:row r="12">
      <x:c r="A12" s="76"/>
      <x:c r="H12" s="77"/>
      <x:c r="I12" s="77"/>
      <x:c r="L12" s="74"/>
      <x:c r="M12" s="74"/>
      <x:c r="N12" s="74"/>
      <x:c r="O12" s="77"/>
      <x:c r="P12" s="77"/>
      <x:c r="Q12" s="77"/>
      <x:c r="R12" s="77"/>
      <x:c r="S12" s="77"/>
      <x:c r="V12" s="74"/>
      <x:c r="W12" s="74"/>
      <x:c r="X12" s="74"/>
      <x:c r="Y12" s="74"/>
      <x:c r="Z12" s="77"/>
      <x:c r="AA12" s="74"/>
      <x:c r="AB12" s="77"/>
      <x:c r="AE12" s="74"/>
      <x:c r="AF12" s="74"/>
      <x:c r="AG12" s="74"/>
      <x:c r="AJ12" s="74" t="n">
        <x:f>SUM(V12:Y12)+AG12</x:f>
        <x:v>0</x:v>
      </x:c>
      <x:c r="AK12" s="74" t="n">
        <x:f>MAX(M12-N12,0)+MAX(AJ12-AA12,0)+AE12+AF12</x:f>
        <x:v>0</x:v>
      </x:c>
    </x:row>
    <x:row r="13">
      <x:c r="A13" s="76"/>
      <x:c r="H13" s="77"/>
      <x:c r="I13" s="77"/>
      <x:c r="L13" s="74"/>
      <x:c r="M13" s="74"/>
      <x:c r="N13" s="74"/>
      <x:c r="O13" s="77"/>
      <x:c r="P13" s="77"/>
      <x:c r="Q13" s="77"/>
      <x:c r="R13" s="77"/>
      <x:c r="S13" s="77"/>
      <x:c r="V13" s="74"/>
      <x:c r="W13" s="74"/>
      <x:c r="X13" s="74"/>
      <x:c r="Y13" s="74"/>
      <x:c r="Z13" s="77"/>
      <x:c r="AA13" s="74"/>
      <x:c r="AB13" s="77"/>
      <x:c r="AE13" s="74"/>
      <x:c r="AF13" s="74"/>
      <x:c r="AG13" s="74"/>
      <x:c r="AJ13" s="74" t="n">
        <x:f>SUM(V13:Y13)+AG13</x:f>
        <x:v>0</x:v>
      </x:c>
      <x:c r="AK13" s="74" t="n">
        <x:f>MAX(M13-N13,0)+MAX(AJ13-AA13,0)+AE13+AF13</x:f>
        <x:v>0</x:v>
      </x:c>
    </x:row>
    <x:row r="14">
      <x:c r="A14" s="76"/>
      <x:c r="H14" s="77"/>
      <x:c r="I14" s="77"/>
      <x:c r="L14" s="74"/>
      <x:c r="M14" s="74"/>
      <x:c r="N14" s="74"/>
      <x:c r="O14" s="77"/>
      <x:c r="P14" s="77"/>
      <x:c r="Q14" s="77"/>
      <x:c r="R14" s="77"/>
      <x:c r="S14" s="77"/>
      <x:c r="V14" s="74"/>
      <x:c r="W14" s="74"/>
      <x:c r="X14" s="74"/>
      <x:c r="Y14" s="74"/>
      <x:c r="Z14" s="77"/>
      <x:c r="AA14" s="74"/>
      <x:c r="AB14" s="77"/>
      <x:c r="AE14" s="74"/>
      <x:c r="AF14" s="74"/>
      <x:c r="AG14" s="74"/>
      <x:c r="AJ14" s="74" t="n">
        <x:f>SUM(V14:Y14)+AG14</x:f>
        <x:v>0</x:v>
      </x:c>
      <x:c r="AK14" s="74" t="n">
        <x:f>MAX(M14-N14,0)+MAX(AJ14-AA14,0)+AE14+AF14</x:f>
        <x:v>0</x:v>
      </x:c>
    </x:row>
    <x:row r="15">
      <x:c r="A15" s="76"/>
      <x:c r="H15" s="77"/>
      <x:c r="I15" s="77"/>
      <x:c r="L15" s="74"/>
      <x:c r="M15" s="74"/>
      <x:c r="N15" s="74"/>
      <x:c r="O15" s="77"/>
      <x:c r="P15" s="77"/>
      <x:c r="Q15" s="77"/>
      <x:c r="R15" s="77"/>
      <x:c r="S15" s="77"/>
      <x:c r="V15" s="74"/>
      <x:c r="W15" s="74"/>
      <x:c r="X15" s="74"/>
      <x:c r="Y15" s="74"/>
      <x:c r="Z15" s="77"/>
      <x:c r="AA15" s="74"/>
      <x:c r="AB15" s="77"/>
      <x:c r="AE15" s="74"/>
      <x:c r="AF15" s="74"/>
      <x:c r="AG15" s="74"/>
      <x:c r="AJ15" s="74" t="n">
        <x:f>SUM(V15:Y15)+AG15</x:f>
        <x:v>0</x:v>
      </x:c>
      <x:c r="AK15" s="74" t="n">
        <x:f>MAX(M15-N15,0)+MAX(AJ15-AA15,0)+AE15+AF15</x:f>
        <x:v>0</x:v>
      </x:c>
    </x:row>
    <x:row r="16">
      <x:c r="A16" s="76"/>
      <x:c r="H16" s="77"/>
      <x:c r="I16" s="77"/>
      <x:c r="L16" s="74"/>
      <x:c r="M16" s="74"/>
      <x:c r="N16" s="74"/>
      <x:c r="O16" s="77"/>
      <x:c r="P16" s="77"/>
      <x:c r="Q16" s="77"/>
      <x:c r="R16" s="77"/>
      <x:c r="S16" s="77"/>
      <x:c r="V16" s="74"/>
      <x:c r="W16" s="74"/>
      <x:c r="X16" s="74"/>
      <x:c r="Y16" s="74"/>
      <x:c r="Z16" s="77"/>
      <x:c r="AA16" s="74"/>
      <x:c r="AB16" s="77"/>
      <x:c r="AE16" s="74"/>
      <x:c r="AF16" s="74"/>
      <x:c r="AG16" s="74"/>
      <x:c r="AJ16" s="74" t="n">
        <x:f>SUM(V16:Y16)+AG16</x:f>
        <x:v>0</x:v>
      </x:c>
      <x:c r="AK16" s="74" t="n">
        <x:f>MAX(M16-N16,0)+MAX(AJ16-AA16,0)+AE16+AF16</x:f>
        <x:v>0</x:v>
      </x:c>
    </x:row>
    <x:row r="17">
      <x:c r="A17" s="76"/>
      <x:c r="H17" s="77"/>
      <x:c r="I17" s="77"/>
      <x:c r="L17" s="74"/>
      <x:c r="M17" s="74"/>
      <x:c r="N17" s="74"/>
      <x:c r="O17" s="77"/>
      <x:c r="P17" s="77"/>
      <x:c r="Q17" s="77"/>
      <x:c r="R17" s="77"/>
      <x:c r="S17" s="77"/>
      <x:c r="V17" s="74"/>
      <x:c r="W17" s="74"/>
      <x:c r="X17" s="74"/>
      <x:c r="Y17" s="74"/>
      <x:c r="Z17" s="77"/>
      <x:c r="AA17" s="74"/>
      <x:c r="AB17" s="77"/>
      <x:c r="AE17" s="74"/>
      <x:c r="AF17" s="74"/>
      <x:c r="AG17" s="74"/>
      <x:c r="AJ17" s="74" t="n">
        <x:f>SUM(V17:Y17)+AG17</x:f>
        <x:v>0</x:v>
      </x:c>
      <x:c r="AK17" s="74" t="n">
        <x:f>MAX(M17-N17,0)+MAX(AJ17-AA17,0)+AE17+AF17</x:f>
        <x:v>0</x:v>
      </x:c>
    </x:row>
    <x:row r="18">
      <x:c r="A18" s="76"/>
      <x:c r="H18" s="77"/>
      <x:c r="I18" s="77"/>
      <x:c r="L18" s="74"/>
      <x:c r="M18" s="74"/>
      <x:c r="N18" s="74"/>
      <x:c r="O18" s="77"/>
      <x:c r="P18" s="77"/>
      <x:c r="Q18" s="77"/>
      <x:c r="R18" s="77"/>
      <x:c r="S18" s="77"/>
      <x:c r="V18" s="74"/>
      <x:c r="W18" s="74"/>
      <x:c r="X18" s="74"/>
      <x:c r="Y18" s="74"/>
      <x:c r="Z18" s="77"/>
      <x:c r="AA18" s="74"/>
      <x:c r="AB18" s="77"/>
      <x:c r="AE18" s="74"/>
      <x:c r="AF18" s="74"/>
      <x:c r="AG18" s="74"/>
      <x:c r="AJ18" s="74" t="n">
        <x:f>SUM(V18:Y18)+AG18</x:f>
        <x:v>0</x:v>
      </x:c>
      <x:c r="AK18" s="74" t="n">
        <x:f>MAX(M18-N18,0)+MAX(AJ18-AA18,0)+AE18+AF18</x:f>
        <x:v>0</x:v>
      </x:c>
    </x:row>
    <x:row r="19">
      <x:c r="A19" s="76"/>
      <x:c r="H19" s="77"/>
      <x:c r="I19" s="77"/>
      <x:c r="L19" s="74"/>
      <x:c r="M19" s="74"/>
      <x:c r="N19" s="74"/>
      <x:c r="O19" s="77"/>
      <x:c r="P19" s="77"/>
      <x:c r="Q19" s="77"/>
      <x:c r="R19" s="77"/>
      <x:c r="S19" s="77"/>
      <x:c r="V19" s="74"/>
      <x:c r="W19" s="74"/>
      <x:c r="X19" s="74"/>
      <x:c r="Y19" s="74"/>
      <x:c r="Z19" s="77"/>
      <x:c r="AA19" s="74"/>
      <x:c r="AB19" s="77"/>
      <x:c r="AE19" s="74"/>
      <x:c r="AF19" s="74"/>
      <x:c r="AG19" s="74"/>
      <x:c r="AJ19" s="74" t="n">
        <x:f>SUM(V19:Y19)+AG19</x:f>
        <x:v>0</x:v>
      </x:c>
      <x:c r="AK19" s="74" t="n">
        <x:f>MAX(M19-N19,0)+MAX(AJ19-AA19,0)+AE19+AF19</x:f>
        <x:v>0</x:v>
      </x:c>
    </x:row>
    <x:row r="20">
      <x:c r="A20" s="76"/>
      <x:c r="H20" s="77"/>
      <x:c r="I20" s="77"/>
      <x:c r="L20" s="74"/>
      <x:c r="M20" s="74"/>
      <x:c r="N20" s="74"/>
      <x:c r="O20" s="77"/>
      <x:c r="P20" s="77"/>
      <x:c r="Q20" s="77"/>
      <x:c r="R20" s="77"/>
      <x:c r="S20" s="77"/>
      <x:c r="V20" s="74"/>
      <x:c r="W20" s="74"/>
      <x:c r="X20" s="74"/>
      <x:c r="Y20" s="74"/>
      <x:c r="Z20" s="77"/>
      <x:c r="AA20" s="74"/>
      <x:c r="AB20" s="77"/>
      <x:c r="AE20" s="74"/>
      <x:c r="AF20" s="74"/>
      <x:c r="AG20" s="74"/>
      <x:c r="AJ20" s="74" t="n">
        <x:f>SUM(V20:Y20)+AG20</x:f>
        <x:v>0</x:v>
      </x:c>
      <x:c r="AK20" s="74" t="n">
        <x:f>MAX(M20-N20,0)+MAX(AJ20-AA20,0)+AE20+AF20</x:f>
        <x:v>0</x:v>
      </x:c>
    </x:row>
    <x:row r="21">
      <x:c r="A21" s="76"/>
      <x:c r="H21" s="77"/>
      <x:c r="I21" s="77"/>
      <x:c r="L21" s="74"/>
      <x:c r="M21" s="74"/>
      <x:c r="N21" s="74"/>
      <x:c r="O21" s="77"/>
      <x:c r="P21" s="77"/>
      <x:c r="Q21" s="77"/>
      <x:c r="R21" s="77"/>
      <x:c r="S21" s="77"/>
      <x:c r="V21" s="74"/>
      <x:c r="W21" s="74"/>
      <x:c r="X21" s="74"/>
      <x:c r="Y21" s="74"/>
      <x:c r="Z21" s="77"/>
      <x:c r="AA21" s="74"/>
      <x:c r="AB21" s="77"/>
      <x:c r="AE21" s="74"/>
      <x:c r="AF21" s="74"/>
      <x:c r="AG21" s="74"/>
      <x:c r="AJ21" s="74" t="n">
        <x:f>SUM(V21:Y21)+AG21</x:f>
        <x:v>0</x:v>
      </x:c>
      <x:c r="AK21" s="74" t="n">
        <x:f>MAX(M21-N21,0)+MAX(AJ21-AA21,0)+AE21+AF21</x:f>
        <x:v>0</x:v>
      </x:c>
    </x:row>
    <x:row r="22">
      <x:c r="A22" s="76"/>
      <x:c r="H22" s="77"/>
      <x:c r="I22" s="77"/>
      <x:c r="L22" s="74"/>
      <x:c r="M22" s="74"/>
      <x:c r="N22" s="74"/>
      <x:c r="O22" s="77"/>
      <x:c r="P22" s="77"/>
      <x:c r="Q22" s="77"/>
      <x:c r="R22" s="77"/>
      <x:c r="S22" s="77"/>
      <x:c r="V22" s="74"/>
      <x:c r="W22" s="74"/>
      <x:c r="X22" s="74"/>
      <x:c r="Y22" s="74"/>
      <x:c r="Z22" s="77"/>
      <x:c r="AA22" s="74"/>
      <x:c r="AB22" s="77"/>
      <x:c r="AE22" s="74"/>
      <x:c r="AF22" s="74"/>
      <x:c r="AG22" s="74"/>
      <x:c r="AJ22" s="74" t="n">
        <x:f>SUM(V22:Y22)+AG22</x:f>
        <x:v>0</x:v>
      </x:c>
      <x:c r="AK22" s="74" t="n">
        <x:f>MAX(M22-N22,0)+MAX(AJ22-AA22,0)+AE22+AF22</x:f>
        <x:v>0</x:v>
      </x:c>
    </x:row>
    <x:row r="23">
      <x:c r="A23" s="76"/>
      <x:c r="H23" s="77"/>
      <x:c r="I23" s="77"/>
      <x:c r="L23" s="74"/>
      <x:c r="M23" s="74"/>
      <x:c r="N23" s="74"/>
      <x:c r="O23" s="77"/>
      <x:c r="P23" s="77"/>
      <x:c r="Q23" s="77"/>
      <x:c r="R23" s="77"/>
      <x:c r="S23" s="77"/>
      <x:c r="V23" s="74"/>
      <x:c r="W23" s="74"/>
      <x:c r="X23" s="74"/>
      <x:c r="Y23" s="74"/>
      <x:c r="Z23" s="77"/>
      <x:c r="AA23" s="74"/>
      <x:c r="AB23" s="77"/>
      <x:c r="AE23" s="74"/>
      <x:c r="AF23" s="74"/>
      <x:c r="AG23" s="74"/>
      <x:c r="AJ23" s="74" t="n">
        <x:f>SUM(V23:Y23)+AG23</x:f>
        <x:v>0</x:v>
      </x:c>
      <x:c r="AK23" s="74" t="n">
        <x:f>MAX(M23-N23,0)+MAX(AJ23-AA23,0)+AE23+AF23</x:f>
        <x:v>0</x:v>
      </x:c>
    </x:row>
    <x:row r="24">
      <x:c r="A24" s="76"/>
      <x:c r="H24" s="77"/>
      <x:c r="I24" s="77"/>
      <x:c r="L24" s="74"/>
      <x:c r="M24" s="74"/>
      <x:c r="N24" s="74"/>
      <x:c r="O24" s="77"/>
      <x:c r="P24" s="77"/>
      <x:c r="Q24" s="77"/>
      <x:c r="R24" s="77"/>
      <x:c r="S24" s="77"/>
      <x:c r="V24" s="74"/>
      <x:c r="W24" s="74"/>
      <x:c r="X24" s="74"/>
      <x:c r="Y24" s="74"/>
      <x:c r="Z24" s="77"/>
      <x:c r="AA24" s="74"/>
      <x:c r="AB24" s="77"/>
      <x:c r="AE24" s="74"/>
      <x:c r="AF24" s="74"/>
      <x:c r="AG24" s="74"/>
      <x:c r="AJ24" s="74" t="n">
        <x:f>SUM(V24:Y24)+AG24</x:f>
        <x:v>0</x:v>
      </x:c>
      <x:c r="AK24" s="74" t="n">
        <x:f>MAX(M24-N24,0)+MAX(AJ24-AA24,0)+AE24+AF24</x:f>
        <x:v>0</x:v>
      </x:c>
    </x:row>
    <x:row r="25">
      <x:c r="A25" s="76"/>
      <x:c r="H25" s="77"/>
      <x:c r="I25" s="77"/>
      <x:c r="L25" s="74"/>
      <x:c r="M25" s="74"/>
      <x:c r="N25" s="74"/>
      <x:c r="O25" s="77"/>
      <x:c r="P25" s="77"/>
      <x:c r="Q25" s="77"/>
      <x:c r="R25" s="77"/>
      <x:c r="S25" s="77"/>
      <x:c r="V25" s="74"/>
      <x:c r="W25" s="74"/>
      <x:c r="X25" s="74"/>
      <x:c r="Y25" s="74"/>
      <x:c r="Z25" s="77"/>
      <x:c r="AA25" s="74"/>
      <x:c r="AB25" s="77"/>
      <x:c r="AE25" s="74"/>
      <x:c r="AF25" s="74"/>
      <x:c r="AG25" s="74"/>
      <x:c r="AJ25" s="74" t="n">
        <x:f>SUM(V25:Y25)+AG25</x:f>
        <x:v>0</x:v>
      </x:c>
      <x:c r="AK25" s="74" t="n">
        <x:f>MAX(M25-N25,0)+MAX(AJ25-AA25,0)+AE25+AF25</x:f>
        <x:v>0</x:v>
      </x:c>
    </x:row>
    <x:row r="26">
      <x:c r="A26" s="76"/>
      <x:c r="H26" s="77"/>
      <x:c r="I26" s="77"/>
      <x:c r="L26" s="74"/>
      <x:c r="M26" s="74"/>
      <x:c r="N26" s="74"/>
      <x:c r="O26" s="77"/>
      <x:c r="P26" s="77"/>
      <x:c r="Q26" s="77"/>
      <x:c r="R26" s="77"/>
      <x:c r="S26" s="77"/>
      <x:c r="V26" s="74"/>
      <x:c r="W26" s="74"/>
      <x:c r="X26" s="74"/>
      <x:c r="Y26" s="74"/>
      <x:c r="Z26" s="77"/>
      <x:c r="AA26" s="74"/>
      <x:c r="AB26" s="77"/>
      <x:c r="AE26" s="74"/>
      <x:c r="AF26" s="74"/>
      <x:c r="AG26" s="74"/>
      <x:c r="AJ26" s="74" t="n">
        <x:f>SUM(V26:Y26)+AG26</x:f>
        <x:v>0</x:v>
      </x:c>
      <x:c r="AK26" s="74" t="n">
        <x:f>MAX(M26-N26,0)+MAX(AJ26-AA26,0)+AE26+AF26</x:f>
        <x:v>0</x:v>
      </x:c>
    </x:row>
    <x:row r="27">
      <x:c r="A27" s="76"/>
      <x:c r="H27" s="77"/>
      <x:c r="I27" s="77"/>
      <x:c r="L27" s="74"/>
      <x:c r="M27" s="74"/>
      <x:c r="N27" s="74"/>
      <x:c r="O27" s="77"/>
      <x:c r="P27" s="77"/>
      <x:c r="Q27" s="77"/>
      <x:c r="R27" s="77"/>
      <x:c r="S27" s="77"/>
      <x:c r="V27" s="74"/>
      <x:c r="W27" s="74"/>
      <x:c r="X27" s="74"/>
      <x:c r="Y27" s="74"/>
      <x:c r="Z27" s="77"/>
      <x:c r="AA27" s="74"/>
      <x:c r="AB27" s="77"/>
      <x:c r="AE27" s="74"/>
      <x:c r="AF27" s="74"/>
      <x:c r="AG27" s="74"/>
      <x:c r="AJ27" s="74" t="n">
        <x:f>SUM(V27:Y27)+AG27</x:f>
        <x:v>0</x:v>
      </x:c>
      <x:c r="AK27" s="74" t="n">
        <x:f>MAX(M27-N27,0)+MAX(AJ27-AA27,0)+AE27+AF27</x:f>
        <x:v>0</x:v>
      </x:c>
    </x:row>
    <x:row r="28">
      <x:c r="A28" s="76"/>
      <x:c r="H28" s="77"/>
      <x:c r="I28" s="77"/>
      <x:c r="L28" s="74"/>
      <x:c r="M28" s="74"/>
      <x:c r="N28" s="74"/>
      <x:c r="O28" s="77"/>
      <x:c r="P28" s="77"/>
      <x:c r="Q28" s="77"/>
      <x:c r="R28" s="77"/>
      <x:c r="S28" s="77"/>
      <x:c r="V28" s="74"/>
      <x:c r="W28" s="74"/>
      <x:c r="X28" s="74"/>
      <x:c r="Y28" s="74"/>
      <x:c r="Z28" s="77"/>
      <x:c r="AA28" s="74"/>
      <x:c r="AB28" s="77"/>
      <x:c r="AE28" s="74"/>
      <x:c r="AF28" s="74"/>
      <x:c r="AG28" s="74"/>
      <x:c r="AJ28" s="74" t="n">
        <x:f>SUM(V28:Y28)+AG28</x:f>
        <x:v>0</x:v>
      </x:c>
      <x:c r="AK28" s="74" t="n">
        <x:f>MAX(M28-N28,0)+MAX(AJ28-AA28,0)+AE28+AF28</x:f>
        <x:v>0</x:v>
      </x:c>
    </x:row>
    <x:row r="29">
      <x:c r="A29" s="76"/>
      <x:c r="H29" s="77"/>
      <x:c r="I29" s="77"/>
      <x:c r="L29" s="74"/>
      <x:c r="M29" s="74"/>
      <x:c r="N29" s="74"/>
      <x:c r="O29" s="77"/>
      <x:c r="P29" s="77"/>
      <x:c r="Q29" s="77"/>
      <x:c r="R29" s="77"/>
      <x:c r="S29" s="77"/>
      <x:c r="V29" s="74"/>
      <x:c r="W29" s="74"/>
      <x:c r="X29" s="74"/>
      <x:c r="Y29" s="74"/>
      <x:c r="Z29" s="77"/>
      <x:c r="AA29" s="74"/>
      <x:c r="AB29" s="77"/>
      <x:c r="AE29" s="74"/>
      <x:c r="AF29" s="74"/>
      <x:c r="AG29" s="74"/>
      <x:c r="AJ29" s="74" t="n">
        <x:f>SUM(V29:Y29)+AG29</x:f>
        <x:v>0</x:v>
      </x:c>
      <x:c r="AK29" s="74" t="n">
        <x:f>MAX(M29-N29,0)+MAX(AJ29-AA29,0)+AE29+AF29</x:f>
        <x:v>0</x:v>
      </x:c>
    </x:row>
    <x:row r="30">
      <x:c r="A30" s="76"/>
      <x:c r="H30" s="77"/>
      <x:c r="I30" s="77"/>
      <x:c r="L30" s="74"/>
      <x:c r="M30" s="74"/>
      <x:c r="N30" s="74"/>
      <x:c r="O30" s="77"/>
      <x:c r="P30" s="77"/>
      <x:c r="Q30" s="77"/>
      <x:c r="R30" s="77"/>
      <x:c r="S30" s="77"/>
      <x:c r="V30" s="74"/>
      <x:c r="W30" s="74"/>
      <x:c r="X30" s="74"/>
      <x:c r="Y30" s="74"/>
      <x:c r="Z30" s="77"/>
      <x:c r="AA30" s="74"/>
      <x:c r="AB30" s="77"/>
      <x:c r="AE30" s="74"/>
      <x:c r="AF30" s="74"/>
      <x:c r="AG30" s="74"/>
      <x:c r="AJ30" s="74" t="n">
        <x:f>SUM(V30:Y30)+AG30</x:f>
        <x:v>0</x:v>
      </x:c>
      <x:c r="AK30" s="74" t="n">
        <x:f>MAX(M30-N30,0)+MAX(AJ30-AA30,0)+AE30+AF30</x:f>
        <x:v>0</x:v>
      </x:c>
    </x:row>
    <x:row r="31">
      <x:c r="A31" s="76"/>
      <x:c r="H31" s="77"/>
      <x:c r="I31" s="77"/>
      <x:c r="L31" s="74"/>
      <x:c r="M31" s="74"/>
      <x:c r="N31" s="74"/>
      <x:c r="O31" s="77"/>
      <x:c r="P31" s="77"/>
      <x:c r="Q31" s="77"/>
      <x:c r="R31" s="77"/>
      <x:c r="S31" s="77"/>
      <x:c r="V31" s="74"/>
      <x:c r="W31" s="74"/>
      <x:c r="X31" s="74"/>
      <x:c r="Y31" s="74"/>
      <x:c r="Z31" s="77"/>
      <x:c r="AA31" s="74"/>
      <x:c r="AB31" s="77"/>
      <x:c r="AE31" s="74"/>
      <x:c r="AF31" s="74"/>
      <x:c r="AG31" s="74"/>
      <x:c r="AJ31" s="74" t="n">
        <x:f>SUM(V31:Y31)+AG31</x:f>
        <x:v>0</x:v>
      </x:c>
      <x:c r="AK31" s="74" t="n">
        <x:f>MAX(M31-N31,0)+MAX(AJ31-AA31,0)+AE31+AF31</x:f>
        <x:v>0</x:v>
      </x:c>
    </x:row>
    <x:row r="32">
      <x:c r="A32" s="76"/>
      <x:c r="H32" s="77"/>
      <x:c r="I32" s="77"/>
      <x:c r="L32" s="74"/>
      <x:c r="M32" s="74"/>
      <x:c r="N32" s="74"/>
      <x:c r="O32" s="77"/>
      <x:c r="P32" s="77"/>
      <x:c r="Q32" s="77"/>
      <x:c r="R32" s="77"/>
      <x:c r="S32" s="77"/>
      <x:c r="V32" s="74"/>
      <x:c r="W32" s="74"/>
      <x:c r="X32" s="74"/>
      <x:c r="Y32" s="74"/>
      <x:c r="Z32" s="77"/>
      <x:c r="AA32" s="74"/>
      <x:c r="AB32" s="77"/>
      <x:c r="AE32" s="74"/>
      <x:c r="AF32" s="74"/>
      <x:c r="AG32" s="74"/>
      <x:c r="AJ32" s="74" t="n">
        <x:f>SUM(V32:Y32)+AG32</x:f>
        <x:v>0</x:v>
      </x:c>
      <x:c r="AK32" s="74" t="n">
        <x:f>MAX(M32-N32,0)+MAX(AJ32-AA32,0)+AE32+AF32</x:f>
        <x:v>0</x:v>
      </x:c>
    </x:row>
    <x:row r="33">
      <x:c r="A33" s="76"/>
      <x:c r="H33" s="77"/>
      <x:c r="I33" s="77"/>
      <x:c r="L33" s="74"/>
      <x:c r="M33" s="74"/>
      <x:c r="N33" s="74"/>
      <x:c r="O33" s="77"/>
      <x:c r="P33" s="77"/>
      <x:c r="Q33" s="77"/>
      <x:c r="R33" s="77"/>
      <x:c r="S33" s="77"/>
      <x:c r="V33" s="74"/>
      <x:c r="W33" s="74"/>
      <x:c r="X33" s="74"/>
      <x:c r="Y33" s="74"/>
      <x:c r="Z33" s="77"/>
      <x:c r="AA33" s="74"/>
      <x:c r="AB33" s="77"/>
      <x:c r="AE33" s="74"/>
      <x:c r="AF33" s="74"/>
      <x:c r="AG33" s="74"/>
      <x:c r="AJ33" s="74" t="n">
        <x:f>SUM(V33:Y33)+AG33</x:f>
        <x:v>0</x:v>
      </x:c>
      <x:c r="AK33" s="74" t="n">
        <x:f>MAX(M33-N33,0)+MAX(AJ33-AA33,0)+AE33+AF33</x:f>
        <x:v>0</x:v>
      </x:c>
    </x:row>
    <x:row r="34">
      <x:c r="A34" s="76"/>
      <x:c r="H34" s="77"/>
      <x:c r="I34" s="77"/>
      <x:c r="L34" s="74"/>
      <x:c r="M34" s="74"/>
      <x:c r="N34" s="74"/>
      <x:c r="O34" s="77"/>
      <x:c r="P34" s="77"/>
      <x:c r="Q34" s="77"/>
      <x:c r="R34" s="77"/>
      <x:c r="S34" s="77"/>
      <x:c r="V34" s="74"/>
      <x:c r="W34" s="74"/>
      <x:c r="X34" s="74"/>
      <x:c r="Y34" s="74"/>
      <x:c r="Z34" s="77"/>
      <x:c r="AA34" s="74"/>
      <x:c r="AB34" s="77"/>
      <x:c r="AE34" s="74"/>
      <x:c r="AF34" s="74"/>
      <x:c r="AG34" s="74"/>
      <x:c r="AJ34" s="74" t="n">
        <x:f>SUM(V34:Y34)+AG34</x:f>
        <x:v>0</x:v>
      </x:c>
      <x:c r="AK34" s="74" t="n">
        <x:f>MAX(M34-N34,0)+MAX(AJ34-AA34,0)+AE34+AF34</x:f>
        <x:v>0</x:v>
      </x:c>
    </x:row>
    <x:row r="35">
      <x:c r="A35" s="76"/>
      <x:c r="H35" s="77"/>
      <x:c r="I35" s="77"/>
      <x:c r="L35" s="74"/>
      <x:c r="M35" s="74"/>
      <x:c r="N35" s="74"/>
      <x:c r="O35" s="77"/>
      <x:c r="P35" s="77"/>
      <x:c r="Q35" s="77"/>
      <x:c r="R35" s="77"/>
      <x:c r="S35" s="77"/>
      <x:c r="V35" s="74"/>
      <x:c r="W35" s="74"/>
      <x:c r="X35" s="74"/>
      <x:c r="Y35" s="74"/>
      <x:c r="Z35" s="77"/>
      <x:c r="AA35" s="74"/>
      <x:c r="AB35" s="77"/>
      <x:c r="AE35" s="74"/>
      <x:c r="AF35" s="74"/>
      <x:c r="AG35" s="74"/>
      <x:c r="AJ35" s="74" t="n">
        <x:f>SUM(V35:Y35)+AG35</x:f>
        <x:v>0</x:v>
      </x:c>
      <x:c r="AK35" s="74" t="n">
        <x:f>MAX(M35-N35,0)+MAX(AJ35-AA35,0)+AE35+AF35</x:f>
        <x:v>0</x:v>
      </x:c>
    </x:row>
    <x:row r="36">
      <x:c r="A36" s="76"/>
      <x:c r="H36" s="77"/>
      <x:c r="I36" s="77"/>
      <x:c r="L36" s="74"/>
      <x:c r="M36" s="74"/>
      <x:c r="N36" s="74"/>
      <x:c r="O36" s="77"/>
      <x:c r="P36" s="77"/>
      <x:c r="Q36" s="77"/>
      <x:c r="R36" s="77"/>
      <x:c r="S36" s="77"/>
      <x:c r="V36" s="74"/>
      <x:c r="W36" s="74"/>
      <x:c r="X36" s="74"/>
      <x:c r="Y36" s="74"/>
      <x:c r="Z36" s="77"/>
      <x:c r="AA36" s="74"/>
      <x:c r="AB36" s="77"/>
      <x:c r="AE36" s="74"/>
      <x:c r="AF36" s="74"/>
      <x:c r="AG36" s="74"/>
      <x:c r="AJ36" s="74" t="n">
        <x:f>SUM(V36:Y36)+AG36</x:f>
        <x:v>0</x:v>
      </x:c>
      <x:c r="AK36" s="74" t="n">
        <x:f>MAX(M36-N36,0)+MAX(AJ36-AA36,0)+AE36+AF36</x:f>
        <x:v>0</x:v>
      </x:c>
    </x:row>
    <x:row r="37">
      <x:c r="A37" s="76"/>
      <x:c r="H37" s="77"/>
      <x:c r="I37" s="77"/>
      <x:c r="L37" s="74"/>
      <x:c r="M37" s="74"/>
      <x:c r="N37" s="74"/>
      <x:c r="O37" s="77"/>
      <x:c r="P37" s="77"/>
      <x:c r="Q37" s="77"/>
      <x:c r="R37" s="77"/>
      <x:c r="S37" s="77"/>
      <x:c r="V37" s="74"/>
      <x:c r="W37" s="74"/>
      <x:c r="X37" s="74"/>
      <x:c r="Y37" s="74"/>
      <x:c r="Z37" s="77"/>
      <x:c r="AA37" s="74"/>
      <x:c r="AB37" s="77"/>
      <x:c r="AE37" s="74"/>
      <x:c r="AF37" s="74"/>
      <x:c r="AG37" s="74"/>
      <x:c r="AJ37" s="74" t="n">
        <x:f>SUM(V37:Y37)+AG37</x:f>
        <x:v>0</x:v>
      </x:c>
      <x:c r="AK37" s="74" t="n">
        <x:f>MAX(M37-N37,0)+MAX(AJ37-AA37,0)+AE37+AF37</x:f>
        <x:v>0</x:v>
      </x:c>
    </x:row>
    <x:row r="38">
      <x:c r="A38" s="76"/>
      <x:c r="H38" s="77"/>
      <x:c r="I38" s="77"/>
      <x:c r="L38" s="74"/>
      <x:c r="M38" s="74"/>
      <x:c r="N38" s="74"/>
      <x:c r="O38" s="77"/>
      <x:c r="P38" s="77"/>
      <x:c r="Q38" s="77"/>
      <x:c r="R38" s="77"/>
      <x:c r="S38" s="77"/>
      <x:c r="V38" s="74"/>
      <x:c r="W38" s="74"/>
      <x:c r="X38" s="74"/>
      <x:c r="Y38" s="74"/>
      <x:c r="Z38" s="77"/>
      <x:c r="AA38" s="74"/>
      <x:c r="AB38" s="77"/>
      <x:c r="AE38" s="74"/>
      <x:c r="AF38" s="74"/>
      <x:c r="AG38" s="74"/>
      <x:c r="AJ38" s="74" t="n">
        <x:f>SUM(V38:Y38)+AG38</x:f>
        <x:v>0</x:v>
      </x:c>
      <x:c r="AK38" s="74" t="n">
        <x:f>MAX(M38-N38,0)+MAX(AJ38-AA38,0)+AE38+AF38</x:f>
        <x:v>0</x:v>
      </x:c>
    </x:row>
    <x:row r="39">
      <x:c r="A39" s="76"/>
      <x:c r="H39" s="77"/>
      <x:c r="I39" s="77"/>
      <x:c r="L39" s="74"/>
      <x:c r="M39" s="74"/>
      <x:c r="N39" s="74"/>
      <x:c r="O39" s="77"/>
      <x:c r="P39" s="77"/>
      <x:c r="Q39" s="77"/>
      <x:c r="R39" s="77"/>
      <x:c r="S39" s="77"/>
      <x:c r="V39" s="74"/>
      <x:c r="W39" s="74"/>
      <x:c r="X39" s="74"/>
      <x:c r="Y39" s="74"/>
      <x:c r="Z39" s="77"/>
      <x:c r="AA39" s="74"/>
      <x:c r="AB39" s="77"/>
      <x:c r="AE39" s="74"/>
      <x:c r="AF39" s="74"/>
      <x:c r="AG39" s="74"/>
      <x:c r="AJ39" s="74" t="n">
        <x:f>SUM(V39:Y39)+AG39</x:f>
        <x:v>0</x:v>
      </x:c>
      <x:c r="AK39" s="74" t="n">
        <x:f>MAX(M39-N39,0)+MAX(AJ39-AA39,0)+AE39+AF39</x:f>
        <x:v>0</x:v>
      </x:c>
    </x:row>
    <x:row r="40">
      <x:c r="A40" s="76"/>
      <x:c r="H40" s="77"/>
      <x:c r="I40" s="77"/>
      <x:c r="L40" s="74"/>
      <x:c r="M40" s="74"/>
      <x:c r="N40" s="74"/>
      <x:c r="O40" s="77"/>
      <x:c r="P40" s="77"/>
      <x:c r="Q40" s="77"/>
      <x:c r="R40" s="77"/>
      <x:c r="S40" s="77"/>
      <x:c r="V40" s="74"/>
      <x:c r="W40" s="74"/>
      <x:c r="X40" s="74"/>
      <x:c r="Y40" s="74"/>
      <x:c r="Z40" s="77"/>
      <x:c r="AA40" s="74"/>
      <x:c r="AB40" s="77"/>
      <x:c r="AE40" s="74"/>
      <x:c r="AF40" s="74"/>
      <x:c r="AG40" s="74"/>
      <x:c r="AJ40" s="74" t="n">
        <x:f>SUM(V40:Y40)+AG40</x:f>
        <x:v>0</x:v>
      </x:c>
      <x:c r="AK40" s="74" t="n">
        <x:f>MAX(M40-N40,0)+MAX(AJ40-AA40,0)+AE40+AF40</x:f>
        <x:v>0</x:v>
      </x:c>
    </x:row>
    <x:row r="41">
      <x:c r="A41" s="76"/>
      <x:c r="H41" s="77"/>
      <x:c r="I41" s="77"/>
      <x:c r="L41" s="74"/>
      <x:c r="M41" s="74"/>
      <x:c r="N41" s="74"/>
      <x:c r="O41" s="77"/>
      <x:c r="P41" s="77"/>
      <x:c r="Q41" s="77"/>
      <x:c r="R41" s="77"/>
      <x:c r="S41" s="77"/>
      <x:c r="V41" s="74"/>
      <x:c r="W41" s="74"/>
      <x:c r="X41" s="74"/>
      <x:c r="Y41" s="74"/>
      <x:c r="Z41" s="77"/>
      <x:c r="AA41" s="74"/>
      <x:c r="AB41" s="77"/>
      <x:c r="AE41" s="74"/>
      <x:c r="AF41" s="74"/>
      <x:c r="AG41" s="74"/>
      <x:c r="AJ41" s="74" t="n">
        <x:f>SUM(V41:Y41)+AG41</x:f>
        <x:v>0</x:v>
      </x:c>
      <x:c r="AK41" s="74" t="n">
        <x:f>MAX(M41-N41,0)+MAX(AJ41-AA41,0)+AE41+AF41</x:f>
        <x:v>0</x:v>
      </x:c>
    </x:row>
    <x:row r="42">
      <x:c r="A42" s="76"/>
      <x:c r="H42" s="77"/>
      <x:c r="I42" s="77"/>
      <x:c r="L42" s="74"/>
      <x:c r="M42" s="74"/>
      <x:c r="N42" s="74"/>
      <x:c r="O42" s="77"/>
      <x:c r="P42" s="77"/>
      <x:c r="Q42" s="77"/>
      <x:c r="R42" s="77"/>
      <x:c r="S42" s="77"/>
      <x:c r="V42" s="74"/>
      <x:c r="W42" s="74"/>
      <x:c r="X42" s="74"/>
      <x:c r="Y42" s="74"/>
      <x:c r="Z42" s="77"/>
      <x:c r="AA42" s="74"/>
      <x:c r="AB42" s="77"/>
      <x:c r="AE42" s="74"/>
      <x:c r="AF42" s="74"/>
      <x:c r="AG42" s="74"/>
      <x:c r="AJ42" s="74" t="n">
        <x:f>SUM(V42:Y42)+AG42</x:f>
        <x:v>0</x:v>
      </x:c>
      <x:c r="AK42" s="74" t="n">
        <x:f>MAX(M42-N42,0)+MAX(AJ42-AA42,0)+AE42+AF42</x:f>
        <x:v>0</x:v>
      </x:c>
    </x:row>
    <x:row r="43">
      <x:c r="A43" s="76"/>
      <x:c r="H43" s="77"/>
      <x:c r="I43" s="77"/>
      <x:c r="L43" s="74"/>
      <x:c r="M43" s="74"/>
      <x:c r="N43" s="74"/>
      <x:c r="O43" s="77"/>
      <x:c r="P43" s="77"/>
      <x:c r="Q43" s="77"/>
      <x:c r="R43" s="77"/>
      <x:c r="S43" s="77"/>
      <x:c r="V43" s="74"/>
      <x:c r="W43" s="74"/>
      <x:c r="X43" s="74"/>
      <x:c r="Y43" s="74"/>
      <x:c r="Z43" s="77"/>
      <x:c r="AA43" s="74"/>
      <x:c r="AB43" s="77"/>
      <x:c r="AE43" s="74"/>
      <x:c r="AF43" s="74"/>
      <x:c r="AG43" s="74"/>
      <x:c r="AJ43" s="74" t="n">
        <x:f>SUM(V43:Y43)+AG43</x:f>
        <x:v>0</x:v>
      </x:c>
      <x:c r="AK43" s="74" t="n">
        <x:f>MAX(M43-N43,0)+MAX(AJ43-AA43,0)+AE43+AF43</x:f>
        <x:v>0</x:v>
      </x:c>
    </x:row>
    <x:row r="44">
      <x:c r="A44" s="76"/>
      <x:c r="H44" s="77"/>
      <x:c r="I44" s="77"/>
      <x:c r="L44" s="74"/>
      <x:c r="M44" s="74"/>
      <x:c r="N44" s="74"/>
      <x:c r="O44" s="77"/>
      <x:c r="P44" s="77"/>
      <x:c r="Q44" s="77"/>
      <x:c r="R44" s="77"/>
      <x:c r="S44" s="77"/>
      <x:c r="V44" s="74"/>
      <x:c r="W44" s="74"/>
      <x:c r="X44" s="74"/>
      <x:c r="Y44" s="74"/>
      <x:c r="Z44" s="77"/>
      <x:c r="AA44" s="74"/>
      <x:c r="AB44" s="77"/>
      <x:c r="AE44" s="74"/>
      <x:c r="AF44" s="74"/>
      <x:c r="AG44" s="74"/>
      <x:c r="AJ44" s="74" t="n">
        <x:f>SUM(V44:Y44)+AG44</x:f>
        <x:v>0</x:v>
      </x:c>
      <x:c r="AK44" s="74" t="n">
        <x:f>MAX(M44-N44,0)+MAX(AJ44-AA44,0)+AE44+AF44</x:f>
        <x:v>0</x:v>
      </x:c>
    </x:row>
    <x:row r="45">
      <x:c r="A45" s="76"/>
      <x:c r="H45" s="77"/>
      <x:c r="I45" s="77"/>
      <x:c r="L45" s="74"/>
      <x:c r="M45" s="74"/>
      <x:c r="N45" s="74"/>
      <x:c r="O45" s="77"/>
      <x:c r="P45" s="77"/>
      <x:c r="Q45" s="77"/>
      <x:c r="R45" s="77"/>
      <x:c r="S45" s="77"/>
      <x:c r="V45" s="74"/>
      <x:c r="W45" s="74"/>
      <x:c r="X45" s="74"/>
      <x:c r="Y45" s="74"/>
      <x:c r="Z45" s="77"/>
      <x:c r="AA45" s="74"/>
      <x:c r="AB45" s="77"/>
      <x:c r="AE45" s="74"/>
      <x:c r="AF45" s="74"/>
      <x:c r="AG45" s="74"/>
      <x:c r="AJ45" s="74" t="n">
        <x:f>SUM(V45:Y45)+AG45</x:f>
        <x:v>0</x:v>
      </x:c>
      <x:c r="AK45" s="74" t="n">
        <x:f>MAX(M45-N45,0)+MAX(AJ45-AA45,0)+AE45+AF45</x:f>
        <x:v>0</x:v>
      </x:c>
    </x:row>
    <x:row r="46">
      <x:c r="A46" s="76"/>
      <x:c r="H46" s="77"/>
      <x:c r="I46" s="77"/>
      <x:c r="L46" s="74"/>
      <x:c r="M46" s="74"/>
      <x:c r="N46" s="74"/>
      <x:c r="O46" s="77"/>
      <x:c r="P46" s="77"/>
      <x:c r="Q46" s="77"/>
      <x:c r="R46" s="77"/>
      <x:c r="S46" s="77"/>
      <x:c r="V46" s="74"/>
      <x:c r="W46" s="74"/>
      <x:c r="X46" s="74"/>
      <x:c r="Y46" s="74"/>
      <x:c r="Z46" s="77"/>
      <x:c r="AA46" s="74"/>
      <x:c r="AB46" s="77"/>
      <x:c r="AE46" s="74"/>
      <x:c r="AF46" s="74"/>
      <x:c r="AG46" s="74"/>
      <x:c r="AJ46" s="74" t="n">
        <x:f>SUM(V46:Y46)+AG46</x:f>
        <x:v>0</x:v>
      </x:c>
      <x:c r="AK46" s="74" t="n">
        <x:f>MAX(M46-N46,0)+MAX(AJ46-AA46,0)+AE46+AF46</x:f>
        <x:v>0</x:v>
      </x:c>
    </x:row>
    <x:row r="47">
      <x:c r="A47" s="76"/>
      <x:c r="H47" s="77"/>
      <x:c r="I47" s="77"/>
      <x:c r="L47" s="74"/>
      <x:c r="M47" s="74"/>
      <x:c r="N47" s="74"/>
      <x:c r="O47" s="77"/>
      <x:c r="P47" s="77"/>
      <x:c r="Q47" s="77"/>
      <x:c r="R47" s="77"/>
      <x:c r="S47" s="77"/>
      <x:c r="V47" s="74"/>
      <x:c r="W47" s="74"/>
      <x:c r="X47" s="74"/>
      <x:c r="Y47" s="74"/>
      <x:c r="Z47" s="77"/>
      <x:c r="AA47" s="74"/>
      <x:c r="AB47" s="77"/>
      <x:c r="AE47" s="74"/>
      <x:c r="AF47" s="74"/>
      <x:c r="AG47" s="74"/>
      <x:c r="AJ47" s="74" t="n">
        <x:f>SUM(V47:Y47)+AG47</x:f>
        <x:v>0</x:v>
      </x:c>
      <x:c r="AK47" s="74" t="n">
        <x:f>MAX(M47-N47,0)+MAX(AJ47-AA47,0)+AE47+AF47</x:f>
        <x:v>0</x:v>
      </x:c>
    </x:row>
    <x:row r="48">
      <x:c r="A48" s="76"/>
      <x:c r="H48" s="77"/>
      <x:c r="I48" s="77"/>
      <x:c r="L48" s="74"/>
      <x:c r="M48" s="74"/>
      <x:c r="N48" s="74"/>
      <x:c r="O48" s="77"/>
      <x:c r="P48" s="77"/>
      <x:c r="Q48" s="77"/>
      <x:c r="R48" s="77"/>
      <x:c r="S48" s="77"/>
      <x:c r="V48" s="74"/>
      <x:c r="W48" s="74"/>
      <x:c r="X48" s="74"/>
      <x:c r="Y48" s="74"/>
      <x:c r="Z48" s="77"/>
      <x:c r="AA48" s="74"/>
      <x:c r="AB48" s="77"/>
      <x:c r="AE48" s="74"/>
      <x:c r="AF48" s="74"/>
      <x:c r="AG48" s="74"/>
      <x:c r="AJ48" s="74" t="n">
        <x:f>SUM(V48:Y48)+AG48</x:f>
        <x:v>0</x:v>
      </x:c>
      <x:c r="AK48" s="74" t="n">
        <x:f>MAX(M48-N48,0)+MAX(AJ48-AA48,0)+AE48+AF48</x:f>
        <x:v>0</x:v>
      </x:c>
    </x:row>
    <x:row r="49">
      <x:c r="A49" s="76"/>
      <x:c r="H49" s="77"/>
      <x:c r="I49" s="77"/>
      <x:c r="L49" s="74"/>
      <x:c r="M49" s="74"/>
      <x:c r="N49" s="74"/>
      <x:c r="O49" s="77"/>
      <x:c r="P49" s="77"/>
      <x:c r="Q49" s="77"/>
      <x:c r="R49" s="77"/>
      <x:c r="S49" s="77"/>
      <x:c r="V49" s="74"/>
      <x:c r="W49" s="74"/>
      <x:c r="X49" s="74"/>
      <x:c r="Y49" s="74"/>
      <x:c r="Z49" s="77"/>
      <x:c r="AA49" s="74"/>
      <x:c r="AB49" s="77"/>
      <x:c r="AE49" s="74"/>
      <x:c r="AF49" s="74"/>
      <x:c r="AG49" s="74"/>
      <x:c r="AJ49" s="74" t="n">
        <x:f>SUM(V49:Y49)+AG49</x:f>
        <x:v>0</x:v>
      </x:c>
      <x:c r="AK49" s="74" t="n">
        <x:f>MAX(M49-N49,0)+MAX(AJ49-AA49,0)+AE49+AF49</x:f>
        <x:v>0</x:v>
      </x:c>
    </x:row>
    <x:row r="50">
      <x:c r="A50" s="76"/>
      <x:c r="H50" s="77"/>
      <x:c r="I50" s="77"/>
      <x:c r="L50" s="74"/>
      <x:c r="M50" s="74"/>
      <x:c r="N50" s="74"/>
      <x:c r="O50" s="77"/>
      <x:c r="P50" s="77"/>
      <x:c r="Q50" s="77"/>
      <x:c r="R50" s="77"/>
      <x:c r="S50" s="77"/>
      <x:c r="V50" s="74"/>
      <x:c r="W50" s="74"/>
      <x:c r="X50" s="74"/>
      <x:c r="Y50" s="74"/>
      <x:c r="Z50" s="77"/>
      <x:c r="AA50" s="74"/>
      <x:c r="AB50" s="77"/>
      <x:c r="AE50" s="74"/>
      <x:c r="AF50" s="74"/>
      <x:c r="AG50" s="74"/>
      <x:c r="AJ50" s="74" t="n">
        <x:f>SUM(V50:Y50)+AG50</x:f>
        <x:v>0</x:v>
      </x:c>
      <x:c r="AK50" s="74" t="n">
        <x:f>MAX(M50-N50,0)+MAX(AJ50-AA50,0)+AE50+AF50</x:f>
        <x:v>0</x:v>
      </x:c>
    </x:row>
    <x:row r="51">
      <x:c r="A51" s="76"/>
      <x:c r="H51" s="77"/>
      <x:c r="I51" s="77"/>
      <x:c r="L51" s="74"/>
      <x:c r="M51" s="74"/>
      <x:c r="N51" s="74"/>
      <x:c r="O51" s="77"/>
      <x:c r="P51" s="77"/>
      <x:c r="Q51" s="77"/>
      <x:c r="R51" s="77"/>
      <x:c r="S51" s="77"/>
      <x:c r="V51" s="74"/>
      <x:c r="W51" s="74"/>
      <x:c r="X51" s="74"/>
      <x:c r="Y51" s="74"/>
      <x:c r="Z51" s="77"/>
      <x:c r="AA51" s="74"/>
      <x:c r="AB51" s="77"/>
      <x:c r="AE51" s="74"/>
      <x:c r="AF51" s="74"/>
      <x:c r="AG51" s="74"/>
      <x:c r="AJ51" s="74" t="n">
        <x:f>SUM(V51:Y51)+AG51</x:f>
        <x:v>0</x:v>
      </x:c>
      <x:c r="AK51" s="74" t="n">
        <x:f>MAX(M51-N51,0)+MAX(AJ51-AA51,0)+AE51+AF51</x:f>
        <x:v>0</x:v>
      </x:c>
    </x:row>
    <x:row r="52">
      <x:c r="A52" s="76"/>
      <x:c r="H52" s="77"/>
      <x:c r="I52" s="77"/>
      <x:c r="L52" s="74"/>
      <x:c r="M52" s="74"/>
      <x:c r="N52" s="74"/>
      <x:c r="O52" s="77"/>
      <x:c r="P52" s="77"/>
      <x:c r="Q52" s="77"/>
      <x:c r="R52" s="77"/>
      <x:c r="S52" s="77"/>
      <x:c r="V52" s="74"/>
      <x:c r="W52" s="74"/>
      <x:c r="X52" s="74"/>
      <x:c r="Y52" s="74"/>
      <x:c r="Z52" s="77"/>
      <x:c r="AA52" s="74"/>
      <x:c r="AB52" s="77"/>
      <x:c r="AE52" s="74"/>
      <x:c r="AF52" s="74"/>
      <x:c r="AG52" s="74"/>
      <x:c r="AJ52" s="74" t="n">
        <x:f>SUM(V52:Y52)+AG52</x:f>
        <x:v>0</x:v>
      </x:c>
      <x:c r="AK52" s="74" t="n">
        <x:f>MAX(M52-N52,0)+MAX(AJ52-AA52,0)+AE52+AF52</x:f>
        <x:v>0</x:v>
      </x:c>
    </x:row>
    <x:row r="53">
      <x:c r="A53" s="76"/>
      <x:c r="H53" s="77"/>
      <x:c r="I53" s="77"/>
      <x:c r="L53" s="74"/>
      <x:c r="M53" s="74"/>
      <x:c r="N53" s="74"/>
      <x:c r="O53" s="77"/>
      <x:c r="P53" s="77"/>
      <x:c r="Q53" s="77"/>
      <x:c r="R53" s="77"/>
      <x:c r="S53" s="77"/>
      <x:c r="V53" s="74"/>
      <x:c r="W53" s="74"/>
      <x:c r="X53" s="74"/>
      <x:c r="Y53" s="74"/>
      <x:c r="Z53" s="77"/>
      <x:c r="AA53" s="74"/>
      <x:c r="AB53" s="77"/>
      <x:c r="AE53" s="74"/>
      <x:c r="AF53" s="74"/>
      <x:c r="AG53" s="74"/>
      <x:c r="AJ53" s="74" t="n">
        <x:f>SUM(V53:Y53)+AG53</x:f>
        <x:v>0</x:v>
      </x:c>
      <x:c r="AK53" s="74" t="n">
        <x:f>MAX(M53-N53,0)+MAX(AJ53-AA53,0)+AE53+AF53</x:f>
        <x:v>0</x:v>
      </x:c>
    </x:row>
    <x:row r="54">
      <x:c r="A54" s="76"/>
      <x:c r="H54" s="77"/>
      <x:c r="I54" s="77"/>
      <x:c r="L54" s="74"/>
      <x:c r="M54" s="74"/>
      <x:c r="N54" s="74"/>
      <x:c r="O54" s="77"/>
      <x:c r="P54" s="77"/>
      <x:c r="Q54" s="77"/>
      <x:c r="R54" s="77"/>
      <x:c r="S54" s="77"/>
      <x:c r="V54" s="74"/>
      <x:c r="W54" s="74"/>
      <x:c r="X54" s="74"/>
      <x:c r="Y54" s="74"/>
      <x:c r="Z54" s="77"/>
      <x:c r="AA54" s="74"/>
      <x:c r="AB54" s="77"/>
      <x:c r="AE54" s="74"/>
      <x:c r="AF54" s="74"/>
      <x:c r="AG54" s="74"/>
      <x:c r="AJ54" s="74" t="n">
        <x:f>SUM(V54:Y54)+AG54</x:f>
        <x:v>0</x:v>
      </x:c>
      <x:c r="AK54" s="74" t="n">
        <x:f>MAX(M54-N54,0)+MAX(AJ54-AA54,0)+AE54+AF54</x:f>
        <x:v>0</x:v>
      </x:c>
    </x:row>
    <x:row r="55">
      <x:c r="A55" s="76"/>
      <x:c r="H55" s="77"/>
      <x:c r="I55" s="77"/>
      <x:c r="L55" s="74"/>
      <x:c r="M55" s="74"/>
      <x:c r="N55" s="74"/>
      <x:c r="O55" s="77"/>
      <x:c r="P55" s="77"/>
      <x:c r="Q55" s="77"/>
      <x:c r="R55" s="77"/>
      <x:c r="S55" s="77"/>
      <x:c r="V55" s="74"/>
      <x:c r="W55" s="74"/>
      <x:c r="X55" s="74"/>
      <x:c r="Y55" s="74"/>
      <x:c r="Z55" s="77"/>
      <x:c r="AA55" s="74"/>
      <x:c r="AB55" s="77"/>
      <x:c r="AE55" s="74"/>
      <x:c r="AF55" s="74"/>
      <x:c r="AG55" s="74"/>
      <x:c r="AJ55" s="74" t="n">
        <x:f>SUM(V55:Y55)+AG55</x:f>
        <x:v>0</x:v>
      </x:c>
      <x:c r="AK55" s="74" t="n">
        <x:f>MAX(M55-N55,0)+MAX(AJ55-AA55,0)+AE55+AF55</x:f>
        <x:v>0</x:v>
      </x:c>
    </x:row>
    <x:row r="56">
      <x:c r="A56" s="76"/>
      <x:c r="H56" s="77"/>
      <x:c r="I56" s="77"/>
      <x:c r="L56" s="74"/>
      <x:c r="M56" s="74"/>
      <x:c r="N56" s="74"/>
      <x:c r="O56" s="77"/>
      <x:c r="P56" s="77"/>
      <x:c r="Q56" s="77"/>
      <x:c r="R56" s="77"/>
      <x:c r="S56" s="77"/>
      <x:c r="V56" s="74"/>
      <x:c r="W56" s="74"/>
      <x:c r="X56" s="74"/>
      <x:c r="Y56" s="74"/>
      <x:c r="Z56" s="77"/>
      <x:c r="AA56" s="74"/>
      <x:c r="AB56" s="77"/>
      <x:c r="AE56" s="74"/>
      <x:c r="AF56" s="74"/>
      <x:c r="AG56" s="74"/>
      <x:c r="AJ56" s="74" t="n">
        <x:f>SUM(V56:Y56)+AG56</x:f>
        <x:v>0</x:v>
      </x:c>
      <x:c r="AK56" s="74" t="n">
        <x:f>MAX(M56-N56,0)+MAX(AJ56-AA56,0)+AE56+AF56</x:f>
        <x:v>0</x:v>
      </x:c>
    </x:row>
    <x:row r="57">
      <x:c r="A57" s="76"/>
      <x:c r="H57" s="77"/>
      <x:c r="I57" s="77"/>
      <x:c r="L57" s="74"/>
      <x:c r="M57" s="74"/>
      <x:c r="N57" s="74"/>
      <x:c r="O57" s="77"/>
      <x:c r="P57" s="77"/>
      <x:c r="Q57" s="77"/>
      <x:c r="R57" s="77"/>
      <x:c r="S57" s="77"/>
      <x:c r="V57" s="74"/>
      <x:c r="W57" s="74"/>
      <x:c r="X57" s="74"/>
      <x:c r="Y57" s="74"/>
      <x:c r="Z57" s="77"/>
      <x:c r="AA57" s="74"/>
      <x:c r="AB57" s="77"/>
      <x:c r="AE57" s="74"/>
      <x:c r="AF57" s="74"/>
      <x:c r="AG57" s="74"/>
      <x:c r="AJ57" s="74" t="n">
        <x:f>SUM(V57:Y57)+AG57</x:f>
        <x:v>0</x:v>
      </x:c>
      <x:c r="AK57" s="74" t="n">
        <x:f>MAX(M57-N57,0)+MAX(AJ57-AA57,0)+AE57+AF57</x:f>
        <x:v>0</x:v>
      </x:c>
    </x:row>
    <x:row r="58">
      <x:c r="A58" s="76"/>
      <x:c r="H58" s="77"/>
      <x:c r="I58" s="77"/>
      <x:c r="L58" s="74"/>
      <x:c r="M58" s="74"/>
      <x:c r="N58" s="74"/>
      <x:c r="O58" s="77"/>
      <x:c r="P58" s="77"/>
      <x:c r="Q58" s="77"/>
      <x:c r="R58" s="77"/>
      <x:c r="S58" s="77"/>
      <x:c r="V58" s="74"/>
      <x:c r="W58" s="74"/>
      <x:c r="X58" s="74"/>
      <x:c r="Y58" s="74"/>
      <x:c r="Z58" s="77"/>
      <x:c r="AA58" s="74"/>
      <x:c r="AB58" s="77"/>
      <x:c r="AE58" s="74"/>
      <x:c r="AF58" s="74"/>
      <x:c r="AG58" s="74"/>
      <x:c r="AJ58" s="74" t="n">
        <x:f>SUM(V58:Y58)+AG58</x:f>
        <x:v>0</x:v>
      </x:c>
      <x:c r="AK58" s="74" t="n">
        <x:f>MAX(M58-N58,0)+MAX(AJ58-AA58,0)+AE58+AF58</x:f>
        <x:v>0</x:v>
      </x:c>
    </x:row>
    <x:row r="59">
      <x:c r="A59" s="76"/>
      <x:c r="H59" s="77"/>
      <x:c r="I59" s="77"/>
      <x:c r="L59" s="74"/>
      <x:c r="M59" s="74"/>
      <x:c r="N59" s="74"/>
      <x:c r="O59" s="77"/>
      <x:c r="P59" s="77"/>
      <x:c r="Q59" s="77"/>
      <x:c r="R59" s="77"/>
      <x:c r="S59" s="77"/>
      <x:c r="V59" s="74"/>
      <x:c r="W59" s="74"/>
      <x:c r="X59" s="74"/>
      <x:c r="Y59" s="74"/>
      <x:c r="Z59" s="77"/>
      <x:c r="AA59" s="74"/>
      <x:c r="AB59" s="77"/>
      <x:c r="AE59" s="74"/>
      <x:c r="AF59" s="74"/>
      <x:c r="AG59" s="74"/>
      <x:c r="AJ59" s="74" t="n">
        <x:f>SUM(V59:Y59)+AG59</x:f>
        <x:v>0</x:v>
      </x:c>
      <x:c r="AK59" s="74" t="n">
        <x:f>MAX(M59-N59,0)+MAX(AJ59-AA59,0)+AE59+AF59</x:f>
        <x:v>0</x:v>
      </x:c>
    </x:row>
    <x:row r="60">
      <x:c r="A60" s="76"/>
      <x:c r="H60" s="77"/>
      <x:c r="I60" s="77"/>
      <x:c r="L60" s="74"/>
      <x:c r="M60" s="74"/>
      <x:c r="N60" s="74"/>
      <x:c r="O60" s="77"/>
      <x:c r="P60" s="77"/>
      <x:c r="Q60" s="77"/>
      <x:c r="R60" s="77"/>
      <x:c r="S60" s="77"/>
      <x:c r="V60" s="74"/>
      <x:c r="W60" s="74"/>
      <x:c r="X60" s="74"/>
      <x:c r="Y60" s="74"/>
      <x:c r="Z60" s="77"/>
      <x:c r="AA60" s="74"/>
      <x:c r="AB60" s="77"/>
      <x:c r="AE60" s="74"/>
      <x:c r="AF60" s="74"/>
      <x:c r="AG60" s="74"/>
      <x:c r="AJ60" s="74" t="n">
        <x:f>SUM(V60:Y60)+AG60</x:f>
        <x:v>0</x:v>
      </x:c>
      <x:c r="AK60" s="74" t="n">
        <x:f>MAX(M60-N60,0)+MAX(AJ60-AA60,0)+AE60+AF60</x:f>
        <x:v>0</x:v>
      </x:c>
    </x:row>
    <x:row r="61">
      <x:c r="A61" s="76"/>
      <x:c r="H61" s="77"/>
      <x:c r="I61" s="77"/>
      <x:c r="L61" s="74"/>
      <x:c r="M61" s="74"/>
      <x:c r="N61" s="74"/>
      <x:c r="O61" s="77"/>
      <x:c r="P61" s="77"/>
      <x:c r="Q61" s="77"/>
      <x:c r="R61" s="77"/>
      <x:c r="S61" s="77"/>
      <x:c r="V61" s="74"/>
      <x:c r="W61" s="74"/>
      <x:c r="X61" s="74"/>
      <x:c r="Y61" s="74"/>
      <x:c r="Z61" s="77"/>
      <x:c r="AA61" s="74"/>
      <x:c r="AB61" s="77"/>
      <x:c r="AE61" s="74"/>
      <x:c r="AF61" s="74"/>
      <x:c r="AG61" s="74"/>
      <x:c r="AJ61" s="74" t="n">
        <x:f>SUM(V61:Y61)+AG61</x:f>
        <x:v>0</x:v>
      </x:c>
      <x:c r="AK61" s="74" t="n">
        <x:f>MAX(M61-N61,0)+MAX(AJ61-AA61,0)+AE61+AF61</x:f>
        <x:v>0</x:v>
      </x:c>
    </x:row>
    <x:row r="62">
      <x:c r="A62" s="76"/>
      <x:c r="H62" s="77"/>
      <x:c r="I62" s="77"/>
      <x:c r="L62" s="74"/>
      <x:c r="M62" s="74"/>
      <x:c r="N62" s="74"/>
      <x:c r="O62" s="77"/>
      <x:c r="P62" s="77"/>
      <x:c r="Q62" s="77"/>
      <x:c r="R62" s="77"/>
      <x:c r="S62" s="77"/>
      <x:c r="V62" s="74"/>
      <x:c r="W62" s="74"/>
      <x:c r="X62" s="74"/>
      <x:c r="Y62" s="74"/>
      <x:c r="Z62" s="77"/>
      <x:c r="AA62" s="74"/>
      <x:c r="AB62" s="77"/>
      <x:c r="AE62" s="74"/>
      <x:c r="AF62" s="74"/>
      <x:c r="AG62" s="74"/>
      <x:c r="AJ62" s="74" t="n">
        <x:f>SUM(V62:Y62)+AG62</x:f>
        <x:v>0</x:v>
      </x:c>
      <x:c r="AK62" s="74" t="n">
        <x:f>MAX(M62-N62,0)+MAX(AJ62-AA62,0)+AE62+AF62</x:f>
        <x:v>0</x:v>
      </x:c>
    </x:row>
    <x:row r="63">
      <x:c r="A63" s="76"/>
      <x:c r="H63" s="77"/>
      <x:c r="I63" s="77"/>
      <x:c r="L63" s="74"/>
      <x:c r="M63" s="74"/>
      <x:c r="N63" s="74"/>
      <x:c r="O63" s="77"/>
      <x:c r="P63" s="77"/>
      <x:c r="Q63" s="77"/>
      <x:c r="R63" s="77"/>
      <x:c r="S63" s="77"/>
      <x:c r="V63" s="74"/>
      <x:c r="W63" s="74"/>
      <x:c r="X63" s="74"/>
      <x:c r="Y63" s="74"/>
      <x:c r="Z63" s="77"/>
      <x:c r="AA63" s="74"/>
      <x:c r="AB63" s="77"/>
      <x:c r="AE63" s="74"/>
      <x:c r="AF63" s="74"/>
      <x:c r="AG63" s="74"/>
      <x:c r="AJ63" s="74" t="n">
        <x:f>SUM(V63:Y63)+AG63</x:f>
        <x:v>0</x:v>
      </x:c>
      <x:c r="AK63" s="74" t="n">
        <x:f>MAX(M63-N63,0)+MAX(AJ63-AA63,0)+AE63+AF63</x:f>
        <x:v>0</x:v>
      </x:c>
    </x:row>
    <x:row r="64">
      <x:c r="A64" s="76"/>
      <x:c r="H64" s="77"/>
      <x:c r="I64" s="77"/>
      <x:c r="L64" s="74"/>
      <x:c r="M64" s="74"/>
      <x:c r="N64" s="74"/>
      <x:c r="O64" s="77"/>
      <x:c r="P64" s="77"/>
      <x:c r="Q64" s="77"/>
      <x:c r="R64" s="77"/>
      <x:c r="S64" s="77"/>
      <x:c r="V64" s="74"/>
      <x:c r="W64" s="74"/>
      <x:c r="X64" s="74"/>
      <x:c r="Y64" s="74"/>
      <x:c r="Z64" s="77"/>
      <x:c r="AA64" s="74"/>
      <x:c r="AB64" s="77"/>
      <x:c r="AE64" s="74"/>
      <x:c r="AF64" s="74"/>
      <x:c r="AG64" s="74"/>
      <x:c r="AJ64" s="74" t="n">
        <x:f>SUM(V64:Y64)+AG64</x:f>
        <x:v>0</x:v>
      </x:c>
      <x:c r="AK64" s="74" t="n">
        <x:f>MAX(M64-N64,0)+MAX(AJ64-AA64,0)+AE64+AF64</x:f>
        <x:v>0</x:v>
      </x:c>
    </x:row>
    <x:row r="65">
      <x:c r="A65" s="76"/>
      <x:c r="H65" s="77"/>
      <x:c r="I65" s="77"/>
      <x:c r="L65" s="74"/>
      <x:c r="M65" s="74"/>
      <x:c r="N65" s="74"/>
      <x:c r="O65" s="77"/>
      <x:c r="P65" s="77"/>
      <x:c r="Q65" s="77"/>
      <x:c r="R65" s="77"/>
      <x:c r="S65" s="77"/>
      <x:c r="V65" s="74"/>
      <x:c r="W65" s="74"/>
      <x:c r="X65" s="74"/>
      <x:c r="Y65" s="74"/>
      <x:c r="Z65" s="77"/>
      <x:c r="AA65" s="74"/>
      <x:c r="AB65" s="77"/>
      <x:c r="AE65" s="74"/>
      <x:c r="AF65" s="74"/>
      <x:c r="AG65" s="74"/>
      <x:c r="AJ65" s="74" t="n">
        <x:f>SUM(V65:Y65)+AG65</x:f>
        <x:v>0</x:v>
      </x:c>
      <x:c r="AK65" s="74" t="n">
        <x:f>MAX(M65-N65,0)+MAX(AJ65-AA65,0)+AE65+AF65</x:f>
        <x:v>0</x:v>
      </x:c>
    </x:row>
    <x:row r="66">
      <x:c r="A66" s="76"/>
      <x:c r="H66" s="77"/>
      <x:c r="I66" s="77"/>
      <x:c r="L66" s="74"/>
      <x:c r="M66" s="74"/>
      <x:c r="N66" s="74"/>
      <x:c r="O66" s="77"/>
      <x:c r="P66" s="77"/>
      <x:c r="Q66" s="77"/>
      <x:c r="R66" s="77"/>
      <x:c r="S66" s="77"/>
      <x:c r="V66" s="74"/>
      <x:c r="W66" s="74"/>
      <x:c r="X66" s="74"/>
      <x:c r="Y66" s="74"/>
      <x:c r="Z66" s="77"/>
      <x:c r="AA66" s="74"/>
      <x:c r="AB66" s="77"/>
      <x:c r="AE66" s="74"/>
      <x:c r="AF66" s="74"/>
      <x:c r="AG66" s="74"/>
      <x:c r="AJ66" s="74" t="n">
        <x:f>SUM(V66:Y66)+AG66</x:f>
        <x:v>0</x:v>
      </x:c>
      <x:c r="AK66" s="74" t="n">
        <x:f>MAX(M66-N66,0)+MAX(AJ66-AA66,0)+AE66+AF66</x:f>
        <x:v>0</x:v>
      </x:c>
    </x:row>
    <x:row r="67">
      <x:c r="A67" s="76"/>
      <x:c r="H67" s="77"/>
      <x:c r="I67" s="77"/>
      <x:c r="L67" s="74"/>
      <x:c r="M67" s="74"/>
      <x:c r="N67" s="74"/>
      <x:c r="O67" s="77"/>
      <x:c r="P67" s="77"/>
      <x:c r="Q67" s="77"/>
      <x:c r="R67" s="77"/>
      <x:c r="S67" s="77"/>
      <x:c r="V67" s="74"/>
      <x:c r="W67" s="74"/>
      <x:c r="X67" s="74"/>
      <x:c r="Y67" s="74"/>
      <x:c r="Z67" s="77"/>
      <x:c r="AA67" s="74"/>
      <x:c r="AB67" s="77"/>
      <x:c r="AE67" s="74"/>
      <x:c r="AF67" s="74"/>
      <x:c r="AG67" s="74"/>
      <x:c r="AJ67" s="74" t="n">
        <x:f>SUM(V67:Y67)+AG67</x:f>
        <x:v>0</x:v>
      </x:c>
      <x:c r="AK67" s="74" t="n">
        <x:f>MAX(M67-N67,0)+MAX(AJ67-AA67,0)+AE67+AF67</x:f>
        <x:v>0</x:v>
      </x:c>
    </x:row>
    <x:row r="68">
      <x:c r="A68" s="76"/>
      <x:c r="H68" s="77"/>
      <x:c r="I68" s="77"/>
      <x:c r="L68" s="74"/>
      <x:c r="M68" s="74"/>
      <x:c r="N68" s="74"/>
      <x:c r="O68" s="77"/>
      <x:c r="P68" s="77"/>
      <x:c r="Q68" s="77"/>
      <x:c r="R68" s="77"/>
      <x:c r="S68" s="77"/>
      <x:c r="V68" s="74"/>
      <x:c r="W68" s="74"/>
      <x:c r="X68" s="74"/>
      <x:c r="Y68" s="74"/>
      <x:c r="Z68" s="77"/>
      <x:c r="AA68" s="74"/>
      <x:c r="AB68" s="77"/>
      <x:c r="AE68" s="74"/>
      <x:c r="AF68" s="74"/>
      <x:c r="AG68" s="74"/>
      <x:c r="AJ68" s="74" t="n">
        <x:f>SUM(V68:Y68)+AG68</x:f>
        <x:v>0</x:v>
      </x:c>
      <x:c r="AK68" s="74" t="n">
        <x:f>MAX(M68-N68,0)+MAX(AJ68-AA68,0)+AE68+AF68</x:f>
        <x:v>0</x:v>
      </x:c>
    </x:row>
    <x:row r="69">
      <x:c r="A69" s="76"/>
      <x:c r="H69" s="77"/>
      <x:c r="I69" s="77"/>
      <x:c r="L69" s="74"/>
      <x:c r="M69" s="74"/>
      <x:c r="N69" s="74"/>
      <x:c r="O69" s="77"/>
      <x:c r="P69" s="77"/>
      <x:c r="Q69" s="77"/>
      <x:c r="R69" s="77"/>
      <x:c r="S69" s="77"/>
      <x:c r="V69" s="74"/>
      <x:c r="W69" s="74"/>
      <x:c r="X69" s="74"/>
      <x:c r="Y69" s="74"/>
      <x:c r="Z69" s="77"/>
      <x:c r="AA69" s="74"/>
      <x:c r="AB69" s="77"/>
      <x:c r="AE69" s="74"/>
      <x:c r="AF69" s="74"/>
      <x:c r="AG69" s="74"/>
      <x:c r="AJ69" s="74" t="n">
        <x:f>SUM(V69:Y69)+AG69</x:f>
        <x:v>0</x:v>
      </x:c>
      <x:c r="AK69" s="74" t="n">
        <x:f>MAX(M69-N69,0)+MAX(AJ69-AA69,0)+AE69+AF69</x:f>
        <x:v>0</x:v>
      </x:c>
    </x:row>
    <x:row r="70">
      <x:c r="A70" s="76"/>
      <x:c r="H70" s="77"/>
      <x:c r="I70" s="77"/>
      <x:c r="L70" s="74"/>
      <x:c r="M70" s="74"/>
      <x:c r="N70" s="74"/>
      <x:c r="O70" s="77"/>
      <x:c r="P70" s="77"/>
      <x:c r="Q70" s="77"/>
      <x:c r="R70" s="77"/>
      <x:c r="S70" s="77"/>
      <x:c r="V70" s="74"/>
      <x:c r="W70" s="74"/>
      <x:c r="X70" s="74"/>
      <x:c r="Y70" s="74"/>
      <x:c r="Z70" s="77"/>
      <x:c r="AA70" s="74"/>
      <x:c r="AB70" s="77"/>
      <x:c r="AE70" s="74"/>
      <x:c r="AF70" s="74"/>
      <x:c r="AG70" s="74"/>
      <x:c r="AJ70" s="74" t="n">
        <x:f>SUM(V70:Y70)+AG70</x:f>
        <x:v>0</x:v>
      </x:c>
      <x:c r="AK70" s="74" t="n">
        <x:f>MAX(M70-N70,0)+MAX(AJ70-AA70,0)+AE70+AF70</x:f>
        <x:v>0</x:v>
      </x:c>
    </x:row>
    <x:row r="71">
      <x:c r="A71" s="76"/>
      <x:c r="H71" s="77"/>
      <x:c r="I71" s="77"/>
      <x:c r="L71" s="74"/>
      <x:c r="M71" s="74"/>
      <x:c r="N71" s="74"/>
      <x:c r="O71" s="77"/>
      <x:c r="P71" s="77"/>
      <x:c r="Q71" s="77"/>
      <x:c r="R71" s="77"/>
      <x:c r="S71" s="77"/>
      <x:c r="V71" s="74"/>
      <x:c r="W71" s="74"/>
      <x:c r="X71" s="74"/>
      <x:c r="Y71" s="74"/>
      <x:c r="Z71" s="77"/>
      <x:c r="AA71" s="74"/>
      <x:c r="AB71" s="77"/>
      <x:c r="AE71" s="74"/>
      <x:c r="AF71" s="74"/>
      <x:c r="AG71" s="74"/>
      <x:c r="AJ71" s="74" t="n">
        <x:f>SUM(V71:Y71)+AG71</x:f>
        <x:v>0</x:v>
      </x:c>
      <x:c r="AK71" s="74" t="n">
        <x:f>MAX(M71-N71,0)+MAX(AJ71-AA71,0)+AE71+AF71</x:f>
        <x:v>0</x:v>
      </x:c>
    </x:row>
    <x:row r="72">
      <x:c r="A72" s="76"/>
      <x:c r="H72" s="77"/>
      <x:c r="I72" s="77"/>
      <x:c r="L72" s="74"/>
      <x:c r="M72" s="74"/>
      <x:c r="N72" s="74"/>
      <x:c r="O72" s="77"/>
      <x:c r="P72" s="77"/>
      <x:c r="Q72" s="77"/>
      <x:c r="R72" s="77"/>
      <x:c r="S72" s="77"/>
      <x:c r="V72" s="74"/>
      <x:c r="W72" s="74"/>
      <x:c r="X72" s="74"/>
      <x:c r="Y72" s="74"/>
      <x:c r="Z72" s="77"/>
      <x:c r="AA72" s="74"/>
      <x:c r="AB72" s="77"/>
      <x:c r="AE72" s="74"/>
      <x:c r="AF72" s="74"/>
      <x:c r="AG72" s="74"/>
      <x:c r="AJ72" s="74" t="n">
        <x:f>SUM(V72:Y72)+AG72</x:f>
        <x:v>0</x:v>
      </x:c>
      <x:c r="AK72" s="74" t="n">
        <x:f>MAX(M72-N72,0)+MAX(AJ72-AA72,0)+AE72+AF72</x:f>
        <x:v>0</x:v>
      </x:c>
    </x:row>
    <x:row r="73">
      <x:c r="A73" s="76"/>
      <x:c r="H73" s="77"/>
      <x:c r="I73" s="77"/>
      <x:c r="L73" s="74"/>
      <x:c r="M73" s="74"/>
      <x:c r="N73" s="74"/>
      <x:c r="O73" s="77"/>
      <x:c r="P73" s="77"/>
      <x:c r="Q73" s="77"/>
      <x:c r="R73" s="77"/>
      <x:c r="S73" s="77"/>
      <x:c r="V73" s="74"/>
      <x:c r="W73" s="74"/>
      <x:c r="X73" s="74"/>
      <x:c r="Y73" s="74"/>
      <x:c r="Z73" s="77"/>
      <x:c r="AA73" s="74"/>
      <x:c r="AB73" s="77"/>
      <x:c r="AE73" s="74"/>
      <x:c r="AF73" s="74"/>
      <x:c r="AG73" s="74"/>
      <x:c r="AJ73" s="74" t="n">
        <x:f>SUM(V73:Y73)+AG73</x:f>
        <x:v>0</x:v>
      </x:c>
      <x:c r="AK73" s="74" t="n">
        <x:f>MAX(M73-N73,0)+MAX(AJ73-AA73,0)+AE73+AF73</x:f>
        <x:v>0</x:v>
      </x:c>
    </x:row>
    <x:row r="74">
      <x:c r="A74" s="76"/>
      <x:c r="H74" s="77"/>
      <x:c r="I74" s="77"/>
      <x:c r="L74" s="74"/>
      <x:c r="M74" s="74"/>
      <x:c r="N74" s="74"/>
      <x:c r="O74" s="77"/>
      <x:c r="P74" s="77"/>
      <x:c r="Q74" s="77"/>
      <x:c r="R74" s="77"/>
      <x:c r="S74" s="77"/>
      <x:c r="V74" s="74"/>
      <x:c r="W74" s="74"/>
      <x:c r="X74" s="74"/>
      <x:c r="Y74" s="74"/>
      <x:c r="Z74" s="77"/>
      <x:c r="AA74" s="74"/>
      <x:c r="AB74" s="77"/>
      <x:c r="AE74" s="74"/>
      <x:c r="AF74" s="74"/>
      <x:c r="AG74" s="74"/>
      <x:c r="AJ74" s="74" t="n">
        <x:f>SUM(V74:Y74)+AG74</x:f>
        <x:v>0</x:v>
      </x:c>
      <x:c r="AK74" s="74" t="n">
        <x:f>MAX(M74-N74,0)+MAX(AJ74-AA74,0)+AE74+AF74</x:f>
        <x:v>0</x:v>
      </x:c>
    </x:row>
    <x:row r="75">
      <x:c r="A75" s="76"/>
      <x:c r="H75" s="77"/>
      <x:c r="I75" s="77"/>
      <x:c r="L75" s="74"/>
      <x:c r="M75" s="74"/>
      <x:c r="N75" s="74"/>
      <x:c r="O75" s="77"/>
      <x:c r="P75" s="77"/>
      <x:c r="Q75" s="77"/>
      <x:c r="R75" s="77"/>
      <x:c r="S75" s="77"/>
      <x:c r="V75" s="74"/>
      <x:c r="W75" s="74"/>
      <x:c r="X75" s="74"/>
      <x:c r="Y75" s="74"/>
      <x:c r="Z75" s="77"/>
      <x:c r="AA75" s="74"/>
      <x:c r="AB75" s="77"/>
      <x:c r="AE75" s="74"/>
      <x:c r="AF75" s="74"/>
      <x:c r="AG75" s="74"/>
      <x:c r="AJ75" s="74" t="n">
        <x:f>SUM(V75:Y75)+AG75</x:f>
        <x:v>0</x:v>
      </x:c>
      <x:c r="AK75" s="74" t="n">
        <x:f>MAX(M75-N75,0)+MAX(AJ75-AA75,0)+AE75+AF75</x:f>
        <x:v>0</x:v>
      </x:c>
    </x:row>
    <x:row r="76">
      <x:c r="A76" s="76"/>
      <x:c r="H76" s="77"/>
      <x:c r="I76" s="77"/>
      <x:c r="L76" s="74"/>
      <x:c r="M76" s="74"/>
      <x:c r="N76" s="74"/>
      <x:c r="O76" s="77"/>
      <x:c r="P76" s="77"/>
      <x:c r="Q76" s="77"/>
      <x:c r="R76" s="77"/>
      <x:c r="S76" s="77"/>
      <x:c r="V76" s="74"/>
      <x:c r="W76" s="74"/>
      <x:c r="X76" s="74"/>
      <x:c r="Y76" s="74"/>
      <x:c r="Z76" s="77"/>
      <x:c r="AA76" s="74"/>
      <x:c r="AB76" s="77"/>
      <x:c r="AE76" s="74"/>
      <x:c r="AF76" s="74"/>
      <x:c r="AG76" s="74"/>
      <x:c r="AJ76" s="74" t="n">
        <x:f>SUM(V76:Y76)+AG76</x:f>
        <x:v>0</x:v>
      </x:c>
      <x:c r="AK76" s="74" t="n">
        <x:f>MAX(M76-N76,0)+MAX(AJ76-AA76,0)+AE76+AF76</x:f>
        <x:v>0</x:v>
      </x:c>
    </x:row>
    <x:row r="77">
      <x:c r="A77" s="76"/>
      <x:c r="H77" s="77"/>
      <x:c r="I77" s="77"/>
      <x:c r="L77" s="74"/>
      <x:c r="M77" s="74"/>
      <x:c r="N77" s="74"/>
      <x:c r="O77" s="77"/>
      <x:c r="P77" s="77"/>
      <x:c r="Q77" s="77"/>
      <x:c r="R77" s="77"/>
      <x:c r="S77" s="77"/>
      <x:c r="V77" s="74"/>
      <x:c r="W77" s="74"/>
      <x:c r="X77" s="74"/>
      <x:c r="Y77" s="74"/>
      <x:c r="Z77" s="77"/>
      <x:c r="AA77" s="74"/>
      <x:c r="AB77" s="77"/>
      <x:c r="AE77" s="74"/>
      <x:c r="AF77" s="74"/>
      <x:c r="AG77" s="74"/>
      <x:c r="AJ77" s="74" t="n">
        <x:f>SUM(V77:Y77)+AG77</x:f>
        <x:v>0</x:v>
      </x:c>
      <x:c r="AK77" s="74" t="n">
        <x:f>MAX(M77-N77,0)+MAX(AJ77-AA77,0)+AE77+AF77</x:f>
        <x:v>0</x:v>
      </x:c>
    </x:row>
    <x:row r="78">
      <x:c r="A78" s="76"/>
      <x:c r="H78" s="77"/>
      <x:c r="I78" s="77"/>
      <x:c r="L78" s="74"/>
      <x:c r="M78" s="74"/>
      <x:c r="N78" s="74"/>
      <x:c r="O78" s="77"/>
      <x:c r="P78" s="77"/>
      <x:c r="Q78" s="77"/>
      <x:c r="R78" s="77"/>
      <x:c r="S78" s="77"/>
      <x:c r="V78" s="74"/>
      <x:c r="W78" s="74"/>
      <x:c r="X78" s="74"/>
      <x:c r="Y78" s="74"/>
      <x:c r="Z78" s="77"/>
      <x:c r="AA78" s="74"/>
      <x:c r="AB78" s="77"/>
      <x:c r="AE78" s="74"/>
      <x:c r="AF78" s="74"/>
      <x:c r="AG78" s="74"/>
      <x:c r="AJ78" s="74" t="n">
        <x:f>SUM(V78:Y78)+AG78</x:f>
        <x:v>0</x:v>
      </x:c>
      <x:c r="AK78" s="74" t="n">
        <x:f>MAX(M78-N78,0)+MAX(AJ78-AA78,0)+AE78+AF78</x:f>
        <x:v>0</x:v>
      </x:c>
    </x:row>
    <x:row r="79">
      <x:c r="A79" s="76"/>
      <x:c r="H79" s="77"/>
      <x:c r="I79" s="77"/>
      <x:c r="L79" s="74"/>
      <x:c r="M79" s="74"/>
      <x:c r="N79" s="74"/>
      <x:c r="O79" s="77"/>
      <x:c r="P79" s="77"/>
      <x:c r="Q79" s="77"/>
      <x:c r="R79" s="77"/>
      <x:c r="S79" s="77"/>
      <x:c r="V79" s="74"/>
      <x:c r="W79" s="74"/>
      <x:c r="X79" s="74"/>
      <x:c r="Y79" s="74"/>
      <x:c r="Z79" s="77"/>
      <x:c r="AA79" s="74"/>
      <x:c r="AB79" s="77"/>
      <x:c r="AE79" s="74"/>
      <x:c r="AF79" s="74"/>
      <x:c r="AG79" s="74"/>
      <x:c r="AJ79" s="74" t="n">
        <x:f>SUM(V79:Y79)+AG79</x:f>
        <x:v>0</x:v>
      </x:c>
      <x:c r="AK79" s="74" t="n">
        <x:f>MAX(M79-N79,0)+MAX(AJ79-AA79,0)+AE79+AF79</x:f>
        <x:v>0</x:v>
      </x:c>
    </x:row>
    <x:row r="80">
      <x:c r="A80" s="76"/>
      <x:c r="H80" s="77"/>
      <x:c r="I80" s="77"/>
      <x:c r="L80" s="74"/>
      <x:c r="M80" s="74"/>
      <x:c r="N80" s="74"/>
      <x:c r="O80" s="77"/>
      <x:c r="P80" s="77"/>
      <x:c r="Q80" s="77"/>
      <x:c r="R80" s="77"/>
      <x:c r="S80" s="77"/>
      <x:c r="V80" s="74"/>
      <x:c r="W80" s="74"/>
      <x:c r="X80" s="74"/>
      <x:c r="Y80" s="74"/>
      <x:c r="Z80" s="77"/>
      <x:c r="AA80" s="74"/>
      <x:c r="AB80" s="77"/>
      <x:c r="AE80" s="74"/>
      <x:c r="AF80" s="74"/>
      <x:c r="AG80" s="74"/>
      <x:c r="AJ80" s="74" t="n">
        <x:f>SUM(V80:Y80)+AG80</x:f>
        <x:v>0</x:v>
      </x:c>
      <x:c r="AK80" s="74" t="n">
        <x:f>MAX(M80-N80,0)+MAX(AJ80-AA80,0)+AE80+AF80</x:f>
        <x:v>0</x:v>
      </x:c>
    </x:row>
    <x:row r="81">
      <x:c r="A81" s="76"/>
      <x:c r="H81" s="77"/>
      <x:c r="I81" s="77"/>
      <x:c r="L81" s="74"/>
      <x:c r="M81" s="74"/>
      <x:c r="N81" s="74"/>
      <x:c r="O81" s="77"/>
      <x:c r="P81" s="77"/>
      <x:c r="Q81" s="77"/>
      <x:c r="R81" s="77"/>
      <x:c r="S81" s="77"/>
      <x:c r="V81" s="74"/>
      <x:c r="W81" s="74"/>
      <x:c r="X81" s="74"/>
      <x:c r="Y81" s="74"/>
      <x:c r="Z81" s="77"/>
      <x:c r="AA81" s="74"/>
      <x:c r="AB81" s="77"/>
      <x:c r="AE81" s="74"/>
      <x:c r="AF81" s="74"/>
      <x:c r="AG81" s="74"/>
      <x:c r="AJ81" s="74" t="n">
        <x:f>SUM(V81:Y81)+AG81</x:f>
        <x:v>0</x:v>
      </x:c>
      <x:c r="AK81" s="74" t="n">
        <x:f>MAX(M81-N81,0)+MAX(AJ81-AA81,0)+AE81+AF81</x:f>
        <x:v>0</x:v>
      </x:c>
    </x:row>
    <x:row r="82">
      <x:c r="A82" s="76"/>
      <x:c r="H82" s="77"/>
      <x:c r="I82" s="77"/>
      <x:c r="L82" s="74"/>
      <x:c r="M82" s="74"/>
      <x:c r="N82" s="74"/>
      <x:c r="O82" s="77"/>
      <x:c r="P82" s="77"/>
      <x:c r="Q82" s="77"/>
      <x:c r="R82" s="77"/>
      <x:c r="S82" s="77"/>
      <x:c r="V82" s="74"/>
      <x:c r="W82" s="74"/>
      <x:c r="X82" s="74"/>
      <x:c r="Y82" s="74"/>
      <x:c r="Z82" s="77"/>
      <x:c r="AA82" s="74"/>
      <x:c r="AB82" s="77"/>
      <x:c r="AE82" s="74"/>
      <x:c r="AF82" s="74"/>
      <x:c r="AG82" s="74"/>
      <x:c r="AJ82" s="74" t="n">
        <x:f>SUM(V82:Y82)+AG82</x:f>
        <x:v>0</x:v>
      </x:c>
      <x:c r="AK82" s="74" t="n">
        <x:f>MAX(M82-N82,0)+MAX(AJ82-AA82,0)+AE82+AF82</x:f>
        <x:v>0</x:v>
      </x:c>
    </x:row>
    <x:row r="83">
      <x:c r="A83" s="76"/>
      <x:c r="H83" s="77"/>
      <x:c r="I83" s="77"/>
      <x:c r="L83" s="74"/>
      <x:c r="M83" s="74"/>
      <x:c r="N83" s="74"/>
      <x:c r="O83" s="77"/>
      <x:c r="P83" s="77"/>
      <x:c r="Q83" s="77"/>
      <x:c r="R83" s="77"/>
      <x:c r="S83" s="77"/>
      <x:c r="V83" s="74"/>
      <x:c r="W83" s="74"/>
      <x:c r="X83" s="74"/>
      <x:c r="Y83" s="74"/>
      <x:c r="Z83" s="77"/>
      <x:c r="AA83" s="74"/>
      <x:c r="AB83" s="77"/>
      <x:c r="AE83" s="74"/>
      <x:c r="AF83" s="74"/>
      <x:c r="AG83" s="74"/>
      <x:c r="AJ83" s="74" t="n">
        <x:f>SUM(V83:Y83)+AG83</x:f>
        <x:v>0</x:v>
      </x:c>
      <x:c r="AK83" s="74" t="n">
        <x:f>MAX(M83-N83,0)+MAX(AJ83-AA83,0)+AE83+AF83</x:f>
        <x:v>0</x:v>
      </x:c>
    </x:row>
    <x:row r="84">
      <x:c r="A84" s="76"/>
      <x:c r="H84" s="77"/>
      <x:c r="I84" s="77"/>
      <x:c r="L84" s="74"/>
      <x:c r="M84" s="74"/>
      <x:c r="N84" s="74"/>
      <x:c r="O84" s="77"/>
      <x:c r="P84" s="77"/>
      <x:c r="Q84" s="77"/>
      <x:c r="R84" s="77"/>
      <x:c r="S84" s="77"/>
      <x:c r="V84" s="74"/>
      <x:c r="W84" s="74"/>
      <x:c r="X84" s="74"/>
      <x:c r="Y84" s="74"/>
      <x:c r="Z84" s="77"/>
      <x:c r="AA84" s="74"/>
      <x:c r="AB84" s="77"/>
      <x:c r="AE84" s="74"/>
      <x:c r="AF84" s="74"/>
      <x:c r="AG84" s="74"/>
      <x:c r="AJ84" s="74" t="n">
        <x:f>SUM(V84:Y84)+AG84</x:f>
        <x:v>0</x:v>
      </x:c>
      <x:c r="AK84" s="74" t="n">
        <x:f>MAX(M84-N84,0)+MAX(AJ84-AA84,0)+AE84+AF84</x:f>
        <x:v>0</x:v>
      </x:c>
    </x:row>
    <x:row r="85">
      <x:c r="A85" s="76"/>
      <x:c r="H85" s="77"/>
      <x:c r="I85" s="77"/>
      <x:c r="L85" s="74"/>
      <x:c r="M85" s="74"/>
      <x:c r="N85" s="74"/>
      <x:c r="O85" s="77"/>
      <x:c r="P85" s="77"/>
      <x:c r="Q85" s="77"/>
      <x:c r="R85" s="77"/>
      <x:c r="S85" s="77"/>
      <x:c r="V85" s="74"/>
      <x:c r="W85" s="74"/>
      <x:c r="X85" s="74"/>
      <x:c r="Y85" s="74"/>
      <x:c r="Z85" s="77"/>
      <x:c r="AA85" s="74"/>
      <x:c r="AB85" s="77"/>
      <x:c r="AE85" s="74"/>
      <x:c r="AF85" s="74"/>
      <x:c r="AG85" s="74"/>
      <x:c r="AJ85" s="74" t="n">
        <x:f>SUM(V85:Y85)+AG85</x:f>
        <x:v>0</x:v>
      </x:c>
      <x:c r="AK85" s="74" t="n">
        <x:f>MAX(M85-N85,0)+MAX(AJ85-AA85,0)+AE85+AF85</x:f>
        <x:v>0</x:v>
      </x:c>
    </x:row>
    <x:row r="86">
      <x:c r="A86" s="76"/>
      <x:c r="H86" s="77"/>
      <x:c r="I86" s="77"/>
      <x:c r="L86" s="74"/>
      <x:c r="M86" s="74"/>
      <x:c r="N86" s="74"/>
      <x:c r="O86" s="77"/>
      <x:c r="P86" s="77"/>
      <x:c r="Q86" s="77"/>
      <x:c r="R86" s="77"/>
      <x:c r="S86" s="77"/>
      <x:c r="V86" s="74"/>
      <x:c r="W86" s="74"/>
      <x:c r="X86" s="74"/>
      <x:c r="Y86" s="74"/>
      <x:c r="Z86" s="77"/>
      <x:c r="AA86" s="74"/>
      <x:c r="AB86" s="77"/>
      <x:c r="AE86" s="74"/>
      <x:c r="AF86" s="74"/>
      <x:c r="AG86" s="74"/>
      <x:c r="AJ86" s="74" t="n">
        <x:f>SUM(V86:Y86)+AG86</x:f>
        <x:v>0</x:v>
      </x:c>
      <x:c r="AK86" s="74" t="n">
        <x:f>MAX(M86-N86,0)+MAX(AJ86-AA86,0)+AE86+AF86</x:f>
        <x:v>0</x:v>
      </x:c>
    </x:row>
    <x:row r="87">
      <x:c r="A87" s="76"/>
      <x:c r="H87" s="77"/>
      <x:c r="I87" s="77"/>
      <x:c r="L87" s="74"/>
      <x:c r="M87" s="74"/>
      <x:c r="N87" s="74"/>
      <x:c r="O87" s="77"/>
      <x:c r="P87" s="77"/>
      <x:c r="Q87" s="77"/>
      <x:c r="R87" s="77"/>
      <x:c r="S87" s="77"/>
      <x:c r="V87" s="74"/>
      <x:c r="W87" s="74"/>
      <x:c r="X87" s="74"/>
      <x:c r="Y87" s="74"/>
      <x:c r="Z87" s="77"/>
      <x:c r="AA87" s="74"/>
      <x:c r="AB87" s="77"/>
      <x:c r="AE87" s="74"/>
      <x:c r="AF87" s="74"/>
      <x:c r="AG87" s="74"/>
      <x:c r="AJ87" s="74" t="n">
        <x:f>SUM(V87:Y87)+AG87</x:f>
        <x:v>0</x:v>
      </x:c>
      <x:c r="AK87" s="74" t="n">
        <x:f>MAX(M87-N87,0)+MAX(AJ87-AA87,0)+AE87+AF87</x:f>
        <x:v>0</x:v>
      </x:c>
    </x:row>
    <x:row r="88">
      <x:c r="A88" s="76"/>
      <x:c r="H88" s="77"/>
      <x:c r="I88" s="77"/>
      <x:c r="L88" s="74"/>
      <x:c r="M88" s="74"/>
      <x:c r="N88" s="74"/>
      <x:c r="O88" s="77"/>
      <x:c r="P88" s="77"/>
      <x:c r="Q88" s="77"/>
      <x:c r="R88" s="77"/>
      <x:c r="S88" s="77"/>
      <x:c r="V88" s="74"/>
      <x:c r="W88" s="74"/>
      <x:c r="X88" s="74"/>
      <x:c r="Y88" s="74"/>
      <x:c r="Z88" s="77"/>
      <x:c r="AA88" s="74"/>
      <x:c r="AB88" s="77"/>
      <x:c r="AE88" s="74"/>
      <x:c r="AF88" s="74"/>
      <x:c r="AG88" s="74"/>
      <x:c r="AJ88" s="74" t="n">
        <x:f>SUM(V88:Y88)+AG88</x:f>
        <x:v>0</x:v>
      </x:c>
      <x:c r="AK88" s="74" t="n">
        <x:f>MAX(M88-N88,0)+MAX(AJ88-AA88,0)+AE88+AF88</x:f>
        <x:v>0</x:v>
      </x:c>
    </x:row>
    <x:row r="89">
      <x:c r="A89" s="76"/>
      <x:c r="H89" s="77"/>
      <x:c r="I89" s="77"/>
      <x:c r="L89" s="74"/>
      <x:c r="M89" s="74"/>
      <x:c r="N89" s="74"/>
      <x:c r="O89" s="77"/>
      <x:c r="P89" s="77"/>
      <x:c r="Q89" s="77"/>
      <x:c r="R89" s="77"/>
      <x:c r="S89" s="77"/>
      <x:c r="V89" s="74"/>
      <x:c r="W89" s="74"/>
      <x:c r="X89" s="74"/>
      <x:c r="Y89" s="74"/>
      <x:c r="Z89" s="77"/>
      <x:c r="AA89" s="74"/>
      <x:c r="AB89" s="77"/>
      <x:c r="AE89" s="74"/>
      <x:c r="AF89" s="74"/>
      <x:c r="AG89" s="74"/>
      <x:c r="AJ89" s="74" t="n">
        <x:f>SUM(V89:Y89)+AG89</x:f>
        <x:v>0</x:v>
      </x:c>
      <x:c r="AK89" s="74" t="n">
        <x:f>MAX(M89-N89,0)+MAX(AJ89-AA89,0)+AE89+AF89</x:f>
        <x:v>0</x:v>
      </x:c>
    </x:row>
    <x:row r="90">
      <x:c r="A90" s="76"/>
      <x:c r="H90" s="77"/>
      <x:c r="I90" s="77"/>
      <x:c r="L90" s="74"/>
      <x:c r="M90" s="74"/>
      <x:c r="N90" s="74"/>
      <x:c r="O90" s="77"/>
      <x:c r="P90" s="77"/>
      <x:c r="Q90" s="77"/>
      <x:c r="R90" s="77"/>
      <x:c r="S90" s="77"/>
      <x:c r="V90" s="74"/>
      <x:c r="W90" s="74"/>
      <x:c r="X90" s="74"/>
      <x:c r="Y90" s="74"/>
      <x:c r="Z90" s="77"/>
      <x:c r="AA90" s="74"/>
      <x:c r="AB90" s="77"/>
      <x:c r="AE90" s="74"/>
      <x:c r="AF90" s="74"/>
      <x:c r="AG90" s="74"/>
      <x:c r="AJ90" s="74" t="n">
        <x:f>SUM(V90:Y90)+AG90</x:f>
        <x:v>0</x:v>
      </x:c>
      <x:c r="AK90" s="74" t="n">
        <x:f>MAX(M90-N90,0)+MAX(AJ90-AA90,0)+AE90+AF90</x:f>
        <x:v>0</x:v>
      </x:c>
    </x:row>
    <x:row r="91">
      <x:c r="A91" s="76"/>
      <x:c r="H91" s="77"/>
      <x:c r="I91" s="77"/>
      <x:c r="L91" s="74"/>
      <x:c r="M91" s="74"/>
      <x:c r="N91" s="74"/>
      <x:c r="O91" s="77"/>
      <x:c r="P91" s="77"/>
      <x:c r="Q91" s="77"/>
      <x:c r="R91" s="77"/>
      <x:c r="S91" s="77"/>
      <x:c r="V91" s="74"/>
      <x:c r="W91" s="74"/>
      <x:c r="X91" s="74"/>
      <x:c r="Y91" s="74"/>
      <x:c r="Z91" s="77"/>
      <x:c r="AA91" s="74"/>
      <x:c r="AB91" s="77"/>
      <x:c r="AE91" s="74"/>
      <x:c r="AF91" s="74"/>
      <x:c r="AG91" s="74"/>
      <x:c r="AJ91" s="74" t="n">
        <x:f>SUM(V91:Y91)+AG91</x:f>
        <x:v>0</x:v>
      </x:c>
      <x:c r="AK91" s="74" t="n">
        <x:f>MAX(M91-N91,0)+MAX(AJ91-AA91,0)+AE91+AF91</x:f>
        <x:v>0</x:v>
      </x:c>
    </x:row>
    <x:row r="92">
      <x:c r="A92" s="76"/>
      <x:c r="H92" s="77"/>
      <x:c r="I92" s="77"/>
      <x:c r="L92" s="74"/>
      <x:c r="M92" s="74"/>
      <x:c r="N92" s="74"/>
      <x:c r="O92" s="77"/>
      <x:c r="P92" s="77"/>
      <x:c r="Q92" s="77"/>
      <x:c r="R92" s="77"/>
      <x:c r="S92" s="77"/>
      <x:c r="V92" s="74"/>
      <x:c r="W92" s="74"/>
      <x:c r="X92" s="74"/>
      <x:c r="Y92" s="74"/>
      <x:c r="Z92" s="77"/>
      <x:c r="AA92" s="74"/>
      <x:c r="AB92" s="77"/>
      <x:c r="AE92" s="74"/>
      <x:c r="AF92" s="74"/>
      <x:c r="AG92" s="74"/>
      <x:c r="AJ92" s="74" t="n">
        <x:f>SUM(V92:Y92)+AG92</x:f>
        <x:v>0</x:v>
      </x:c>
      <x:c r="AK92" s="74" t="n">
        <x:f>MAX(M92-N92,0)+MAX(AJ92-AA92,0)+AE92+AF92</x:f>
        <x:v>0</x:v>
      </x:c>
    </x:row>
    <x:row r="93">
      <x:c r="A93" s="76"/>
      <x:c r="H93" s="77"/>
      <x:c r="I93" s="77"/>
      <x:c r="L93" s="74"/>
      <x:c r="M93" s="74"/>
      <x:c r="N93" s="74"/>
      <x:c r="O93" s="77"/>
      <x:c r="P93" s="77"/>
      <x:c r="Q93" s="77"/>
      <x:c r="R93" s="77"/>
      <x:c r="S93" s="77"/>
      <x:c r="V93" s="74"/>
      <x:c r="W93" s="74"/>
      <x:c r="X93" s="74"/>
      <x:c r="Y93" s="74"/>
      <x:c r="Z93" s="77"/>
      <x:c r="AA93" s="74"/>
      <x:c r="AB93" s="77"/>
      <x:c r="AE93" s="74"/>
      <x:c r="AF93" s="74"/>
      <x:c r="AG93" s="74"/>
      <x:c r="AJ93" s="74" t="n">
        <x:f>SUM(V93:Y93)+AG93</x:f>
        <x:v>0</x:v>
      </x:c>
      <x:c r="AK93" s="74" t="n">
        <x:f>MAX(M93-N93,0)+MAX(AJ93-AA93,0)+AE93+AF93</x:f>
        <x:v>0</x:v>
      </x:c>
    </x:row>
    <x:row r="94">
      <x:c r="A94" s="76"/>
      <x:c r="H94" s="77"/>
      <x:c r="I94" s="77"/>
      <x:c r="L94" s="74"/>
      <x:c r="M94" s="74"/>
      <x:c r="N94" s="74"/>
      <x:c r="O94" s="77"/>
      <x:c r="P94" s="77"/>
      <x:c r="Q94" s="77"/>
      <x:c r="R94" s="77"/>
      <x:c r="S94" s="77"/>
      <x:c r="V94" s="74"/>
      <x:c r="W94" s="74"/>
      <x:c r="X94" s="74"/>
      <x:c r="Y94" s="74"/>
      <x:c r="Z94" s="77"/>
      <x:c r="AA94" s="74"/>
      <x:c r="AB94" s="77"/>
      <x:c r="AE94" s="74"/>
      <x:c r="AF94" s="74"/>
      <x:c r="AG94" s="74"/>
      <x:c r="AJ94" s="74" t="n">
        <x:f>SUM(V94:Y94)+AG94</x:f>
        <x:v>0</x:v>
      </x:c>
      <x:c r="AK94" s="74" t="n">
        <x:f>MAX(M94-N94,0)+MAX(AJ94-AA94,0)+AE94+AF94</x:f>
        <x:v>0</x:v>
      </x:c>
    </x:row>
    <x:row r="95">
      <x:c r="A95" s="76"/>
      <x:c r="H95" s="77"/>
      <x:c r="I95" s="77"/>
      <x:c r="L95" s="74"/>
      <x:c r="M95" s="74"/>
      <x:c r="N95" s="74"/>
      <x:c r="O95" s="77"/>
      <x:c r="P95" s="77"/>
      <x:c r="Q95" s="77"/>
      <x:c r="R95" s="77"/>
      <x:c r="S95" s="77"/>
      <x:c r="V95" s="74"/>
      <x:c r="W95" s="74"/>
      <x:c r="X95" s="74"/>
      <x:c r="Y95" s="74"/>
      <x:c r="Z95" s="77"/>
      <x:c r="AA95" s="74"/>
      <x:c r="AB95" s="77"/>
      <x:c r="AE95" s="74"/>
      <x:c r="AF95" s="74"/>
      <x:c r="AG95" s="74"/>
      <x:c r="AJ95" s="74" t="n">
        <x:f>SUM(V95:Y95)+AG95</x:f>
        <x:v>0</x:v>
      </x:c>
      <x:c r="AK95" s="74" t="n">
        <x:f>MAX(M95-N95,0)+MAX(AJ95-AA95,0)+AE95+AF95</x:f>
        <x:v>0</x:v>
      </x:c>
    </x:row>
    <x:row r="96">
      <x:c r="A96" s="76"/>
      <x:c r="H96" s="77"/>
      <x:c r="I96" s="77"/>
      <x:c r="L96" s="74"/>
      <x:c r="M96" s="74"/>
      <x:c r="N96" s="74"/>
      <x:c r="O96" s="77"/>
      <x:c r="P96" s="77"/>
      <x:c r="Q96" s="77"/>
      <x:c r="R96" s="77"/>
      <x:c r="S96" s="77"/>
      <x:c r="V96" s="74"/>
      <x:c r="W96" s="74"/>
      <x:c r="X96" s="74"/>
      <x:c r="Y96" s="74"/>
      <x:c r="Z96" s="77"/>
      <x:c r="AA96" s="74"/>
      <x:c r="AB96" s="77"/>
      <x:c r="AE96" s="74"/>
      <x:c r="AF96" s="74"/>
      <x:c r="AG96" s="74"/>
      <x:c r="AJ96" s="74" t="n">
        <x:f>SUM(V96:Y96)+AG96</x:f>
        <x:v>0</x:v>
      </x:c>
      <x:c r="AK96" s="74" t="n">
        <x:f>MAX(M96-N96,0)+MAX(AJ96-AA96,0)+AE96+AF96</x:f>
        <x:v>0</x:v>
      </x:c>
    </x:row>
    <x:row r="97">
      <x:c r="A97" s="76"/>
      <x:c r="H97" s="77"/>
      <x:c r="I97" s="77"/>
      <x:c r="L97" s="74"/>
      <x:c r="M97" s="74"/>
      <x:c r="N97" s="74"/>
      <x:c r="O97" s="77"/>
      <x:c r="P97" s="77"/>
      <x:c r="Q97" s="77"/>
      <x:c r="R97" s="77"/>
      <x:c r="S97" s="77"/>
      <x:c r="V97" s="74"/>
      <x:c r="W97" s="74"/>
      <x:c r="X97" s="74"/>
      <x:c r="Y97" s="74"/>
      <x:c r="Z97" s="77"/>
      <x:c r="AA97" s="74"/>
      <x:c r="AB97" s="77"/>
      <x:c r="AE97" s="74"/>
      <x:c r="AF97" s="74"/>
      <x:c r="AG97" s="74"/>
      <x:c r="AJ97" s="74" t="n">
        <x:f>SUM(V97:Y97)+AG97</x:f>
        <x:v>0</x:v>
      </x:c>
      <x:c r="AK97" s="74" t="n">
        <x:f>MAX(M97-N97,0)+MAX(AJ97-AA97,0)+AE97+AF97</x:f>
        <x:v>0</x:v>
      </x:c>
    </x:row>
    <x:row r="98">
      <x:c r="A98" s="76"/>
      <x:c r="H98" s="77"/>
      <x:c r="I98" s="77"/>
      <x:c r="L98" s="74"/>
      <x:c r="M98" s="74"/>
      <x:c r="N98" s="74"/>
      <x:c r="O98" s="77"/>
      <x:c r="P98" s="77"/>
      <x:c r="Q98" s="77"/>
      <x:c r="R98" s="77"/>
      <x:c r="S98" s="77"/>
      <x:c r="V98" s="74"/>
      <x:c r="W98" s="74"/>
      <x:c r="X98" s="74"/>
      <x:c r="Y98" s="74"/>
      <x:c r="Z98" s="77"/>
      <x:c r="AA98" s="74"/>
      <x:c r="AB98" s="77"/>
      <x:c r="AE98" s="74"/>
      <x:c r="AF98" s="74"/>
      <x:c r="AG98" s="74"/>
      <x:c r="AJ98" s="74" t="n">
        <x:f>SUM(V98:Y98)+AG98</x:f>
        <x:v>0</x:v>
      </x:c>
      <x:c r="AK98" s="74" t="n">
        <x:f>MAX(M98-N98,0)+MAX(AJ98-AA98,0)+AE98+AF98</x:f>
        <x:v>0</x:v>
      </x:c>
    </x:row>
    <x:row r="99">
      <x:c r="A99" s="76"/>
      <x:c r="H99" s="77"/>
      <x:c r="I99" s="77"/>
      <x:c r="L99" s="74"/>
      <x:c r="M99" s="74"/>
      <x:c r="N99" s="74"/>
      <x:c r="O99" s="77"/>
      <x:c r="P99" s="77"/>
      <x:c r="Q99" s="77"/>
      <x:c r="R99" s="77"/>
      <x:c r="S99" s="77"/>
      <x:c r="V99" s="74"/>
      <x:c r="W99" s="74"/>
      <x:c r="X99" s="74"/>
      <x:c r="Y99" s="74"/>
      <x:c r="Z99" s="77"/>
      <x:c r="AA99" s="74"/>
      <x:c r="AB99" s="77"/>
      <x:c r="AE99" s="74"/>
      <x:c r="AF99" s="74"/>
      <x:c r="AG99" s="74"/>
      <x:c r="AJ99" s="74" t="n">
        <x:f>SUM(V99:Y99)+AG99</x:f>
        <x:v>0</x:v>
      </x:c>
      <x:c r="AK99" s="74" t="n">
        <x:f>MAX(M99-N99,0)+MAX(AJ99-AA99,0)+AE99+AF99</x:f>
        <x:v>0</x:v>
      </x:c>
    </x:row>
    <x:row r="100">
      <x:c r="A100" s="76"/>
      <x:c r="H100" s="77"/>
      <x:c r="I100" s="77"/>
      <x:c r="L100" s="74"/>
      <x:c r="M100" s="74"/>
      <x:c r="N100" s="74"/>
      <x:c r="O100" s="77"/>
      <x:c r="P100" s="77"/>
      <x:c r="Q100" s="77"/>
      <x:c r="R100" s="77"/>
      <x:c r="S100" s="77"/>
      <x:c r="V100" s="74"/>
      <x:c r="W100" s="74"/>
      <x:c r="X100" s="74"/>
      <x:c r="Y100" s="74"/>
      <x:c r="Z100" s="77"/>
      <x:c r="AA100" s="74"/>
      <x:c r="AB100" s="77"/>
      <x:c r="AE100" s="74"/>
      <x:c r="AF100" s="74"/>
      <x:c r="AG100" s="74"/>
      <x:c r="AJ100" s="74" t="n">
        <x:f>SUM(V100:Y100)+AG100</x:f>
        <x:v>0</x:v>
      </x:c>
      <x:c r="AK100" s="74" t="n">
        <x:f>MAX(M100-N100,0)+MAX(AJ100-AA100,0)+AE100+AF100</x:f>
        <x:v>0</x:v>
      </x:c>
    </x:row>
    <x:row r="101">
      <x:c r="A101" s="76"/>
      <x:c r="H101" s="77"/>
      <x:c r="I101" s="77"/>
      <x:c r="L101" s="74"/>
      <x:c r="M101" s="74"/>
      <x:c r="N101" s="74"/>
      <x:c r="O101" s="77"/>
      <x:c r="P101" s="77"/>
      <x:c r="Q101" s="77"/>
      <x:c r="R101" s="77"/>
      <x:c r="S101" s="77"/>
      <x:c r="V101" s="74"/>
      <x:c r="W101" s="74"/>
      <x:c r="X101" s="74"/>
      <x:c r="Y101" s="74"/>
      <x:c r="Z101" s="77"/>
      <x:c r="AA101" s="74"/>
      <x:c r="AB101" s="77"/>
      <x:c r="AE101" s="74"/>
      <x:c r="AF101" s="74"/>
      <x:c r="AG101" s="74"/>
      <x:c r="AJ101" s="74" t="n">
        <x:f>SUM(V101:Y101)+AG101</x:f>
        <x:v>0</x:v>
      </x:c>
      <x:c r="AK101" s="74" t="n">
        <x:f>MAX(M101-N101,0)+MAX(AJ101-AA101,0)+AE101+AF101</x:f>
        <x:v>0</x:v>
      </x:c>
    </x:row>
    <x:row r="102">
      <x:c r="A102" s="76"/>
      <x:c r="H102" s="77"/>
      <x:c r="I102" s="77"/>
      <x:c r="L102" s="74"/>
      <x:c r="M102" s="74"/>
      <x:c r="N102" s="74"/>
      <x:c r="O102" s="77"/>
      <x:c r="P102" s="77"/>
      <x:c r="Q102" s="77"/>
      <x:c r="R102" s="77"/>
      <x:c r="S102" s="77"/>
      <x:c r="V102" s="74"/>
      <x:c r="W102" s="74"/>
      <x:c r="X102" s="74"/>
      <x:c r="Y102" s="74"/>
      <x:c r="Z102" s="77"/>
      <x:c r="AA102" s="74"/>
      <x:c r="AB102" s="77"/>
      <x:c r="AE102" s="74"/>
      <x:c r="AF102" s="74"/>
      <x:c r="AG102" s="74"/>
      <x:c r="AJ102" s="74" t="n">
        <x:f>SUM(V102:Y102)+AG102</x:f>
        <x:v>0</x:v>
      </x:c>
      <x:c r="AK102" s="74" t="n">
        <x:f>MAX(M102-N102,0)+MAX(AJ102-AA102,0)+AE102+AF102</x:f>
        <x:v>0</x:v>
      </x:c>
    </x:row>
    <x:row r="103">
      <x:c r="A103" s="76"/>
      <x:c r="H103" s="77"/>
      <x:c r="I103" s="77"/>
      <x:c r="L103" s="74"/>
      <x:c r="M103" s="74"/>
      <x:c r="N103" s="74"/>
      <x:c r="O103" s="77"/>
      <x:c r="P103" s="77"/>
      <x:c r="Q103" s="77"/>
      <x:c r="R103" s="77"/>
      <x:c r="S103" s="77"/>
      <x:c r="V103" s="74"/>
      <x:c r="W103" s="74"/>
      <x:c r="X103" s="74"/>
      <x:c r="Y103" s="74"/>
      <x:c r="Z103" s="77"/>
      <x:c r="AA103" s="74"/>
      <x:c r="AB103" s="77"/>
      <x:c r="AE103" s="74"/>
      <x:c r="AF103" s="74"/>
      <x:c r="AG103" s="74"/>
      <x:c r="AJ103" s="74" t="n">
        <x:f>SUM(V103:Y103)+AG103</x:f>
        <x:v>0</x:v>
      </x:c>
      <x:c r="AK103" s="74" t="n">
        <x:f>MAX(M103-N103,0)+MAX(AJ103-AA103,0)+AE103+AF103</x:f>
        <x:v>0</x:v>
      </x:c>
    </x:row>
    <x:row r="104">
      <x:c r="A104" s="76"/>
      <x:c r="H104" s="77"/>
      <x:c r="I104" s="77"/>
      <x:c r="L104" s="74"/>
      <x:c r="M104" s="74"/>
      <x:c r="N104" s="74"/>
      <x:c r="O104" s="77"/>
      <x:c r="P104" s="77"/>
      <x:c r="Q104" s="77"/>
      <x:c r="R104" s="77"/>
      <x:c r="S104" s="77"/>
      <x:c r="V104" s="74"/>
      <x:c r="W104" s="74"/>
      <x:c r="X104" s="74"/>
      <x:c r="Y104" s="74"/>
      <x:c r="Z104" s="77"/>
      <x:c r="AA104" s="74"/>
      <x:c r="AB104" s="77"/>
      <x:c r="AE104" s="74"/>
      <x:c r="AF104" s="74"/>
      <x:c r="AG104" s="74"/>
      <x:c r="AJ104" s="74" t="n">
        <x:f>SUM(V104:Y104)+AG104</x:f>
        <x:v>0</x:v>
      </x:c>
      <x:c r="AK104" s="74" t="n">
        <x:f>MAX(M104-N104,0)+MAX(AJ104-AA104,0)+AE104+AF104</x:f>
        <x:v>0</x:v>
      </x:c>
    </x:row>
    <x:row r="105">
      <x:c r="A105" s="76"/>
      <x:c r="H105" s="77"/>
      <x:c r="I105" s="77"/>
      <x:c r="L105" s="74"/>
      <x:c r="M105" s="74"/>
      <x:c r="N105" s="74"/>
      <x:c r="O105" s="77"/>
      <x:c r="P105" s="77"/>
      <x:c r="Q105" s="77"/>
      <x:c r="R105" s="77"/>
      <x:c r="S105" s="77"/>
      <x:c r="V105" s="74"/>
      <x:c r="W105" s="74"/>
      <x:c r="X105" s="74"/>
      <x:c r="Y105" s="74"/>
      <x:c r="Z105" s="77"/>
      <x:c r="AA105" s="74"/>
      <x:c r="AB105" s="77"/>
      <x:c r="AE105" s="74"/>
      <x:c r="AF105" s="74"/>
      <x:c r="AG105" s="74"/>
      <x:c r="AJ105" s="74" t="n">
        <x:f>SUM(V105:Y105)+AG105</x:f>
        <x:v>0</x:v>
      </x:c>
      <x:c r="AK105" s="74" t="n">
        <x:f>MAX(M105-N105,0)+MAX(AJ105-AA105,0)+AE105+AF105</x:f>
        <x:v>0</x:v>
      </x:c>
    </x:row>
    <x:row r="106">
      <x:c r="A106" s="76"/>
      <x:c r="H106" s="77"/>
      <x:c r="I106" s="77"/>
      <x:c r="L106" s="74"/>
      <x:c r="M106" s="74"/>
      <x:c r="N106" s="74"/>
      <x:c r="O106" s="77"/>
      <x:c r="P106" s="77"/>
      <x:c r="Q106" s="77"/>
      <x:c r="R106" s="77"/>
      <x:c r="S106" s="77"/>
      <x:c r="V106" s="74"/>
      <x:c r="W106" s="74"/>
      <x:c r="X106" s="74"/>
      <x:c r="Y106" s="74"/>
      <x:c r="Z106" s="77"/>
      <x:c r="AA106" s="74"/>
      <x:c r="AB106" s="77"/>
      <x:c r="AE106" s="74"/>
      <x:c r="AF106" s="74"/>
      <x:c r="AG106" s="74"/>
      <x:c r="AJ106" s="74" t="n">
        <x:f>SUM(V106:Y106)+AG106</x:f>
        <x:v>0</x:v>
      </x:c>
      <x:c r="AK106" s="74" t="n">
        <x:f>MAX(M106-N106,0)+MAX(AJ106-AA106,0)+AE106+AF106</x:f>
        <x:v>0</x:v>
      </x:c>
    </x:row>
    <x:row r="107">
      <x:c r="A107" s="76"/>
      <x:c r="H107" s="77"/>
      <x:c r="I107" s="77"/>
      <x:c r="L107" s="74"/>
      <x:c r="M107" s="74"/>
      <x:c r="N107" s="74"/>
      <x:c r="O107" s="77"/>
      <x:c r="P107" s="77"/>
      <x:c r="Q107" s="77"/>
      <x:c r="R107" s="77"/>
      <x:c r="S107" s="77"/>
      <x:c r="V107" s="74"/>
      <x:c r="W107" s="74"/>
      <x:c r="X107" s="74"/>
      <x:c r="Y107" s="74"/>
      <x:c r="Z107" s="77"/>
      <x:c r="AA107" s="74"/>
      <x:c r="AB107" s="77"/>
      <x:c r="AE107" s="74"/>
      <x:c r="AF107" s="74"/>
      <x:c r="AG107" s="74"/>
      <x:c r="AJ107" s="74" t="n">
        <x:f>SUM(V107:Y107)+AG107</x:f>
        <x:v>0</x:v>
      </x:c>
      <x:c r="AK107" s="74" t="n">
        <x:f>MAX(M107-N107,0)+MAX(AJ107-AA107,0)+AE107+AF107</x:f>
        <x:v>0</x:v>
      </x:c>
    </x:row>
    <x:row r="108">
      <x:c r="A108" s="76"/>
      <x:c r="H108" s="77"/>
      <x:c r="I108" s="77"/>
      <x:c r="L108" s="74"/>
      <x:c r="M108" s="74"/>
      <x:c r="N108" s="74"/>
      <x:c r="O108" s="77"/>
      <x:c r="P108" s="77"/>
      <x:c r="Q108" s="77"/>
      <x:c r="R108" s="77"/>
      <x:c r="S108" s="77"/>
      <x:c r="V108" s="74"/>
      <x:c r="W108" s="74"/>
      <x:c r="X108" s="74"/>
      <x:c r="Y108" s="74"/>
      <x:c r="Z108" s="77"/>
      <x:c r="AA108" s="74"/>
      <x:c r="AB108" s="77"/>
      <x:c r="AE108" s="74"/>
      <x:c r="AF108" s="74"/>
      <x:c r="AG108" s="74"/>
      <x:c r="AJ108" s="74" t="n">
        <x:f>SUM(V108:Y108)+AG108</x:f>
        <x:v>0</x:v>
      </x:c>
      <x:c r="AK108" s="74" t="n">
        <x:f>MAX(M108-N108,0)+MAX(AJ108-AA108,0)+AE108+AF108</x:f>
        <x:v>0</x:v>
      </x:c>
    </x:row>
    <x:row r="109">
      <x:c r="A109" s="76"/>
      <x:c r="H109" s="77"/>
      <x:c r="I109" s="77"/>
      <x:c r="L109" s="74"/>
      <x:c r="M109" s="74"/>
      <x:c r="N109" s="74"/>
      <x:c r="O109" s="77"/>
      <x:c r="P109" s="77"/>
      <x:c r="Q109" s="77"/>
      <x:c r="R109" s="77"/>
      <x:c r="S109" s="77"/>
      <x:c r="V109" s="74"/>
      <x:c r="W109" s="74"/>
      <x:c r="X109" s="74"/>
      <x:c r="Y109" s="74"/>
      <x:c r="Z109" s="77"/>
      <x:c r="AA109" s="74"/>
      <x:c r="AB109" s="77"/>
      <x:c r="AE109" s="74"/>
      <x:c r="AF109" s="74"/>
      <x:c r="AG109" s="74"/>
      <x:c r="AJ109" s="74" t="n">
        <x:f>SUM(V109:Y109)+AG109</x:f>
        <x:v>0</x:v>
      </x:c>
      <x:c r="AK109" s="74" t="n">
        <x:f>MAX(M109-N109,0)+MAX(AJ109-AA109,0)+AE109+AF109</x:f>
        <x:v>0</x:v>
      </x:c>
    </x:row>
    <x:row r="110">
      <x:c r="A110" s="76"/>
      <x:c r="H110" s="77"/>
      <x:c r="I110" s="77"/>
      <x:c r="L110" s="74"/>
      <x:c r="M110" s="74"/>
      <x:c r="N110" s="74"/>
      <x:c r="O110" s="77"/>
      <x:c r="P110" s="77"/>
      <x:c r="Q110" s="77"/>
      <x:c r="R110" s="77"/>
      <x:c r="S110" s="77"/>
      <x:c r="V110" s="74"/>
      <x:c r="W110" s="74"/>
      <x:c r="X110" s="74"/>
      <x:c r="Y110" s="74"/>
      <x:c r="Z110" s="77"/>
      <x:c r="AA110" s="74"/>
      <x:c r="AB110" s="77"/>
      <x:c r="AE110" s="74"/>
      <x:c r="AF110" s="74"/>
      <x:c r="AG110" s="74"/>
      <x:c r="AJ110" s="74" t="n">
        <x:f>SUM(V110:Y110)+AG110</x:f>
        <x:v>0</x:v>
      </x:c>
      <x:c r="AK110" s="74" t="n">
        <x:f>MAX(M110-N110,0)+MAX(AJ110-AA110,0)+AE110+AF110</x:f>
        <x:v>0</x:v>
      </x:c>
    </x:row>
    <x:row r="111">
      <x:c r="A111" s="76"/>
      <x:c r="H111" s="77"/>
      <x:c r="I111" s="77"/>
      <x:c r="L111" s="74"/>
      <x:c r="M111" s="74"/>
      <x:c r="N111" s="74"/>
      <x:c r="O111" s="77"/>
      <x:c r="P111" s="77"/>
      <x:c r="Q111" s="77"/>
      <x:c r="R111" s="77"/>
      <x:c r="S111" s="77"/>
      <x:c r="V111" s="74"/>
      <x:c r="W111" s="74"/>
      <x:c r="X111" s="74"/>
      <x:c r="Y111" s="74"/>
      <x:c r="Z111" s="77"/>
      <x:c r="AA111" s="74"/>
      <x:c r="AB111" s="77"/>
      <x:c r="AE111" s="74"/>
      <x:c r="AF111" s="74"/>
      <x:c r="AG111" s="74"/>
      <x:c r="AJ111" s="74" t="n">
        <x:f>SUM(V111:Y111)+AG111</x:f>
        <x:v>0</x:v>
      </x:c>
      <x:c r="AK111" s="74" t="n">
        <x:f>MAX(M111-N111,0)+MAX(AJ111-AA111,0)+AE111+AF111</x:f>
        <x:v>0</x:v>
      </x:c>
    </x:row>
    <x:row r="112">
      <x:c r="A112" s="76"/>
      <x:c r="H112" s="77"/>
      <x:c r="I112" s="77"/>
      <x:c r="L112" s="74"/>
      <x:c r="M112" s="74"/>
      <x:c r="N112" s="74"/>
      <x:c r="O112" s="77"/>
      <x:c r="P112" s="77"/>
      <x:c r="Q112" s="77"/>
      <x:c r="R112" s="77"/>
      <x:c r="S112" s="77"/>
      <x:c r="V112" s="74"/>
      <x:c r="W112" s="74"/>
      <x:c r="X112" s="74"/>
      <x:c r="Y112" s="74"/>
      <x:c r="Z112" s="77"/>
      <x:c r="AA112" s="74"/>
      <x:c r="AB112" s="77"/>
      <x:c r="AE112" s="74"/>
      <x:c r="AF112" s="74"/>
      <x:c r="AG112" s="74"/>
      <x:c r="AJ112" s="74" t="n">
        <x:f>SUM(V112:Y112)+AG112</x:f>
        <x:v>0</x:v>
      </x:c>
      <x:c r="AK112" s="74" t="n">
        <x:f>MAX(M112-N112,0)+MAX(AJ112-AA112,0)+AE112+AF112</x:f>
        <x:v>0</x:v>
      </x:c>
    </x:row>
    <x:row r="113">
      <x:c r="A113" s="76"/>
      <x:c r="H113" s="77"/>
      <x:c r="I113" s="77"/>
      <x:c r="L113" s="74"/>
      <x:c r="M113" s="74"/>
      <x:c r="N113" s="74"/>
      <x:c r="O113" s="77"/>
      <x:c r="P113" s="77"/>
      <x:c r="Q113" s="77"/>
      <x:c r="R113" s="77"/>
      <x:c r="S113" s="77"/>
      <x:c r="V113" s="74"/>
      <x:c r="W113" s="74"/>
      <x:c r="X113" s="74"/>
      <x:c r="Y113" s="74"/>
      <x:c r="Z113" s="77"/>
      <x:c r="AA113" s="74"/>
      <x:c r="AB113" s="77"/>
      <x:c r="AE113" s="74"/>
      <x:c r="AF113" s="74"/>
      <x:c r="AG113" s="74"/>
      <x:c r="AJ113" s="74" t="n">
        <x:f>SUM(V113:Y113)+AG113</x:f>
        <x:v>0</x:v>
      </x:c>
      <x:c r="AK113" s="74" t="n">
        <x:f>MAX(M113-N113,0)+MAX(AJ113-AA113,0)+AE113+AF113</x:f>
        <x:v>0</x:v>
      </x:c>
    </x:row>
    <x:row r="114">
      <x:c r="A114" s="76"/>
      <x:c r="H114" s="77"/>
      <x:c r="I114" s="77"/>
      <x:c r="L114" s="74"/>
      <x:c r="M114" s="74"/>
      <x:c r="N114" s="74"/>
      <x:c r="O114" s="77"/>
      <x:c r="P114" s="77"/>
      <x:c r="Q114" s="77"/>
      <x:c r="R114" s="77"/>
      <x:c r="S114" s="77"/>
      <x:c r="V114" s="74"/>
      <x:c r="W114" s="74"/>
      <x:c r="X114" s="74"/>
      <x:c r="Y114" s="74"/>
      <x:c r="Z114" s="77"/>
      <x:c r="AA114" s="74"/>
      <x:c r="AB114" s="77"/>
      <x:c r="AE114" s="74"/>
      <x:c r="AF114" s="74"/>
      <x:c r="AG114" s="74"/>
      <x:c r="AJ114" s="74" t="n">
        <x:f>SUM(V114:Y114)+AG114</x:f>
        <x:v>0</x:v>
      </x:c>
      <x:c r="AK114" s="74" t="n">
        <x:f>MAX(M114-N114,0)+MAX(AJ114-AA114,0)+AE114+AF114</x:f>
        <x:v>0</x:v>
      </x:c>
    </x:row>
    <x:row r="115">
      <x:c r="A115" s="76"/>
      <x:c r="H115" s="77"/>
      <x:c r="I115" s="77"/>
      <x:c r="L115" s="74"/>
      <x:c r="M115" s="74"/>
      <x:c r="N115" s="74"/>
      <x:c r="O115" s="77"/>
      <x:c r="P115" s="77"/>
      <x:c r="Q115" s="77"/>
      <x:c r="R115" s="77"/>
      <x:c r="S115" s="77"/>
      <x:c r="V115" s="74"/>
      <x:c r="W115" s="74"/>
      <x:c r="X115" s="74"/>
      <x:c r="Y115" s="74"/>
      <x:c r="Z115" s="77"/>
      <x:c r="AA115" s="74"/>
      <x:c r="AB115" s="77"/>
      <x:c r="AE115" s="74"/>
      <x:c r="AF115" s="74"/>
      <x:c r="AG115" s="74"/>
      <x:c r="AJ115" s="74" t="n">
        <x:f>SUM(V115:Y115)+AG115</x:f>
        <x:v>0</x:v>
      </x:c>
      <x:c r="AK115" s="74" t="n">
        <x:f>MAX(M115-N115,0)+MAX(AJ115-AA115,0)+AE115+AF115</x:f>
        <x:v>0</x:v>
      </x:c>
    </x:row>
    <x:row r="116">
      <x:c r="A116" s="76"/>
      <x:c r="H116" s="77"/>
      <x:c r="I116" s="77"/>
      <x:c r="L116" s="74"/>
      <x:c r="M116" s="74"/>
      <x:c r="N116" s="74"/>
      <x:c r="O116" s="77"/>
      <x:c r="P116" s="77"/>
      <x:c r="Q116" s="77"/>
      <x:c r="R116" s="77"/>
      <x:c r="S116" s="77"/>
      <x:c r="V116" s="74"/>
      <x:c r="W116" s="74"/>
      <x:c r="X116" s="74"/>
      <x:c r="Y116" s="74"/>
      <x:c r="Z116" s="77"/>
      <x:c r="AA116" s="74"/>
      <x:c r="AB116" s="77"/>
      <x:c r="AE116" s="74"/>
      <x:c r="AF116" s="74"/>
      <x:c r="AG116" s="74"/>
      <x:c r="AJ116" s="74" t="n">
        <x:f>SUM(V116:Y116)+AG116</x:f>
        <x:v>0</x:v>
      </x:c>
      <x:c r="AK116" s="74" t="n">
        <x:f>MAX(M116-N116,0)+MAX(AJ116-AA116,0)+AE116+AF116</x:f>
        <x:v>0</x:v>
      </x:c>
    </x:row>
    <x:row r="117">
      <x:c r="A117" s="76"/>
      <x:c r="H117" s="77"/>
      <x:c r="I117" s="77"/>
      <x:c r="L117" s="74"/>
      <x:c r="M117" s="74"/>
      <x:c r="N117" s="74"/>
      <x:c r="O117" s="77"/>
      <x:c r="P117" s="77"/>
      <x:c r="Q117" s="77"/>
      <x:c r="R117" s="77"/>
      <x:c r="S117" s="77"/>
      <x:c r="V117" s="74"/>
      <x:c r="W117" s="74"/>
      <x:c r="X117" s="74"/>
      <x:c r="Y117" s="74"/>
      <x:c r="Z117" s="77"/>
      <x:c r="AA117" s="74"/>
      <x:c r="AB117" s="77"/>
      <x:c r="AE117" s="74"/>
      <x:c r="AF117" s="74"/>
      <x:c r="AG117" s="74"/>
      <x:c r="AJ117" s="74" t="n">
        <x:f>SUM(V117:Y117)+AG117</x:f>
        <x:v>0</x:v>
      </x:c>
      <x:c r="AK117" s="74" t="n">
        <x:f>MAX(M117-N117,0)+MAX(AJ117-AA117,0)+AE117+AF117</x:f>
        <x:v>0</x:v>
      </x:c>
    </x:row>
    <x:row r="118">
      <x:c r="A118" s="76"/>
      <x:c r="H118" s="77"/>
      <x:c r="I118" s="77"/>
      <x:c r="L118" s="74"/>
      <x:c r="M118" s="74"/>
      <x:c r="N118" s="74"/>
      <x:c r="O118" s="77"/>
      <x:c r="P118" s="77"/>
      <x:c r="Q118" s="77"/>
      <x:c r="R118" s="77"/>
      <x:c r="S118" s="77"/>
      <x:c r="V118" s="74"/>
      <x:c r="W118" s="74"/>
      <x:c r="X118" s="74"/>
      <x:c r="Y118" s="74"/>
      <x:c r="Z118" s="77"/>
      <x:c r="AA118" s="74"/>
      <x:c r="AB118" s="77"/>
      <x:c r="AE118" s="74"/>
      <x:c r="AF118" s="74"/>
      <x:c r="AG118" s="74"/>
      <x:c r="AJ118" s="74" t="n">
        <x:f>SUM(V118:Y118)+AG118</x:f>
        <x:v>0</x:v>
      </x:c>
      <x:c r="AK118" s="74" t="n">
        <x:f>MAX(M118-N118,0)+MAX(AJ118-AA118,0)+AE118+AF118</x:f>
        <x:v>0</x:v>
      </x:c>
    </x:row>
    <x:row r="119">
      <x:c r="A119" s="76"/>
      <x:c r="H119" s="77"/>
      <x:c r="I119" s="77"/>
      <x:c r="L119" s="74"/>
      <x:c r="M119" s="74"/>
      <x:c r="N119" s="74"/>
      <x:c r="O119" s="77"/>
      <x:c r="P119" s="77"/>
      <x:c r="Q119" s="77"/>
      <x:c r="R119" s="77"/>
      <x:c r="S119" s="77"/>
      <x:c r="V119" s="74"/>
      <x:c r="W119" s="74"/>
      <x:c r="X119" s="74"/>
      <x:c r="Y119" s="74"/>
      <x:c r="Z119" s="77"/>
      <x:c r="AA119" s="74"/>
      <x:c r="AB119" s="77"/>
      <x:c r="AE119" s="74"/>
      <x:c r="AF119" s="74"/>
      <x:c r="AG119" s="74"/>
      <x:c r="AJ119" s="74" t="n">
        <x:f>SUM(V119:Y119)+AG119</x:f>
        <x:v>0</x:v>
      </x:c>
      <x:c r="AK119" s="74" t="n">
        <x:f>MAX(M119-N119,0)+MAX(AJ119-AA119,0)+AE119+AF119</x:f>
        <x:v>0</x:v>
      </x:c>
    </x:row>
    <x:row r="120">
      <x:c r="A120" s="76"/>
      <x:c r="H120" s="77"/>
      <x:c r="I120" s="77"/>
      <x:c r="L120" s="74"/>
      <x:c r="M120" s="74"/>
      <x:c r="N120" s="74"/>
      <x:c r="O120" s="77"/>
      <x:c r="P120" s="77"/>
      <x:c r="Q120" s="77"/>
      <x:c r="R120" s="77"/>
      <x:c r="S120" s="77"/>
      <x:c r="V120" s="74"/>
      <x:c r="W120" s="74"/>
      <x:c r="X120" s="74"/>
      <x:c r="Y120" s="74"/>
      <x:c r="Z120" s="77"/>
      <x:c r="AA120" s="74"/>
      <x:c r="AB120" s="77"/>
      <x:c r="AE120" s="74"/>
      <x:c r="AF120" s="74"/>
      <x:c r="AG120" s="74"/>
      <x:c r="AJ120" s="74" t="n">
        <x:f>SUM(V120:Y120)+AG120</x:f>
        <x:v>0</x:v>
      </x:c>
      <x:c r="AK120" s="74" t="n">
        <x:f>MAX(M120-N120,0)+MAX(AJ120-AA120,0)+AE120+AF120</x:f>
        <x:v>0</x:v>
      </x:c>
    </x:row>
    <x:row r="121">
      <x:c r="A121" s="76"/>
      <x:c r="H121" s="77"/>
      <x:c r="I121" s="77"/>
      <x:c r="L121" s="74"/>
      <x:c r="M121" s="74"/>
      <x:c r="N121" s="74"/>
      <x:c r="O121" s="77"/>
      <x:c r="P121" s="77"/>
      <x:c r="Q121" s="77"/>
      <x:c r="R121" s="77"/>
      <x:c r="S121" s="77"/>
      <x:c r="V121" s="74"/>
      <x:c r="W121" s="74"/>
      <x:c r="X121" s="74"/>
      <x:c r="Y121" s="74"/>
      <x:c r="Z121" s="77"/>
      <x:c r="AA121" s="74"/>
      <x:c r="AB121" s="77"/>
      <x:c r="AE121" s="74"/>
      <x:c r="AF121" s="74"/>
      <x:c r="AG121" s="74"/>
      <x:c r="AJ121" s="74" t="n">
        <x:f>SUM(V121:Y121)+AG121</x:f>
        <x:v>0</x:v>
      </x:c>
      <x:c r="AK121" s="74" t="n">
        <x:f>MAX(M121-N121,0)+MAX(AJ121-AA121,0)+AE121+AF121</x:f>
        <x:v>0</x:v>
      </x:c>
    </x:row>
    <x:row r="122">
      <x:c r="A122" s="76"/>
      <x:c r="H122" s="77"/>
      <x:c r="I122" s="77"/>
      <x:c r="L122" s="74"/>
      <x:c r="M122" s="74"/>
      <x:c r="N122" s="74"/>
      <x:c r="O122" s="77"/>
      <x:c r="P122" s="77"/>
      <x:c r="Q122" s="77"/>
      <x:c r="R122" s="77"/>
      <x:c r="S122" s="77"/>
      <x:c r="V122" s="74"/>
      <x:c r="W122" s="74"/>
      <x:c r="X122" s="74"/>
      <x:c r="Y122" s="74"/>
      <x:c r="Z122" s="77"/>
      <x:c r="AA122" s="74"/>
      <x:c r="AB122" s="77"/>
      <x:c r="AE122" s="74"/>
      <x:c r="AF122" s="74"/>
      <x:c r="AG122" s="74"/>
      <x:c r="AJ122" s="74" t="n">
        <x:f>SUM(V122:Y122)+AG122</x:f>
        <x:v>0</x:v>
      </x:c>
      <x:c r="AK122" s="74" t="n">
        <x:f>MAX(M122-N122,0)+MAX(AJ122-AA122,0)+AE122+AF122</x:f>
        <x:v>0</x:v>
      </x:c>
    </x:row>
    <x:row r="123">
      <x:c r="A123" s="76"/>
      <x:c r="H123" s="77"/>
      <x:c r="I123" s="77"/>
      <x:c r="L123" s="74"/>
      <x:c r="M123" s="74"/>
      <x:c r="N123" s="74"/>
      <x:c r="O123" s="77"/>
      <x:c r="P123" s="77"/>
      <x:c r="Q123" s="77"/>
      <x:c r="R123" s="77"/>
      <x:c r="S123" s="77"/>
      <x:c r="V123" s="74"/>
      <x:c r="W123" s="74"/>
      <x:c r="X123" s="74"/>
      <x:c r="Y123" s="74"/>
      <x:c r="Z123" s="77"/>
      <x:c r="AA123" s="74"/>
      <x:c r="AB123" s="77"/>
      <x:c r="AE123" s="74"/>
      <x:c r="AF123" s="74"/>
      <x:c r="AG123" s="74"/>
      <x:c r="AJ123" s="74" t="n">
        <x:f>SUM(V123:Y123)+AG123</x:f>
        <x:v>0</x:v>
      </x:c>
      <x:c r="AK123" s="74" t="n">
        <x:f>MAX(M123-N123,0)+MAX(AJ123-AA123,0)+AE123+AF123</x:f>
        <x:v>0</x:v>
      </x:c>
    </x:row>
    <x:row r="124">
      <x:c r="A124" s="76"/>
      <x:c r="H124" s="77"/>
      <x:c r="I124" s="77"/>
      <x:c r="L124" s="74"/>
      <x:c r="M124" s="74"/>
      <x:c r="N124" s="74"/>
      <x:c r="O124" s="77"/>
      <x:c r="P124" s="77"/>
      <x:c r="Q124" s="77"/>
      <x:c r="R124" s="77"/>
      <x:c r="S124" s="77"/>
      <x:c r="V124" s="74"/>
      <x:c r="W124" s="74"/>
      <x:c r="X124" s="74"/>
      <x:c r="Y124" s="74"/>
      <x:c r="Z124" s="77"/>
      <x:c r="AA124" s="74"/>
      <x:c r="AB124" s="77"/>
      <x:c r="AE124" s="74"/>
      <x:c r="AF124" s="74"/>
      <x:c r="AG124" s="74"/>
      <x:c r="AJ124" s="74" t="n">
        <x:f>SUM(V124:Y124)+AG124</x:f>
        <x:v>0</x:v>
      </x:c>
      <x:c r="AK124" s="74" t="n">
        <x:f>MAX(M124-N124,0)+MAX(AJ124-AA124,0)+AE124+AF124</x:f>
        <x:v>0</x:v>
      </x:c>
    </x:row>
    <x:row r="125">
      <x:c r="A125" s="76"/>
      <x:c r="H125" s="77"/>
      <x:c r="I125" s="77"/>
      <x:c r="L125" s="74"/>
      <x:c r="M125" s="74"/>
      <x:c r="N125" s="74"/>
      <x:c r="O125" s="77"/>
      <x:c r="P125" s="77"/>
      <x:c r="Q125" s="77"/>
      <x:c r="R125" s="77"/>
      <x:c r="S125" s="77"/>
      <x:c r="V125" s="74"/>
      <x:c r="W125" s="74"/>
      <x:c r="X125" s="74"/>
      <x:c r="Y125" s="74"/>
      <x:c r="Z125" s="77"/>
      <x:c r="AA125" s="74"/>
      <x:c r="AB125" s="77"/>
      <x:c r="AE125" s="74"/>
      <x:c r="AF125" s="74"/>
      <x:c r="AG125" s="74"/>
      <x:c r="AJ125" s="74" t="n">
        <x:f>SUM(V125:Y125)+AG125</x:f>
        <x:v>0</x:v>
      </x:c>
      <x:c r="AK125" s="74" t="n">
        <x:f>MAX(M125-N125,0)+MAX(AJ125-AA125,0)+AE125+AF125</x:f>
        <x:v>0</x:v>
      </x:c>
    </x:row>
    <x:row r="126">
      <x:c r="A126" s="76"/>
      <x:c r="H126" s="77"/>
      <x:c r="I126" s="77"/>
      <x:c r="L126" s="74"/>
      <x:c r="M126" s="74"/>
      <x:c r="N126" s="74"/>
      <x:c r="O126" s="77"/>
      <x:c r="P126" s="77"/>
      <x:c r="Q126" s="77"/>
      <x:c r="R126" s="77"/>
      <x:c r="S126" s="77"/>
      <x:c r="V126" s="74"/>
      <x:c r="W126" s="74"/>
      <x:c r="X126" s="74"/>
      <x:c r="Y126" s="74"/>
      <x:c r="Z126" s="77"/>
      <x:c r="AA126" s="74"/>
      <x:c r="AB126" s="77"/>
      <x:c r="AE126" s="74"/>
      <x:c r="AF126" s="74"/>
      <x:c r="AG126" s="74"/>
      <x:c r="AJ126" s="74" t="n">
        <x:f>SUM(V126:Y126)+AG126</x:f>
        <x:v>0</x:v>
      </x:c>
      <x:c r="AK126" s="74" t="n">
        <x:f>MAX(M126-N126,0)+MAX(AJ126-AA126,0)+AE126+AF126</x:f>
        <x:v>0</x:v>
      </x:c>
    </x:row>
    <x:row r="127">
      <x:c r="A127" s="76"/>
      <x:c r="H127" s="77"/>
      <x:c r="I127" s="77"/>
      <x:c r="L127" s="74"/>
      <x:c r="M127" s="74"/>
      <x:c r="N127" s="74"/>
      <x:c r="O127" s="77"/>
      <x:c r="P127" s="77"/>
      <x:c r="Q127" s="77"/>
      <x:c r="R127" s="77"/>
      <x:c r="S127" s="77"/>
      <x:c r="V127" s="74"/>
      <x:c r="W127" s="74"/>
      <x:c r="X127" s="74"/>
      <x:c r="Y127" s="74"/>
      <x:c r="Z127" s="77"/>
      <x:c r="AA127" s="74"/>
      <x:c r="AB127" s="77"/>
      <x:c r="AE127" s="74"/>
      <x:c r="AF127" s="74"/>
      <x:c r="AG127" s="74"/>
      <x:c r="AJ127" s="74" t="n">
        <x:f>SUM(V127:Y127)+AG127</x:f>
        <x:v>0</x:v>
      </x:c>
      <x:c r="AK127" s="74" t="n">
        <x:f>MAX(M127-N127,0)+MAX(AJ127-AA127,0)+AE127+AF127</x:f>
        <x:v>0</x:v>
      </x:c>
    </x:row>
    <x:row r="128">
      <x:c r="A128" s="76"/>
      <x:c r="H128" s="77"/>
      <x:c r="I128" s="77"/>
      <x:c r="L128" s="74"/>
      <x:c r="M128" s="74"/>
      <x:c r="N128" s="74"/>
      <x:c r="O128" s="77"/>
      <x:c r="P128" s="77"/>
      <x:c r="Q128" s="77"/>
      <x:c r="R128" s="77"/>
      <x:c r="S128" s="77"/>
      <x:c r="V128" s="74"/>
      <x:c r="W128" s="74"/>
      <x:c r="X128" s="74"/>
      <x:c r="Y128" s="74"/>
      <x:c r="Z128" s="77"/>
      <x:c r="AA128" s="74"/>
      <x:c r="AB128" s="77"/>
      <x:c r="AE128" s="74"/>
      <x:c r="AF128" s="74"/>
      <x:c r="AG128" s="74"/>
      <x:c r="AJ128" s="74" t="n">
        <x:f>SUM(V128:Y128)+AG128</x:f>
        <x:v>0</x:v>
      </x:c>
      <x:c r="AK128" s="74" t="n">
        <x:f>MAX(M128-N128,0)+MAX(AJ128-AA128,0)+AE128+AF128</x:f>
        <x:v>0</x:v>
      </x:c>
    </x:row>
    <x:row r="129">
      <x:c r="A129" s="76"/>
      <x:c r="H129" s="77"/>
      <x:c r="I129" s="77"/>
      <x:c r="L129" s="74"/>
      <x:c r="M129" s="74"/>
      <x:c r="N129" s="74"/>
      <x:c r="O129" s="77"/>
      <x:c r="P129" s="77"/>
      <x:c r="Q129" s="77"/>
      <x:c r="R129" s="77"/>
      <x:c r="S129" s="77"/>
      <x:c r="V129" s="74"/>
      <x:c r="W129" s="74"/>
      <x:c r="X129" s="74"/>
      <x:c r="Y129" s="74"/>
      <x:c r="Z129" s="77"/>
      <x:c r="AA129" s="74"/>
      <x:c r="AB129" s="77"/>
      <x:c r="AE129" s="74"/>
      <x:c r="AF129" s="74"/>
      <x:c r="AG129" s="74"/>
      <x:c r="AJ129" s="74" t="n">
        <x:f>SUM(V129:Y129)+AG129</x:f>
        <x:v>0</x:v>
      </x:c>
      <x:c r="AK129" s="74" t="n">
        <x:f>MAX(M129-N129,0)+MAX(AJ129-AA129,0)+AE129+AF129</x:f>
        <x:v>0</x:v>
      </x:c>
    </x:row>
    <x:row r="130">
      <x:c r="A130" s="76"/>
      <x:c r="H130" s="77"/>
      <x:c r="I130" s="77"/>
      <x:c r="L130" s="74"/>
      <x:c r="M130" s="74"/>
      <x:c r="N130" s="74"/>
      <x:c r="O130" s="77"/>
      <x:c r="P130" s="77"/>
      <x:c r="Q130" s="77"/>
      <x:c r="R130" s="77"/>
      <x:c r="S130" s="77"/>
      <x:c r="V130" s="74"/>
      <x:c r="W130" s="74"/>
      <x:c r="X130" s="74"/>
      <x:c r="Y130" s="74"/>
      <x:c r="Z130" s="77"/>
      <x:c r="AA130" s="74"/>
      <x:c r="AB130" s="77"/>
      <x:c r="AE130" s="74"/>
      <x:c r="AF130" s="74"/>
      <x:c r="AG130" s="74"/>
      <x:c r="AJ130" s="74" t="n">
        <x:f>SUM(V130:Y130)+AG130</x:f>
        <x:v>0</x:v>
      </x:c>
      <x:c r="AK130" s="74" t="n">
        <x:f>MAX(M130-N130,0)+MAX(AJ130-AA130,0)+AE130+AF130</x:f>
        <x:v>0</x:v>
      </x:c>
    </x:row>
    <x:row r="131">
      <x:c r="A131" s="76"/>
      <x:c r="H131" s="77"/>
      <x:c r="I131" s="77"/>
      <x:c r="L131" s="74"/>
      <x:c r="M131" s="74"/>
      <x:c r="N131" s="74"/>
      <x:c r="O131" s="77"/>
      <x:c r="P131" s="77"/>
      <x:c r="Q131" s="77"/>
      <x:c r="R131" s="77"/>
      <x:c r="S131" s="77"/>
      <x:c r="V131" s="74"/>
      <x:c r="W131" s="74"/>
      <x:c r="X131" s="74"/>
      <x:c r="Y131" s="74"/>
      <x:c r="Z131" s="77"/>
      <x:c r="AA131" s="74"/>
      <x:c r="AB131" s="77"/>
      <x:c r="AE131" s="74"/>
      <x:c r="AF131" s="74"/>
      <x:c r="AG131" s="74"/>
      <x:c r="AJ131" s="74" t="n">
        <x:f>SUM(V131:Y131)+AG131</x:f>
        <x:v>0</x:v>
      </x:c>
      <x:c r="AK131" s="74" t="n">
        <x:f>MAX(M131-N131,0)+MAX(AJ131-AA131,0)+AE131+AF131</x:f>
        <x:v>0</x:v>
      </x:c>
    </x:row>
    <x:row r="132">
      <x:c r="A132" s="76"/>
      <x:c r="H132" s="77"/>
      <x:c r="I132" s="77"/>
      <x:c r="L132" s="74"/>
      <x:c r="M132" s="74"/>
      <x:c r="N132" s="74"/>
      <x:c r="O132" s="77"/>
      <x:c r="P132" s="77"/>
      <x:c r="Q132" s="77"/>
      <x:c r="R132" s="77"/>
      <x:c r="S132" s="77"/>
      <x:c r="V132" s="74"/>
      <x:c r="W132" s="74"/>
      <x:c r="X132" s="74"/>
      <x:c r="Y132" s="74"/>
      <x:c r="Z132" s="77"/>
      <x:c r="AA132" s="74"/>
      <x:c r="AB132" s="77"/>
      <x:c r="AE132" s="74"/>
      <x:c r="AF132" s="74"/>
      <x:c r="AG132" s="74"/>
      <x:c r="AJ132" s="74" t="n">
        <x:f>SUM(V132:Y132)+AG132</x:f>
        <x:v>0</x:v>
      </x:c>
      <x:c r="AK132" s="74" t="n">
        <x:f>MAX(M132-N132,0)+MAX(AJ132-AA132,0)+AE132+AF132</x:f>
        <x:v>0</x:v>
      </x:c>
    </x:row>
    <x:row r="133">
      <x:c r="A133" s="76"/>
      <x:c r="H133" s="77"/>
      <x:c r="I133" s="77"/>
      <x:c r="L133" s="74"/>
      <x:c r="M133" s="74"/>
      <x:c r="N133" s="74"/>
      <x:c r="O133" s="77"/>
      <x:c r="P133" s="77"/>
      <x:c r="Q133" s="77"/>
      <x:c r="R133" s="77"/>
      <x:c r="S133" s="77"/>
      <x:c r="V133" s="74"/>
      <x:c r="W133" s="74"/>
      <x:c r="X133" s="74"/>
      <x:c r="Y133" s="74"/>
      <x:c r="Z133" s="77"/>
      <x:c r="AA133" s="74"/>
      <x:c r="AB133" s="77"/>
      <x:c r="AE133" s="74"/>
      <x:c r="AF133" s="74"/>
      <x:c r="AG133" s="74"/>
      <x:c r="AJ133" s="74" t="n">
        <x:f>SUM(V133:Y133)+AG133</x:f>
        <x:v>0</x:v>
      </x:c>
      <x:c r="AK133" s="74" t="n">
        <x:f>MAX(M133-N133,0)+MAX(AJ133-AA133,0)+AE133+AF133</x:f>
        <x:v>0</x:v>
      </x:c>
    </x:row>
    <x:row r="134">
      <x:c r="A134" s="76"/>
      <x:c r="H134" s="77"/>
      <x:c r="I134" s="77"/>
      <x:c r="L134" s="74"/>
      <x:c r="M134" s="74"/>
      <x:c r="N134" s="74"/>
      <x:c r="O134" s="77"/>
      <x:c r="P134" s="77"/>
      <x:c r="Q134" s="77"/>
      <x:c r="R134" s="77"/>
      <x:c r="S134" s="77"/>
      <x:c r="V134" s="74"/>
      <x:c r="W134" s="74"/>
      <x:c r="X134" s="74"/>
      <x:c r="Y134" s="74"/>
      <x:c r="Z134" s="77"/>
      <x:c r="AA134" s="74"/>
      <x:c r="AB134" s="77"/>
      <x:c r="AE134" s="74"/>
      <x:c r="AF134" s="74"/>
      <x:c r="AG134" s="74"/>
      <x:c r="AJ134" s="74" t="n">
        <x:f>SUM(V134:Y134)+AG134</x:f>
        <x:v>0</x:v>
      </x:c>
      <x:c r="AK134" s="74" t="n">
        <x:f>MAX(M134-N134,0)+MAX(AJ134-AA134,0)+AE134+AF134</x:f>
        <x:v>0</x:v>
      </x:c>
    </x:row>
    <x:row r="135">
      <x:c r="A135" s="76"/>
      <x:c r="H135" s="77"/>
      <x:c r="I135" s="77"/>
      <x:c r="L135" s="74"/>
      <x:c r="M135" s="74"/>
      <x:c r="N135" s="74"/>
      <x:c r="O135" s="77"/>
      <x:c r="P135" s="77"/>
      <x:c r="Q135" s="77"/>
      <x:c r="R135" s="77"/>
      <x:c r="S135" s="77"/>
      <x:c r="V135" s="74"/>
      <x:c r="W135" s="74"/>
      <x:c r="X135" s="74"/>
      <x:c r="Y135" s="74"/>
      <x:c r="Z135" s="77"/>
      <x:c r="AA135" s="74"/>
      <x:c r="AB135" s="77"/>
      <x:c r="AE135" s="74"/>
      <x:c r="AF135" s="74"/>
      <x:c r="AG135" s="74"/>
      <x:c r="AJ135" s="74" t="n">
        <x:f>SUM(V135:Y135)+AG135</x:f>
        <x:v>0</x:v>
      </x:c>
      <x:c r="AK135" s="74" t="n">
        <x:f>MAX(M135-N135,0)+MAX(AJ135-AA135,0)+AE135+AF135</x:f>
        <x:v>0</x:v>
      </x:c>
    </x:row>
    <x:row r="136">
      <x:c r="A136" s="76"/>
      <x:c r="H136" s="77"/>
      <x:c r="I136" s="77"/>
      <x:c r="L136" s="74"/>
      <x:c r="M136" s="74"/>
      <x:c r="N136" s="74"/>
      <x:c r="O136" s="77"/>
      <x:c r="P136" s="77"/>
      <x:c r="Q136" s="77"/>
      <x:c r="R136" s="77"/>
      <x:c r="S136" s="77"/>
      <x:c r="V136" s="74"/>
      <x:c r="W136" s="74"/>
      <x:c r="X136" s="74"/>
      <x:c r="Y136" s="74"/>
      <x:c r="Z136" s="77"/>
      <x:c r="AA136" s="74"/>
      <x:c r="AB136" s="77"/>
      <x:c r="AE136" s="74"/>
      <x:c r="AF136" s="74"/>
      <x:c r="AG136" s="74"/>
      <x:c r="AJ136" s="74" t="n">
        <x:f>SUM(V136:Y136)+AG136</x:f>
        <x:v>0</x:v>
      </x:c>
      <x:c r="AK136" s="74" t="n">
        <x:f>MAX(M136-N136,0)+MAX(AJ136-AA136,0)+AE136+AF136</x:f>
        <x:v>0</x:v>
      </x:c>
    </x:row>
    <x:row r="137">
      <x:c r="A137" s="76"/>
      <x:c r="H137" s="77"/>
      <x:c r="I137" s="77"/>
      <x:c r="L137" s="74"/>
      <x:c r="M137" s="74"/>
      <x:c r="N137" s="74"/>
      <x:c r="O137" s="77"/>
      <x:c r="P137" s="77"/>
      <x:c r="Q137" s="77"/>
      <x:c r="R137" s="77"/>
      <x:c r="S137" s="77"/>
      <x:c r="V137" s="74"/>
      <x:c r="W137" s="74"/>
      <x:c r="X137" s="74"/>
      <x:c r="Y137" s="74"/>
      <x:c r="Z137" s="77"/>
      <x:c r="AA137" s="74"/>
      <x:c r="AB137" s="77"/>
      <x:c r="AE137" s="74"/>
      <x:c r="AF137" s="74"/>
      <x:c r="AG137" s="74"/>
      <x:c r="AJ137" s="74" t="n">
        <x:f>SUM(V137:Y137)+AG137</x:f>
        <x:v>0</x:v>
      </x:c>
      <x:c r="AK137" s="74" t="n">
        <x:f>MAX(M137-N137,0)+MAX(AJ137-AA137,0)+AE137+AF137</x:f>
        <x:v>0</x:v>
      </x:c>
    </x:row>
    <x:row r="138">
      <x:c r="A138" s="76"/>
      <x:c r="H138" s="77"/>
      <x:c r="I138" s="77"/>
      <x:c r="L138" s="74"/>
      <x:c r="M138" s="74"/>
      <x:c r="N138" s="74"/>
      <x:c r="O138" s="77"/>
      <x:c r="P138" s="77"/>
      <x:c r="Q138" s="77"/>
      <x:c r="R138" s="77"/>
      <x:c r="S138" s="77"/>
      <x:c r="V138" s="74"/>
      <x:c r="W138" s="74"/>
      <x:c r="X138" s="74"/>
      <x:c r="Y138" s="74"/>
      <x:c r="Z138" s="77"/>
      <x:c r="AA138" s="74"/>
      <x:c r="AB138" s="77"/>
      <x:c r="AE138" s="74"/>
      <x:c r="AF138" s="74"/>
      <x:c r="AG138" s="74"/>
      <x:c r="AJ138" s="74" t="n">
        <x:f>SUM(V138:Y138)+AG138</x:f>
        <x:v>0</x:v>
      </x:c>
      <x:c r="AK138" s="74" t="n">
        <x:f>MAX(M138-N138,0)+MAX(AJ138-AA138,0)+AE138+AF138</x:f>
        <x:v>0</x:v>
      </x:c>
    </x:row>
    <x:row r="139">
      <x:c r="A139" s="76"/>
      <x:c r="H139" s="77"/>
      <x:c r="I139" s="77"/>
      <x:c r="L139" s="74"/>
      <x:c r="M139" s="74"/>
      <x:c r="N139" s="74"/>
      <x:c r="O139" s="77"/>
      <x:c r="P139" s="77"/>
      <x:c r="Q139" s="77"/>
      <x:c r="R139" s="77"/>
      <x:c r="S139" s="77"/>
      <x:c r="V139" s="74"/>
      <x:c r="W139" s="74"/>
      <x:c r="X139" s="74"/>
      <x:c r="Y139" s="74"/>
      <x:c r="Z139" s="77"/>
      <x:c r="AA139" s="74"/>
      <x:c r="AB139" s="77"/>
      <x:c r="AE139" s="74"/>
      <x:c r="AF139" s="74"/>
      <x:c r="AG139" s="74"/>
      <x:c r="AJ139" s="74" t="n">
        <x:f>SUM(V139:Y139)+AG139</x:f>
        <x:v>0</x:v>
      </x:c>
      <x:c r="AK139" s="74" t="n">
        <x:f>MAX(M139-N139,0)+MAX(AJ139-AA139,0)+AE139+AF139</x:f>
        <x:v>0</x:v>
      </x:c>
    </x:row>
    <x:row r="140">
      <x:c r="A140" s="76"/>
      <x:c r="H140" s="77"/>
      <x:c r="I140" s="77"/>
      <x:c r="L140" s="74"/>
      <x:c r="M140" s="74"/>
      <x:c r="N140" s="74"/>
      <x:c r="O140" s="77"/>
      <x:c r="P140" s="77"/>
      <x:c r="Q140" s="77"/>
      <x:c r="R140" s="77"/>
      <x:c r="S140" s="77"/>
      <x:c r="V140" s="74"/>
      <x:c r="W140" s="74"/>
      <x:c r="X140" s="74"/>
      <x:c r="Y140" s="74"/>
      <x:c r="Z140" s="77"/>
      <x:c r="AA140" s="74"/>
      <x:c r="AB140" s="77"/>
      <x:c r="AE140" s="74"/>
      <x:c r="AF140" s="74"/>
      <x:c r="AG140" s="74"/>
      <x:c r="AJ140" s="74" t="n">
        <x:f>SUM(V140:Y140)+AG140</x:f>
        <x:v>0</x:v>
      </x:c>
      <x:c r="AK140" s="74" t="n">
        <x:f>MAX(M140-N140,0)+MAX(AJ140-AA140,0)+AE140+AF140</x:f>
        <x:v>0</x:v>
      </x:c>
    </x:row>
    <x:row r="141">
      <x:c r="A141" s="76"/>
      <x:c r="H141" s="77"/>
      <x:c r="I141" s="77"/>
      <x:c r="L141" s="74"/>
      <x:c r="M141" s="74"/>
      <x:c r="N141" s="74"/>
      <x:c r="O141" s="77"/>
      <x:c r="P141" s="77"/>
      <x:c r="Q141" s="77"/>
      <x:c r="R141" s="77"/>
      <x:c r="S141" s="77"/>
      <x:c r="V141" s="74"/>
      <x:c r="W141" s="74"/>
      <x:c r="X141" s="74"/>
      <x:c r="Y141" s="74"/>
      <x:c r="Z141" s="77"/>
      <x:c r="AA141" s="74"/>
      <x:c r="AB141" s="77"/>
      <x:c r="AE141" s="74"/>
      <x:c r="AF141" s="74"/>
      <x:c r="AG141" s="74"/>
      <x:c r="AJ141" s="74" t="n">
        <x:f>SUM(V141:Y141)+AG141</x:f>
        <x:v>0</x:v>
      </x:c>
      <x:c r="AK141" s="74" t="n">
        <x:f>MAX(M141-N141,0)+MAX(AJ141-AA141,0)+AE141+AF141</x:f>
        <x:v>0</x:v>
      </x:c>
    </x:row>
    <x:row r="142">
      <x:c r="A142" s="76"/>
      <x:c r="H142" s="77"/>
      <x:c r="I142" s="77"/>
      <x:c r="L142" s="74"/>
      <x:c r="M142" s="74"/>
      <x:c r="N142" s="74"/>
      <x:c r="O142" s="77"/>
      <x:c r="P142" s="77"/>
      <x:c r="Q142" s="77"/>
      <x:c r="R142" s="77"/>
      <x:c r="S142" s="77"/>
      <x:c r="V142" s="74"/>
      <x:c r="W142" s="74"/>
      <x:c r="X142" s="74"/>
      <x:c r="Y142" s="74"/>
      <x:c r="Z142" s="77"/>
      <x:c r="AA142" s="74"/>
      <x:c r="AB142" s="77"/>
      <x:c r="AE142" s="74"/>
      <x:c r="AF142" s="74"/>
      <x:c r="AG142" s="74"/>
      <x:c r="AJ142" s="74" t="n">
        <x:f>SUM(V142:Y142)+AG142</x:f>
        <x:v>0</x:v>
      </x:c>
      <x:c r="AK142" s="74" t="n">
        <x:f>MAX(M142-N142,0)+MAX(AJ142-AA142,0)+AE142+AF142</x:f>
        <x:v>0</x:v>
      </x:c>
    </x:row>
    <x:row r="143">
      <x:c r="A143" s="76"/>
      <x:c r="H143" s="77"/>
      <x:c r="I143" s="77"/>
      <x:c r="L143" s="74"/>
      <x:c r="M143" s="74"/>
      <x:c r="N143" s="74"/>
      <x:c r="O143" s="77"/>
      <x:c r="P143" s="77"/>
      <x:c r="Q143" s="77"/>
      <x:c r="R143" s="77"/>
      <x:c r="S143" s="77"/>
      <x:c r="V143" s="74"/>
      <x:c r="W143" s="74"/>
      <x:c r="X143" s="74"/>
      <x:c r="Y143" s="74"/>
      <x:c r="Z143" s="77"/>
      <x:c r="AA143" s="74"/>
      <x:c r="AB143" s="77"/>
      <x:c r="AE143" s="74"/>
      <x:c r="AF143" s="74"/>
      <x:c r="AG143" s="74"/>
      <x:c r="AJ143" s="74" t="n">
        <x:f>SUM(V143:Y143)+AG143</x:f>
        <x:v>0</x:v>
      </x:c>
      <x:c r="AK143" s="74" t="n">
        <x:f>MAX(M143-N143,0)+MAX(AJ143-AA143,0)+AE143+AF143</x:f>
        <x:v>0</x:v>
      </x:c>
    </x:row>
    <x:row r="144">
      <x:c r="A144" s="76"/>
      <x:c r="H144" s="77"/>
      <x:c r="I144" s="77"/>
      <x:c r="L144" s="74"/>
      <x:c r="M144" s="74"/>
      <x:c r="N144" s="74"/>
      <x:c r="O144" s="77"/>
      <x:c r="P144" s="77"/>
      <x:c r="Q144" s="77"/>
      <x:c r="R144" s="77"/>
      <x:c r="S144" s="77"/>
      <x:c r="V144" s="74"/>
      <x:c r="W144" s="74"/>
      <x:c r="X144" s="74"/>
      <x:c r="Y144" s="74"/>
      <x:c r="Z144" s="77"/>
      <x:c r="AA144" s="74"/>
      <x:c r="AB144" s="77"/>
      <x:c r="AE144" s="74"/>
      <x:c r="AF144" s="74"/>
      <x:c r="AG144" s="74"/>
      <x:c r="AJ144" s="74" t="n">
        <x:f>SUM(V144:Y144)+AG144</x:f>
        <x:v>0</x:v>
      </x:c>
      <x:c r="AK144" s="74" t="n">
        <x:f>MAX(M144-N144,0)+MAX(AJ144-AA144,0)+AE144+AF144</x:f>
        <x:v>0</x:v>
      </x:c>
    </x:row>
    <x:row r="145">
      <x:c r="A145" s="76"/>
      <x:c r="H145" s="77"/>
      <x:c r="I145" s="77"/>
      <x:c r="L145" s="74"/>
      <x:c r="M145" s="74"/>
      <x:c r="N145" s="74"/>
      <x:c r="O145" s="77"/>
      <x:c r="P145" s="77"/>
      <x:c r="Q145" s="77"/>
      <x:c r="R145" s="77"/>
      <x:c r="S145" s="77"/>
      <x:c r="V145" s="74"/>
      <x:c r="W145" s="74"/>
      <x:c r="X145" s="74"/>
      <x:c r="Y145" s="74"/>
      <x:c r="Z145" s="77"/>
      <x:c r="AA145" s="74"/>
      <x:c r="AB145" s="77"/>
      <x:c r="AE145" s="74"/>
      <x:c r="AF145" s="74"/>
      <x:c r="AG145" s="74"/>
      <x:c r="AJ145" s="74" t="n">
        <x:f>SUM(V145:Y145)+AG145</x:f>
        <x:v>0</x:v>
      </x:c>
      <x:c r="AK145" s="74" t="n">
        <x:f>MAX(M145-N145,0)+MAX(AJ145-AA145,0)+AE145+AF145</x:f>
        <x:v>0</x:v>
      </x:c>
    </x:row>
    <x:row r="146">
      <x:c r="A146" s="76"/>
      <x:c r="H146" s="77"/>
      <x:c r="I146" s="77"/>
      <x:c r="L146" s="74"/>
      <x:c r="M146" s="74"/>
      <x:c r="N146" s="74"/>
      <x:c r="O146" s="77"/>
      <x:c r="P146" s="77"/>
      <x:c r="Q146" s="77"/>
      <x:c r="R146" s="77"/>
      <x:c r="S146" s="77"/>
      <x:c r="V146" s="74"/>
      <x:c r="W146" s="74"/>
      <x:c r="X146" s="74"/>
      <x:c r="Y146" s="74"/>
      <x:c r="Z146" s="77"/>
      <x:c r="AA146" s="74"/>
      <x:c r="AB146" s="77"/>
      <x:c r="AE146" s="74"/>
      <x:c r="AF146" s="74"/>
      <x:c r="AG146" s="74"/>
      <x:c r="AJ146" s="74" t="n">
        <x:f>SUM(V146:Y146)+AG146</x:f>
        <x:v>0</x:v>
      </x:c>
      <x:c r="AK146" s="74" t="n">
        <x:f>MAX(M146-N146,0)+MAX(AJ146-AA146,0)+AE146+AF146</x:f>
        <x:v>0</x:v>
      </x:c>
    </x:row>
    <x:row r="147">
      <x:c r="A147" s="76"/>
      <x:c r="H147" s="77"/>
      <x:c r="I147" s="77"/>
      <x:c r="L147" s="74"/>
      <x:c r="M147" s="74"/>
      <x:c r="N147" s="74"/>
      <x:c r="O147" s="77"/>
      <x:c r="P147" s="77"/>
      <x:c r="Q147" s="77"/>
      <x:c r="R147" s="77"/>
      <x:c r="S147" s="77"/>
      <x:c r="V147" s="74"/>
      <x:c r="W147" s="74"/>
      <x:c r="X147" s="74"/>
      <x:c r="Y147" s="74"/>
      <x:c r="Z147" s="77"/>
      <x:c r="AA147" s="74"/>
      <x:c r="AB147" s="77"/>
      <x:c r="AE147" s="74"/>
      <x:c r="AF147" s="74"/>
      <x:c r="AG147" s="74"/>
      <x:c r="AJ147" s="74" t="n">
        <x:f>SUM(V147:Y147)+AG147</x:f>
        <x:v>0</x:v>
      </x:c>
      <x:c r="AK147" s="74" t="n">
        <x:f>MAX(M147-N147,0)+MAX(AJ147-AA147,0)+AE147+AF147</x:f>
        <x:v>0</x:v>
      </x:c>
    </x:row>
    <x:row r="148">
      <x:c r="A148" s="76"/>
      <x:c r="H148" s="77"/>
      <x:c r="I148" s="77"/>
      <x:c r="L148" s="74"/>
      <x:c r="M148" s="74"/>
      <x:c r="N148" s="74"/>
      <x:c r="O148" s="77"/>
      <x:c r="P148" s="77"/>
      <x:c r="Q148" s="77"/>
      <x:c r="R148" s="77"/>
      <x:c r="S148" s="77"/>
      <x:c r="V148" s="74"/>
      <x:c r="W148" s="74"/>
      <x:c r="X148" s="74"/>
      <x:c r="Y148" s="74"/>
      <x:c r="Z148" s="77"/>
      <x:c r="AA148" s="74"/>
      <x:c r="AB148" s="77"/>
      <x:c r="AE148" s="74"/>
      <x:c r="AF148" s="74"/>
      <x:c r="AG148" s="74"/>
      <x:c r="AJ148" s="74" t="n">
        <x:f>SUM(V148:Y148)+AG148</x:f>
        <x:v>0</x:v>
      </x:c>
      <x:c r="AK148" s="74" t="n">
        <x:f>MAX(M148-N148,0)+MAX(AJ148-AA148,0)+AE148+AF148</x:f>
        <x:v>0</x:v>
      </x:c>
    </x:row>
    <x:row r="149">
      <x:c r="A149" s="76"/>
      <x:c r="H149" s="77"/>
      <x:c r="I149" s="77"/>
      <x:c r="L149" s="74"/>
      <x:c r="M149" s="74"/>
      <x:c r="N149" s="74"/>
      <x:c r="O149" s="77"/>
      <x:c r="P149" s="77"/>
      <x:c r="Q149" s="77"/>
      <x:c r="R149" s="77"/>
      <x:c r="S149" s="77"/>
      <x:c r="V149" s="74"/>
      <x:c r="W149" s="74"/>
      <x:c r="X149" s="74"/>
      <x:c r="Y149" s="74"/>
      <x:c r="Z149" s="77"/>
      <x:c r="AA149" s="74"/>
      <x:c r="AB149" s="77"/>
      <x:c r="AE149" s="74"/>
      <x:c r="AF149" s="74"/>
      <x:c r="AG149" s="74"/>
      <x:c r="AJ149" s="74" t="n">
        <x:f>SUM(V149:Y149)+AG149</x:f>
        <x:v>0</x:v>
      </x:c>
      <x:c r="AK149" s="74" t="n">
        <x:f>MAX(M149-N149,0)+MAX(AJ149-AA149,0)+AE149+AF149</x:f>
        <x:v>0</x:v>
      </x:c>
    </x:row>
    <x:row r="150">
      <x:c r="A150" s="76"/>
      <x:c r="H150" s="77"/>
      <x:c r="I150" s="77"/>
      <x:c r="L150" s="74"/>
      <x:c r="M150" s="74"/>
      <x:c r="N150" s="74"/>
      <x:c r="O150" s="77"/>
      <x:c r="P150" s="77"/>
      <x:c r="Q150" s="77"/>
      <x:c r="R150" s="77"/>
      <x:c r="S150" s="77"/>
      <x:c r="V150" s="74"/>
      <x:c r="W150" s="74"/>
      <x:c r="X150" s="74"/>
      <x:c r="Y150" s="74"/>
      <x:c r="Z150" s="77"/>
      <x:c r="AA150" s="74"/>
      <x:c r="AB150" s="77"/>
      <x:c r="AE150" s="74"/>
      <x:c r="AF150" s="74"/>
      <x:c r="AG150" s="74"/>
      <x:c r="AJ150" s="74" t="n">
        <x:f>SUM(V150:Y150)+AG150</x:f>
        <x:v>0</x:v>
      </x:c>
      <x:c r="AK150" s="74" t="n">
        <x:f>MAX(M150-N150,0)+MAX(AJ150-AA150,0)+AE150+AF150</x:f>
        <x:v>0</x:v>
      </x:c>
    </x:row>
    <x:row r="151">
      <x:c r="A151" s="76"/>
      <x:c r="H151" s="77"/>
      <x:c r="I151" s="77"/>
      <x:c r="L151" s="74"/>
      <x:c r="M151" s="74"/>
      <x:c r="N151" s="74"/>
      <x:c r="O151" s="77"/>
      <x:c r="P151" s="77"/>
      <x:c r="Q151" s="77"/>
      <x:c r="R151" s="77"/>
      <x:c r="S151" s="77"/>
      <x:c r="V151" s="74"/>
      <x:c r="W151" s="74"/>
      <x:c r="X151" s="74"/>
      <x:c r="Y151" s="74"/>
      <x:c r="Z151" s="77"/>
      <x:c r="AA151" s="74"/>
      <x:c r="AB151" s="77"/>
      <x:c r="AE151" s="74"/>
      <x:c r="AF151" s="74"/>
      <x:c r="AG151" s="74"/>
      <x:c r="AJ151" s="74" t="n">
        <x:f>SUM(V151:Y151)+AG151</x:f>
        <x:v>0</x:v>
      </x:c>
      <x:c r="AK151" s="74" t="n">
        <x:f>MAX(M151-N151,0)+MAX(AJ151-AA151,0)+AE151+AF151</x:f>
        <x:v>0</x:v>
      </x:c>
    </x:row>
    <x:row r="152">
      <x:c r="A152" s="76"/>
      <x:c r="H152" s="77"/>
      <x:c r="I152" s="77"/>
      <x:c r="L152" s="74"/>
      <x:c r="M152" s="74"/>
      <x:c r="N152" s="74"/>
      <x:c r="O152" s="77"/>
      <x:c r="P152" s="77"/>
      <x:c r="Q152" s="77"/>
      <x:c r="R152" s="77"/>
      <x:c r="S152" s="77"/>
      <x:c r="V152" s="74"/>
      <x:c r="W152" s="74"/>
      <x:c r="X152" s="74"/>
      <x:c r="Y152" s="74"/>
      <x:c r="Z152" s="77"/>
      <x:c r="AA152" s="74"/>
      <x:c r="AB152" s="77"/>
      <x:c r="AE152" s="74"/>
      <x:c r="AF152" s="74"/>
      <x:c r="AG152" s="74"/>
      <x:c r="AJ152" s="74" t="n">
        <x:f>SUM(V152:Y152)+AG152</x:f>
        <x:v>0</x:v>
      </x:c>
      <x:c r="AK152" s="74" t="n">
        <x:f>MAX(M152-N152,0)+MAX(AJ152-AA152,0)+AE152+AF152</x:f>
        <x:v>0</x:v>
      </x:c>
    </x:row>
    <x:row r="153">
      <x:c r="A153" s="76"/>
      <x:c r="H153" s="77"/>
      <x:c r="I153" s="77"/>
      <x:c r="L153" s="74"/>
      <x:c r="M153" s="74"/>
      <x:c r="N153" s="74"/>
      <x:c r="O153" s="77"/>
      <x:c r="P153" s="77"/>
      <x:c r="Q153" s="77"/>
      <x:c r="R153" s="77"/>
      <x:c r="S153" s="77"/>
      <x:c r="V153" s="74"/>
      <x:c r="W153" s="74"/>
      <x:c r="X153" s="74"/>
      <x:c r="Y153" s="74"/>
      <x:c r="Z153" s="77"/>
      <x:c r="AA153" s="74"/>
      <x:c r="AB153" s="77"/>
      <x:c r="AE153" s="74"/>
      <x:c r="AF153" s="74"/>
      <x:c r="AG153" s="74"/>
      <x:c r="AJ153" s="74" t="n">
        <x:f>SUM(V153:Y153)+AG153</x:f>
        <x:v>0</x:v>
      </x:c>
      <x:c r="AK153" s="74" t="n">
        <x:f>MAX(M153-N153,0)+MAX(AJ153-AA153,0)+AE153+AF153</x:f>
        <x:v>0</x:v>
      </x:c>
    </x:row>
    <x:row r="154">
      <x:c r="A154" s="76"/>
      <x:c r="H154" s="77"/>
      <x:c r="I154" s="77"/>
      <x:c r="L154" s="74"/>
      <x:c r="M154" s="74"/>
      <x:c r="N154" s="74"/>
      <x:c r="O154" s="77"/>
      <x:c r="P154" s="77"/>
      <x:c r="Q154" s="77"/>
      <x:c r="R154" s="77"/>
      <x:c r="S154" s="77"/>
      <x:c r="V154" s="74"/>
      <x:c r="W154" s="74"/>
      <x:c r="X154" s="74"/>
      <x:c r="Y154" s="74"/>
      <x:c r="Z154" s="77"/>
      <x:c r="AA154" s="74"/>
      <x:c r="AB154" s="77"/>
      <x:c r="AE154" s="74"/>
      <x:c r="AF154" s="74"/>
      <x:c r="AG154" s="74"/>
      <x:c r="AJ154" s="74" t="n">
        <x:f>SUM(V154:Y154)+AG154</x:f>
        <x:v>0</x:v>
      </x:c>
      <x:c r="AK154" s="74" t="n">
        <x:f>MAX(M154-N154,0)+MAX(AJ154-AA154,0)+AE154+AF154</x:f>
        <x:v>0</x:v>
      </x:c>
    </x:row>
    <x:row r="155">
      <x:c r="A155" s="76"/>
      <x:c r="H155" s="77"/>
      <x:c r="I155" s="77"/>
      <x:c r="L155" s="74"/>
      <x:c r="M155" s="74"/>
      <x:c r="N155" s="74"/>
      <x:c r="O155" s="77"/>
      <x:c r="P155" s="77"/>
      <x:c r="Q155" s="77"/>
      <x:c r="R155" s="77"/>
      <x:c r="S155" s="77"/>
      <x:c r="V155" s="74"/>
      <x:c r="W155" s="74"/>
      <x:c r="X155" s="74"/>
      <x:c r="Y155" s="74"/>
      <x:c r="Z155" s="77"/>
      <x:c r="AA155" s="74"/>
      <x:c r="AB155" s="77"/>
      <x:c r="AE155" s="74"/>
      <x:c r="AF155" s="74"/>
      <x:c r="AG155" s="74"/>
      <x:c r="AJ155" s="74" t="n">
        <x:f>SUM(V155:Y155)+AG155</x:f>
        <x:v>0</x:v>
      </x:c>
      <x:c r="AK155" s="74" t="n">
        <x:f>MAX(M155-N155,0)+MAX(AJ155-AA155,0)+AE155+AF155</x:f>
        <x:v>0</x:v>
      </x:c>
    </x:row>
    <x:row r="156">
      <x:c r="A156" s="76"/>
      <x:c r="H156" s="77"/>
      <x:c r="I156" s="77"/>
      <x:c r="L156" s="74"/>
      <x:c r="M156" s="74"/>
      <x:c r="N156" s="74"/>
      <x:c r="O156" s="77"/>
      <x:c r="P156" s="77"/>
      <x:c r="Q156" s="77"/>
      <x:c r="R156" s="77"/>
      <x:c r="S156" s="77"/>
      <x:c r="V156" s="74"/>
      <x:c r="W156" s="74"/>
      <x:c r="X156" s="74"/>
      <x:c r="Y156" s="74"/>
      <x:c r="Z156" s="77"/>
      <x:c r="AA156" s="74"/>
      <x:c r="AB156" s="77"/>
      <x:c r="AE156" s="74"/>
      <x:c r="AF156" s="74"/>
      <x:c r="AG156" s="74"/>
      <x:c r="AJ156" s="74" t="n">
        <x:f>SUM(V156:Y156)+AG156</x:f>
        <x:v>0</x:v>
      </x:c>
      <x:c r="AK156" s="74" t="n">
        <x:f>MAX(M156-N156,0)+MAX(AJ156-AA156,0)+AE156+AF156</x:f>
        <x:v>0</x:v>
      </x:c>
    </x:row>
    <x:row r="157">
      <x:c r="A157" s="76"/>
      <x:c r="H157" s="77"/>
      <x:c r="I157" s="77"/>
      <x:c r="L157" s="74"/>
      <x:c r="M157" s="74"/>
      <x:c r="N157" s="74"/>
      <x:c r="O157" s="77"/>
      <x:c r="P157" s="77"/>
      <x:c r="Q157" s="77"/>
      <x:c r="R157" s="77"/>
      <x:c r="S157" s="77"/>
      <x:c r="V157" s="74"/>
      <x:c r="W157" s="74"/>
      <x:c r="X157" s="74"/>
      <x:c r="Y157" s="74"/>
      <x:c r="Z157" s="77"/>
      <x:c r="AA157" s="74"/>
      <x:c r="AB157" s="77"/>
      <x:c r="AE157" s="74"/>
      <x:c r="AF157" s="74"/>
      <x:c r="AG157" s="74"/>
      <x:c r="AJ157" s="74" t="n">
        <x:f>SUM(V157:Y157)+AG157</x:f>
        <x:v>0</x:v>
      </x:c>
      <x:c r="AK157" s="74" t="n">
        <x:f>MAX(M157-N157,0)+MAX(AJ157-AA157,0)+AE157+AF157</x:f>
        <x:v>0</x:v>
      </x:c>
    </x:row>
    <x:row r="158">
      <x:c r="A158" s="76"/>
      <x:c r="H158" s="77"/>
      <x:c r="I158" s="77"/>
      <x:c r="L158" s="74"/>
      <x:c r="M158" s="74"/>
      <x:c r="N158" s="74"/>
      <x:c r="O158" s="77"/>
      <x:c r="P158" s="77"/>
      <x:c r="Q158" s="77"/>
      <x:c r="R158" s="77"/>
      <x:c r="S158" s="77"/>
      <x:c r="V158" s="74"/>
      <x:c r="W158" s="74"/>
      <x:c r="X158" s="74"/>
      <x:c r="Y158" s="74"/>
      <x:c r="Z158" s="77"/>
      <x:c r="AA158" s="74"/>
      <x:c r="AB158" s="77"/>
      <x:c r="AE158" s="74"/>
      <x:c r="AF158" s="74"/>
      <x:c r="AG158" s="74"/>
      <x:c r="AJ158" s="74" t="n">
        <x:f>SUM(V158:Y158)+AG158</x:f>
        <x:v>0</x:v>
      </x:c>
      <x:c r="AK158" s="74" t="n">
        <x:f>MAX(M158-N158,0)+MAX(AJ158-AA158,0)+AE158+AF158</x:f>
        <x:v>0</x:v>
      </x:c>
    </x:row>
    <x:row r="159">
      <x:c r="A159" s="76"/>
      <x:c r="H159" s="77"/>
      <x:c r="I159" s="77"/>
      <x:c r="L159" s="74"/>
      <x:c r="M159" s="74"/>
      <x:c r="N159" s="74"/>
      <x:c r="O159" s="77"/>
      <x:c r="P159" s="77"/>
      <x:c r="Q159" s="77"/>
      <x:c r="R159" s="77"/>
      <x:c r="S159" s="77"/>
      <x:c r="V159" s="74"/>
      <x:c r="W159" s="74"/>
      <x:c r="X159" s="74"/>
      <x:c r="Y159" s="74"/>
      <x:c r="Z159" s="77"/>
      <x:c r="AA159" s="74"/>
      <x:c r="AB159" s="77"/>
      <x:c r="AE159" s="74"/>
      <x:c r="AF159" s="74"/>
      <x:c r="AG159" s="74"/>
      <x:c r="AJ159" s="74" t="n">
        <x:f>SUM(V159:Y159)+AG159</x:f>
        <x:v>0</x:v>
      </x:c>
      <x:c r="AK159" s="74" t="n">
        <x:f>MAX(M159-N159,0)+MAX(AJ159-AA159,0)+AE159+AF159</x:f>
        <x:v>0</x:v>
      </x:c>
    </x:row>
    <x:row r="160">
      <x:c r="A160" s="76"/>
      <x:c r="H160" s="77"/>
      <x:c r="I160" s="77"/>
      <x:c r="L160" s="74"/>
      <x:c r="M160" s="74"/>
      <x:c r="N160" s="74"/>
      <x:c r="O160" s="77"/>
      <x:c r="P160" s="77"/>
      <x:c r="Q160" s="77"/>
      <x:c r="R160" s="77"/>
      <x:c r="S160" s="77"/>
      <x:c r="V160" s="74"/>
      <x:c r="W160" s="74"/>
      <x:c r="X160" s="74"/>
      <x:c r="Y160" s="74"/>
      <x:c r="Z160" s="77"/>
      <x:c r="AA160" s="74"/>
      <x:c r="AB160" s="77"/>
      <x:c r="AE160" s="74"/>
      <x:c r="AF160" s="74"/>
      <x:c r="AG160" s="74"/>
      <x:c r="AJ160" s="74" t="n">
        <x:f>SUM(V160:Y160)+AG160</x:f>
        <x:v>0</x:v>
      </x:c>
      <x:c r="AK160" s="74" t="n">
        <x:f>MAX(M160-N160,0)+MAX(AJ160-AA160,0)+AE160+AF160</x:f>
        <x:v>0</x:v>
      </x:c>
    </x:row>
    <x:row r="161">
      <x:c r="A161" s="76"/>
      <x:c r="H161" s="77"/>
      <x:c r="I161" s="77"/>
      <x:c r="L161" s="74"/>
      <x:c r="M161" s="74"/>
      <x:c r="N161" s="74"/>
      <x:c r="O161" s="77"/>
      <x:c r="P161" s="77"/>
      <x:c r="Q161" s="77"/>
      <x:c r="R161" s="77"/>
      <x:c r="S161" s="77"/>
      <x:c r="V161" s="74"/>
      <x:c r="W161" s="74"/>
      <x:c r="X161" s="74"/>
      <x:c r="Y161" s="74"/>
      <x:c r="Z161" s="77"/>
      <x:c r="AA161" s="74"/>
      <x:c r="AB161" s="77"/>
      <x:c r="AE161" s="74"/>
      <x:c r="AF161" s="74"/>
      <x:c r="AG161" s="74"/>
      <x:c r="AJ161" s="74" t="n">
        <x:f>SUM(V161:Y161)+AG161</x:f>
        <x:v>0</x:v>
      </x:c>
      <x:c r="AK161" s="74" t="n">
        <x:f>MAX(M161-N161,0)+MAX(AJ161-AA161,0)+AE161+AF161</x:f>
        <x:v>0</x:v>
      </x:c>
    </x:row>
    <x:row r="162">
      <x:c r="A162" s="76"/>
      <x:c r="H162" s="77"/>
      <x:c r="I162" s="77"/>
      <x:c r="L162" s="74"/>
      <x:c r="M162" s="74"/>
      <x:c r="N162" s="74"/>
      <x:c r="O162" s="77"/>
      <x:c r="P162" s="77"/>
      <x:c r="Q162" s="77"/>
      <x:c r="R162" s="77"/>
      <x:c r="S162" s="77"/>
      <x:c r="V162" s="74"/>
      <x:c r="W162" s="74"/>
      <x:c r="X162" s="74"/>
      <x:c r="Y162" s="74"/>
      <x:c r="Z162" s="77"/>
      <x:c r="AA162" s="74"/>
      <x:c r="AB162" s="77"/>
      <x:c r="AE162" s="74"/>
      <x:c r="AF162" s="74"/>
      <x:c r="AG162" s="74"/>
      <x:c r="AJ162" s="74" t="n">
        <x:f>SUM(V162:Y162)+AG162</x:f>
        <x:v>0</x:v>
      </x:c>
      <x:c r="AK162" s="74" t="n">
        <x:f>MAX(M162-N162,0)+MAX(AJ162-AA162,0)+AE162+AF162</x:f>
        <x:v>0</x:v>
      </x:c>
    </x:row>
    <x:row r="163">
      <x:c r="A163" s="76"/>
      <x:c r="H163" s="77"/>
      <x:c r="I163" s="77"/>
      <x:c r="L163" s="74"/>
      <x:c r="M163" s="74"/>
      <x:c r="N163" s="74"/>
      <x:c r="O163" s="77"/>
      <x:c r="P163" s="77"/>
      <x:c r="Q163" s="77"/>
      <x:c r="R163" s="77"/>
      <x:c r="S163" s="77"/>
      <x:c r="V163" s="74"/>
      <x:c r="W163" s="74"/>
      <x:c r="X163" s="74"/>
      <x:c r="Y163" s="74"/>
      <x:c r="Z163" s="77"/>
      <x:c r="AA163" s="74"/>
      <x:c r="AB163" s="77"/>
      <x:c r="AE163" s="74"/>
      <x:c r="AF163" s="74"/>
      <x:c r="AG163" s="74"/>
      <x:c r="AJ163" s="74" t="n">
        <x:f>SUM(V163:Y163)+AG163</x:f>
        <x:v>0</x:v>
      </x:c>
      <x:c r="AK163" s="74" t="n">
        <x:f>MAX(M163-N163,0)+MAX(AJ163-AA163,0)+AE163+AF163</x:f>
        <x:v>0</x:v>
      </x:c>
    </x:row>
    <x:row r="164">
      <x:c r="A164" s="76"/>
      <x:c r="H164" s="77"/>
      <x:c r="I164" s="77"/>
      <x:c r="L164" s="74"/>
      <x:c r="M164" s="74"/>
      <x:c r="N164" s="74"/>
      <x:c r="O164" s="77"/>
      <x:c r="P164" s="77"/>
      <x:c r="Q164" s="77"/>
      <x:c r="R164" s="77"/>
      <x:c r="S164" s="77"/>
      <x:c r="V164" s="74"/>
      <x:c r="W164" s="74"/>
      <x:c r="X164" s="74"/>
      <x:c r="Y164" s="74"/>
      <x:c r="Z164" s="77"/>
      <x:c r="AA164" s="74"/>
      <x:c r="AB164" s="77"/>
      <x:c r="AE164" s="74"/>
      <x:c r="AF164" s="74"/>
      <x:c r="AG164" s="74"/>
      <x:c r="AJ164" s="74" t="n">
        <x:f>SUM(V164:Y164)+AG164</x:f>
        <x:v>0</x:v>
      </x:c>
      <x:c r="AK164" s="74" t="n">
        <x:f>MAX(M164-N164,0)+MAX(AJ164-AA164,0)+AE164+AF164</x:f>
        <x:v>0</x:v>
      </x:c>
    </x:row>
    <x:row r="165">
      <x:c r="A165" s="76"/>
      <x:c r="H165" s="77"/>
      <x:c r="I165" s="77"/>
      <x:c r="L165" s="74"/>
      <x:c r="M165" s="74"/>
      <x:c r="N165" s="74"/>
      <x:c r="O165" s="77"/>
      <x:c r="P165" s="77"/>
      <x:c r="Q165" s="77"/>
      <x:c r="R165" s="77"/>
      <x:c r="S165" s="77"/>
      <x:c r="V165" s="74"/>
      <x:c r="W165" s="74"/>
      <x:c r="X165" s="74"/>
      <x:c r="Y165" s="74"/>
      <x:c r="Z165" s="77"/>
      <x:c r="AA165" s="74"/>
      <x:c r="AB165" s="77"/>
      <x:c r="AE165" s="74"/>
      <x:c r="AF165" s="74"/>
      <x:c r="AG165" s="74"/>
      <x:c r="AJ165" s="74" t="n">
        <x:f>SUM(V165:Y165)+AG165</x:f>
        <x:v>0</x:v>
      </x:c>
      <x:c r="AK165" s="74" t="n">
        <x:f>MAX(M165-N165,0)+MAX(AJ165-AA165,0)+AE165+AF165</x:f>
        <x:v>0</x:v>
      </x:c>
    </x:row>
    <x:row r="166">
      <x:c r="A166" s="76"/>
      <x:c r="H166" s="77"/>
      <x:c r="I166" s="77"/>
      <x:c r="L166" s="74"/>
      <x:c r="M166" s="74"/>
      <x:c r="N166" s="74"/>
      <x:c r="O166" s="77"/>
      <x:c r="P166" s="77"/>
      <x:c r="Q166" s="77"/>
      <x:c r="R166" s="77"/>
      <x:c r="S166" s="77"/>
      <x:c r="V166" s="74"/>
      <x:c r="W166" s="74"/>
      <x:c r="X166" s="74"/>
      <x:c r="Y166" s="74"/>
      <x:c r="Z166" s="77"/>
      <x:c r="AA166" s="74"/>
      <x:c r="AB166" s="77"/>
      <x:c r="AE166" s="74"/>
      <x:c r="AF166" s="74"/>
      <x:c r="AG166" s="74"/>
      <x:c r="AJ166" s="74" t="n">
        <x:f>SUM(V166:Y166)+AG166</x:f>
        <x:v>0</x:v>
      </x:c>
      <x:c r="AK166" s="74" t="n">
        <x:f>MAX(M166-N166,0)+MAX(AJ166-AA166,0)+AE166+AF166</x:f>
        <x:v>0</x:v>
      </x:c>
    </x:row>
    <x:row r="167">
      <x:c r="A167" s="76"/>
      <x:c r="H167" s="77"/>
      <x:c r="I167" s="77"/>
      <x:c r="L167" s="74"/>
      <x:c r="M167" s="74"/>
      <x:c r="N167" s="74"/>
      <x:c r="O167" s="77"/>
      <x:c r="P167" s="77"/>
      <x:c r="Q167" s="77"/>
      <x:c r="R167" s="77"/>
      <x:c r="S167" s="77"/>
      <x:c r="V167" s="74"/>
      <x:c r="W167" s="74"/>
      <x:c r="X167" s="74"/>
      <x:c r="Y167" s="74"/>
      <x:c r="Z167" s="77"/>
      <x:c r="AA167" s="74"/>
      <x:c r="AB167" s="77"/>
      <x:c r="AE167" s="74"/>
      <x:c r="AF167" s="74"/>
      <x:c r="AG167" s="74"/>
      <x:c r="AJ167" s="74" t="n">
        <x:f>SUM(V167:Y167)+AG167</x:f>
        <x:v>0</x:v>
      </x:c>
      <x:c r="AK167" s="74" t="n">
        <x:f>MAX(M167-N167,0)+MAX(AJ167-AA167,0)+AE167+AF167</x:f>
        <x:v>0</x:v>
      </x:c>
    </x:row>
    <x:row r="168">
      <x:c r="A168" s="76"/>
      <x:c r="H168" s="77"/>
      <x:c r="I168" s="77"/>
      <x:c r="L168" s="74"/>
      <x:c r="M168" s="74"/>
      <x:c r="N168" s="74"/>
      <x:c r="O168" s="77"/>
      <x:c r="P168" s="77"/>
      <x:c r="Q168" s="77"/>
      <x:c r="R168" s="77"/>
      <x:c r="S168" s="77"/>
      <x:c r="V168" s="74"/>
      <x:c r="W168" s="74"/>
      <x:c r="X168" s="74"/>
      <x:c r="Y168" s="74"/>
      <x:c r="Z168" s="77"/>
      <x:c r="AA168" s="74"/>
      <x:c r="AB168" s="77"/>
      <x:c r="AE168" s="74"/>
      <x:c r="AF168" s="74"/>
      <x:c r="AG168" s="74"/>
      <x:c r="AJ168" s="74" t="n">
        <x:f>SUM(V168:Y168)+AG168</x:f>
        <x:v>0</x:v>
      </x:c>
      <x:c r="AK168" s="74" t="n">
        <x:f>MAX(M168-N168,0)+MAX(AJ168-AA168,0)+AE168+AF168</x:f>
        <x:v>0</x:v>
      </x:c>
    </x:row>
    <x:row r="169">
      <x:c r="A169" s="76"/>
      <x:c r="H169" s="77"/>
      <x:c r="I169" s="77"/>
      <x:c r="L169" s="74"/>
      <x:c r="M169" s="74"/>
      <x:c r="N169" s="74"/>
      <x:c r="O169" s="77"/>
      <x:c r="P169" s="77"/>
      <x:c r="Q169" s="77"/>
      <x:c r="R169" s="77"/>
      <x:c r="S169" s="77"/>
      <x:c r="V169" s="74"/>
      <x:c r="W169" s="74"/>
      <x:c r="X169" s="74"/>
      <x:c r="Y169" s="74"/>
      <x:c r="Z169" s="77"/>
      <x:c r="AA169" s="74"/>
      <x:c r="AB169" s="77"/>
      <x:c r="AE169" s="74"/>
      <x:c r="AF169" s="74"/>
      <x:c r="AG169" s="74"/>
      <x:c r="AJ169" s="74" t="n">
        <x:f>SUM(V169:Y169)+AG169</x:f>
        <x:v>0</x:v>
      </x:c>
      <x:c r="AK169" s="74" t="n">
        <x:f>MAX(M169-N169,0)+MAX(AJ169-AA169,0)+AE169+AF169</x:f>
        <x:v>0</x:v>
      </x:c>
    </x:row>
    <x:row r="170">
      <x:c r="A170" s="76"/>
      <x:c r="H170" s="77"/>
      <x:c r="I170" s="77"/>
      <x:c r="L170" s="74"/>
      <x:c r="M170" s="74"/>
      <x:c r="N170" s="74"/>
      <x:c r="O170" s="77"/>
      <x:c r="P170" s="77"/>
      <x:c r="Q170" s="77"/>
      <x:c r="R170" s="77"/>
      <x:c r="S170" s="77"/>
      <x:c r="V170" s="74"/>
      <x:c r="W170" s="74"/>
      <x:c r="X170" s="74"/>
      <x:c r="Y170" s="74"/>
      <x:c r="Z170" s="77"/>
      <x:c r="AA170" s="74"/>
      <x:c r="AB170" s="77"/>
      <x:c r="AE170" s="74"/>
      <x:c r="AF170" s="74"/>
      <x:c r="AG170" s="74"/>
      <x:c r="AJ170" s="74" t="n">
        <x:f>SUM(V170:Y170)+AG170</x:f>
        <x:v>0</x:v>
      </x:c>
      <x:c r="AK170" s="74" t="n">
        <x:f>MAX(M170-N170,0)+MAX(AJ170-AA170,0)+AE170+AF170</x:f>
        <x:v>0</x:v>
      </x:c>
    </x:row>
    <x:row r="171">
      <x:c r="A171" s="76"/>
      <x:c r="H171" s="77"/>
      <x:c r="I171" s="77"/>
      <x:c r="L171" s="74"/>
      <x:c r="M171" s="74"/>
      <x:c r="N171" s="74"/>
      <x:c r="O171" s="77"/>
      <x:c r="P171" s="77"/>
      <x:c r="Q171" s="77"/>
      <x:c r="R171" s="77"/>
      <x:c r="S171" s="77"/>
      <x:c r="V171" s="74"/>
      <x:c r="W171" s="74"/>
      <x:c r="X171" s="74"/>
      <x:c r="Y171" s="74"/>
      <x:c r="Z171" s="77"/>
      <x:c r="AA171" s="74"/>
      <x:c r="AB171" s="77"/>
      <x:c r="AE171" s="74"/>
      <x:c r="AF171" s="74"/>
      <x:c r="AG171" s="74"/>
      <x:c r="AJ171" s="74" t="n">
        <x:f>SUM(V171:Y171)+AG171</x:f>
        <x:v>0</x:v>
      </x:c>
      <x:c r="AK171" s="74" t="n">
        <x:f>MAX(M171-N171,0)+MAX(AJ171-AA171,0)+AE171+AF171</x:f>
        <x:v>0</x:v>
      </x:c>
    </x:row>
    <x:row r="172">
      <x:c r="A172" s="76"/>
      <x:c r="H172" s="77"/>
      <x:c r="I172" s="77"/>
      <x:c r="L172" s="74"/>
      <x:c r="M172" s="74"/>
      <x:c r="N172" s="74"/>
      <x:c r="O172" s="77"/>
      <x:c r="P172" s="77"/>
      <x:c r="Q172" s="77"/>
      <x:c r="R172" s="77"/>
      <x:c r="S172" s="77"/>
      <x:c r="V172" s="74"/>
      <x:c r="W172" s="74"/>
      <x:c r="X172" s="74"/>
      <x:c r="Y172" s="74"/>
      <x:c r="Z172" s="77"/>
      <x:c r="AA172" s="74"/>
      <x:c r="AB172" s="77"/>
      <x:c r="AE172" s="74"/>
      <x:c r="AF172" s="74"/>
      <x:c r="AG172" s="74"/>
      <x:c r="AJ172" s="74" t="n">
        <x:f>SUM(V172:Y172)+AG172</x:f>
        <x:v>0</x:v>
      </x:c>
      <x:c r="AK172" s="74" t="n">
        <x:f>MAX(M172-N172,0)+MAX(AJ172-AA172,0)+AE172+AF172</x:f>
        <x:v>0</x:v>
      </x:c>
    </x:row>
    <x:row r="173">
      <x:c r="A173" s="76"/>
      <x:c r="H173" s="77"/>
      <x:c r="I173" s="77"/>
      <x:c r="L173" s="74"/>
      <x:c r="M173" s="74"/>
      <x:c r="N173" s="74"/>
      <x:c r="O173" s="77"/>
      <x:c r="P173" s="77"/>
      <x:c r="Q173" s="77"/>
      <x:c r="R173" s="77"/>
      <x:c r="S173" s="77"/>
      <x:c r="V173" s="74"/>
      <x:c r="W173" s="74"/>
      <x:c r="X173" s="74"/>
      <x:c r="Y173" s="74"/>
      <x:c r="Z173" s="77"/>
      <x:c r="AA173" s="74"/>
      <x:c r="AB173" s="77"/>
      <x:c r="AE173" s="74"/>
      <x:c r="AF173" s="74"/>
      <x:c r="AG173" s="74"/>
      <x:c r="AJ173" s="74" t="n">
        <x:f>SUM(V173:Y173)+AG173</x:f>
        <x:v>0</x:v>
      </x:c>
      <x:c r="AK173" s="74" t="n">
        <x:f>MAX(M173-N173,0)+MAX(AJ173-AA173,0)+AE173+AF173</x:f>
        <x:v>0</x:v>
      </x:c>
    </x:row>
    <x:row r="174">
      <x:c r="A174" s="76"/>
      <x:c r="H174" s="77"/>
      <x:c r="I174" s="77"/>
      <x:c r="L174" s="74"/>
      <x:c r="M174" s="74"/>
      <x:c r="N174" s="74"/>
      <x:c r="O174" s="77"/>
      <x:c r="P174" s="77"/>
      <x:c r="Q174" s="77"/>
      <x:c r="R174" s="77"/>
      <x:c r="S174" s="77"/>
      <x:c r="V174" s="74"/>
      <x:c r="W174" s="74"/>
      <x:c r="X174" s="74"/>
      <x:c r="Y174" s="74"/>
      <x:c r="Z174" s="77"/>
      <x:c r="AA174" s="74"/>
      <x:c r="AB174" s="77"/>
      <x:c r="AE174" s="74"/>
      <x:c r="AF174" s="74"/>
      <x:c r="AG174" s="74"/>
      <x:c r="AJ174" s="74" t="n">
        <x:f>SUM(V174:Y174)+AG174</x:f>
        <x:v>0</x:v>
      </x:c>
      <x:c r="AK174" s="74" t="n">
        <x:f>MAX(M174-N174,0)+MAX(AJ174-AA174,0)+AE174+AF174</x:f>
        <x:v>0</x:v>
      </x:c>
    </x:row>
    <x:row r="175">
      <x:c r="A175" s="76"/>
      <x:c r="H175" s="77"/>
      <x:c r="I175" s="77"/>
      <x:c r="L175" s="74"/>
      <x:c r="M175" s="74"/>
      <x:c r="N175" s="74"/>
      <x:c r="O175" s="77"/>
      <x:c r="P175" s="77"/>
      <x:c r="Q175" s="77"/>
      <x:c r="R175" s="77"/>
      <x:c r="S175" s="77"/>
      <x:c r="V175" s="74"/>
      <x:c r="W175" s="74"/>
      <x:c r="X175" s="74"/>
      <x:c r="Y175" s="74"/>
      <x:c r="Z175" s="77"/>
      <x:c r="AA175" s="74"/>
      <x:c r="AB175" s="77"/>
      <x:c r="AE175" s="74"/>
      <x:c r="AF175" s="74"/>
      <x:c r="AG175" s="74"/>
      <x:c r="AJ175" s="74" t="n">
        <x:f>SUM(V175:Y175)+AG175</x:f>
        <x:v>0</x:v>
      </x:c>
      <x:c r="AK175" s="74" t="n">
        <x:f>MAX(M175-N175,0)+MAX(AJ175-AA175,0)+AE175+AF175</x:f>
        <x:v>0</x:v>
      </x:c>
    </x:row>
    <x:row r="176">
      <x:c r="A176" s="76"/>
      <x:c r="H176" s="77"/>
      <x:c r="I176" s="77"/>
      <x:c r="L176" s="74"/>
      <x:c r="M176" s="74"/>
      <x:c r="N176" s="74"/>
      <x:c r="O176" s="77"/>
      <x:c r="P176" s="77"/>
      <x:c r="Q176" s="77"/>
      <x:c r="R176" s="77"/>
      <x:c r="S176" s="77"/>
      <x:c r="V176" s="74"/>
      <x:c r="W176" s="74"/>
      <x:c r="X176" s="74"/>
      <x:c r="Y176" s="74"/>
      <x:c r="Z176" s="77"/>
      <x:c r="AA176" s="74"/>
      <x:c r="AB176" s="77"/>
      <x:c r="AE176" s="74"/>
      <x:c r="AF176" s="74"/>
      <x:c r="AG176" s="74"/>
      <x:c r="AJ176" s="74" t="n">
        <x:f>SUM(V176:Y176)+AG176</x:f>
        <x:v>0</x:v>
      </x:c>
      <x:c r="AK176" s="74" t="n">
        <x:f>MAX(M176-N176,0)+MAX(AJ176-AA176,0)+AE176+AF176</x:f>
        <x:v>0</x:v>
      </x:c>
    </x:row>
    <x:row r="177">
      <x:c r="A177" s="76"/>
      <x:c r="H177" s="77"/>
      <x:c r="I177" s="77"/>
      <x:c r="L177" s="74"/>
      <x:c r="M177" s="74"/>
      <x:c r="N177" s="74"/>
      <x:c r="O177" s="77"/>
      <x:c r="P177" s="77"/>
      <x:c r="Q177" s="77"/>
      <x:c r="R177" s="77"/>
      <x:c r="S177" s="77"/>
      <x:c r="V177" s="74"/>
      <x:c r="W177" s="74"/>
      <x:c r="X177" s="74"/>
      <x:c r="Y177" s="74"/>
      <x:c r="Z177" s="77"/>
      <x:c r="AA177" s="74"/>
      <x:c r="AB177" s="77"/>
      <x:c r="AE177" s="74"/>
      <x:c r="AF177" s="74"/>
      <x:c r="AG177" s="74"/>
      <x:c r="AJ177" s="74" t="n">
        <x:f>SUM(V177:Y177)+AG177</x:f>
        <x:v>0</x:v>
      </x:c>
      <x:c r="AK177" s="74" t="n">
        <x:f>MAX(M177-N177,0)+MAX(AJ177-AA177,0)+AE177+AF177</x:f>
        <x:v>0</x:v>
      </x:c>
    </x:row>
    <x:row r="178">
      <x:c r="A178" s="76"/>
      <x:c r="H178" s="77"/>
      <x:c r="I178" s="77"/>
      <x:c r="L178" s="74"/>
      <x:c r="M178" s="74"/>
      <x:c r="N178" s="74"/>
      <x:c r="O178" s="77"/>
      <x:c r="P178" s="77"/>
      <x:c r="Q178" s="77"/>
      <x:c r="R178" s="77"/>
      <x:c r="S178" s="77"/>
      <x:c r="V178" s="74"/>
      <x:c r="W178" s="74"/>
      <x:c r="X178" s="74"/>
      <x:c r="Y178" s="74"/>
      <x:c r="Z178" s="77"/>
      <x:c r="AA178" s="74"/>
      <x:c r="AB178" s="77"/>
      <x:c r="AE178" s="74"/>
      <x:c r="AF178" s="74"/>
      <x:c r="AG178" s="74"/>
      <x:c r="AJ178" s="74" t="n">
        <x:f>SUM(V178:Y178)+AG178</x:f>
        <x:v>0</x:v>
      </x:c>
      <x:c r="AK178" s="74" t="n">
        <x:f>MAX(M178-N178,0)+MAX(AJ178-AA178,0)+AE178+AF178</x:f>
        <x:v>0</x:v>
      </x:c>
    </x:row>
    <x:row r="179">
      <x:c r="A179" s="76"/>
      <x:c r="H179" s="77"/>
      <x:c r="I179" s="77"/>
      <x:c r="L179" s="74"/>
      <x:c r="M179" s="74"/>
      <x:c r="N179" s="74"/>
      <x:c r="O179" s="77"/>
      <x:c r="P179" s="77"/>
      <x:c r="Q179" s="77"/>
      <x:c r="R179" s="77"/>
      <x:c r="S179" s="77"/>
      <x:c r="V179" s="74"/>
      <x:c r="W179" s="74"/>
      <x:c r="X179" s="74"/>
      <x:c r="Y179" s="74"/>
      <x:c r="Z179" s="77"/>
      <x:c r="AA179" s="74"/>
      <x:c r="AB179" s="77"/>
      <x:c r="AE179" s="74"/>
      <x:c r="AF179" s="74"/>
      <x:c r="AG179" s="74"/>
      <x:c r="AJ179" s="74" t="n">
        <x:f>SUM(V179:Y179)+AG179</x:f>
        <x:v>0</x:v>
      </x:c>
      <x:c r="AK179" s="74" t="n">
        <x:f>MAX(M179-N179,0)+MAX(AJ179-AA179,0)+AE179+AF179</x:f>
        <x:v>0</x:v>
      </x:c>
    </x:row>
    <x:row r="180">
      <x:c r="A180" s="76"/>
      <x:c r="H180" s="77"/>
      <x:c r="I180" s="77"/>
      <x:c r="L180" s="74"/>
      <x:c r="M180" s="74"/>
      <x:c r="N180" s="74"/>
      <x:c r="O180" s="77"/>
      <x:c r="P180" s="77"/>
      <x:c r="Q180" s="77"/>
      <x:c r="R180" s="77"/>
      <x:c r="S180" s="77"/>
      <x:c r="V180" s="74"/>
      <x:c r="W180" s="74"/>
      <x:c r="X180" s="74"/>
      <x:c r="Y180" s="74"/>
      <x:c r="Z180" s="77"/>
      <x:c r="AA180" s="74"/>
      <x:c r="AB180" s="77"/>
      <x:c r="AE180" s="74"/>
      <x:c r="AF180" s="74"/>
      <x:c r="AG180" s="74"/>
      <x:c r="AJ180" s="74" t="n">
        <x:f>SUM(V180:Y180)+AG180</x:f>
        <x:v>0</x:v>
      </x:c>
      <x:c r="AK180" s="74" t="n">
        <x:f>MAX(M180-N180,0)+MAX(AJ180-AA180,0)+AE180+AF180</x:f>
        <x:v>0</x:v>
      </x:c>
    </x:row>
    <x:row r="181">
      <x:c r="A181" s="76"/>
      <x:c r="H181" s="77"/>
      <x:c r="I181" s="77"/>
      <x:c r="L181" s="74"/>
      <x:c r="M181" s="74"/>
      <x:c r="N181" s="74"/>
      <x:c r="O181" s="77"/>
      <x:c r="P181" s="77"/>
      <x:c r="Q181" s="77"/>
      <x:c r="R181" s="77"/>
      <x:c r="S181" s="77"/>
      <x:c r="V181" s="74"/>
      <x:c r="W181" s="74"/>
      <x:c r="X181" s="74"/>
      <x:c r="Y181" s="74"/>
      <x:c r="Z181" s="77"/>
      <x:c r="AA181" s="74"/>
      <x:c r="AB181" s="77"/>
      <x:c r="AE181" s="74"/>
      <x:c r="AF181" s="74"/>
      <x:c r="AG181" s="74"/>
      <x:c r="AJ181" s="74" t="n">
        <x:f>SUM(V181:Y181)+AG181</x:f>
        <x:v>0</x:v>
      </x:c>
      <x:c r="AK181" s="74" t="n">
        <x:f>MAX(M181-N181,0)+MAX(AJ181-AA181,0)+AE181+AF181</x:f>
        <x:v>0</x:v>
      </x:c>
    </x:row>
    <x:row r="182">
      <x:c r="A182" s="76"/>
      <x:c r="H182" s="77"/>
      <x:c r="I182" s="77"/>
      <x:c r="L182" s="74"/>
      <x:c r="M182" s="74"/>
      <x:c r="N182" s="74"/>
      <x:c r="O182" s="77"/>
      <x:c r="P182" s="77"/>
      <x:c r="Q182" s="77"/>
      <x:c r="R182" s="77"/>
      <x:c r="S182" s="77"/>
      <x:c r="V182" s="74"/>
      <x:c r="W182" s="74"/>
      <x:c r="X182" s="74"/>
      <x:c r="Y182" s="74"/>
      <x:c r="Z182" s="77"/>
      <x:c r="AA182" s="74"/>
      <x:c r="AB182" s="77"/>
      <x:c r="AE182" s="74"/>
      <x:c r="AF182" s="74"/>
      <x:c r="AG182" s="74"/>
      <x:c r="AJ182" s="74" t="n">
        <x:f>SUM(V182:Y182)+AG182</x:f>
        <x:v>0</x:v>
      </x:c>
      <x:c r="AK182" s="74" t="n">
        <x:f>MAX(M182-N182,0)+MAX(AJ182-AA182,0)+AE182+AF182</x:f>
        <x:v>0</x:v>
      </x:c>
    </x:row>
    <x:row r="183">
      <x:c r="A183" s="76"/>
      <x:c r="H183" s="77"/>
      <x:c r="I183" s="77"/>
      <x:c r="L183" s="74"/>
      <x:c r="M183" s="74"/>
      <x:c r="N183" s="74"/>
      <x:c r="O183" s="77"/>
      <x:c r="P183" s="77"/>
      <x:c r="Q183" s="77"/>
      <x:c r="R183" s="77"/>
      <x:c r="S183" s="77"/>
      <x:c r="V183" s="74"/>
      <x:c r="W183" s="74"/>
      <x:c r="X183" s="74"/>
      <x:c r="Y183" s="74"/>
      <x:c r="Z183" s="77"/>
      <x:c r="AA183" s="74"/>
      <x:c r="AB183" s="77"/>
      <x:c r="AE183" s="74"/>
      <x:c r="AF183" s="74"/>
      <x:c r="AG183" s="74"/>
      <x:c r="AJ183" s="74" t="n">
        <x:f>SUM(V183:Y183)+AG183</x:f>
        <x:v>0</x:v>
      </x:c>
      <x:c r="AK183" s="74" t="n">
        <x:f>MAX(M183-N183,0)+MAX(AJ183-AA183,0)+AE183+AF183</x:f>
        <x:v>0</x:v>
      </x:c>
    </x:row>
    <x:row r="184">
      <x:c r="A184" s="76"/>
      <x:c r="H184" s="77"/>
      <x:c r="I184" s="77"/>
      <x:c r="L184" s="74"/>
      <x:c r="M184" s="74"/>
      <x:c r="N184" s="74"/>
      <x:c r="O184" s="77"/>
      <x:c r="P184" s="77"/>
      <x:c r="Q184" s="77"/>
      <x:c r="R184" s="77"/>
      <x:c r="S184" s="77"/>
      <x:c r="V184" s="74"/>
      <x:c r="W184" s="74"/>
      <x:c r="X184" s="74"/>
      <x:c r="Y184" s="74"/>
      <x:c r="Z184" s="77"/>
      <x:c r="AA184" s="74"/>
      <x:c r="AB184" s="77"/>
      <x:c r="AE184" s="74"/>
      <x:c r="AF184" s="74"/>
      <x:c r="AG184" s="74"/>
      <x:c r="AJ184" s="74" t="n">
        <x:f>SUM(V184:Y184)+AG184</x:f>
        <x:v>0</x:v>
      </x:c>
      <x:c r="AK184" s="74" t="n">
        <x:f>MAX(M184-N184,0)+MAX(AJ184-AA184,0)+AE184+AF184</x:f>
        <x:v>0</x:v>
      </x:c>
    </x:row>
    <x:row r="185">
      <x:c r="A185" s="76"/>
      <x:c r="H185" s="77"/>
      <x:c r="I185" s="77"/>
      <x:c r="L185" s="74"/>
      <x:c r="M185" s="74"/>
      <x:c r="N185" s="74"/>
      <x:c r="O185" s="77"/>
      <x:c r="P185" s="77"/>
      <x:c r="Q185" s="77"/>
      <x:c r="R185" s="77"/>
      <x:c r="S185" s="77"/>
      <x:c r="V185" s="74"/>
      <x:c r="W185" s="74"/>
      <x:c r="X185" s="74"/>
      <x:c r="Y185" s="74"/>
      <x:c r="Z185" s="77"/>
      <x:c r="AA185" s="74"/>
      <x:c r="AB185" s="77"/>
      <x:c r="AE185" s="74"/>
      <x:c r="AF185" s="74"/>
      <x:c r="AG185" s="74"/>
      <x:c r="AJ185" s="74" t="n">
        <x:f>SUM(V185:Y185)+AG185</x:f>
        <x:v>0</x:v>
      </x:c>
      <x:c r="AK185" s="74" t="n">
        <x:f>MAX(M185-N185,0)+MAX(AJ185-AA185,0)+AE185+AF185</x:f>
        <x:v>0</x:v>
      </x:c>
    </x:row>
    <x:row r="186">
      <x:c r="A186" s="76"/>
      <x:c r="H186" s="77"/>
      <x:c r="I186" s="77"/>
      <x:c r="L186" s="74"/>
      <x:c r="M186" s="74"/>
      <x:c r="N186" s="74"/>
      <x:c r="O186" s="77"/>
      <x:c r="P186" s="77"/>
      <x:c r="Q186" s="77"/>
      <x:c r="R186" s="77"/>
      <x:c r="S186" s="77"/>
      <x:c r="V186" s="74"/>
      <x:c r="W186" s="74"/>
      <x:c r="X186" s="74"/>
      <x:c r="Y186" s="74"/>
      <x:c r="Z186" s="77"/>
      <x:c r="AA186" s="74"/>
      <x:c r="AB186" s="77"/>
      <x:c r="AE186" s="74"/>
      <x:c r="AF186" s="74"/>
      <x:c r="AG186" s="74"/>
      <x:c r="AJ186" s="74" t="n">
        <x:f>SUM(V186:Y186)+AG186</x:f>
        <x:v>0</x:v>
      </x:c>
      <x:c r="AK186" s="74" t="n">
        <x:f>MAX(M186-N186,0)+MAX(AJ186-AA186,0)+AE186+AF186</x:f>
        <x:v>0</x:v>
      </x:c>
    </x:row>
    <x:row r="187">
      <x:c r="A187" s="76"/>
      <x:c r="H187" s="77"/>
      <x:c r="I187" s="77"/>
      <x:c r="L187" s="74"/>
      <x:c r="M187" s="74"/>
      <x:c r="N187" s="74"/>
      <x:c r="O187" s="77"/>
      <x:c r="P187" s="77"/>
      <x:c r="Q187" s="77"/>
      <x:c r="R187" s="77"/>
      <x:c r="S187" s="77"/>
      <x:c r="V187" s="74"/>
      <x:c r="W187" s="74"/>
      <x:c r="X187" s="74"/>
      <x:c r="Y187" s="74"/>
      <x:c r="Z187" s="77"/>
      <x:c r="AA187" s="74"/>
      <x:c r="AB187" s="77"/>
      <x:c r="AE187" s="74"/>
      <x:c r="AF187" s="74"/>
      <x:c r="AG187" s="74"/>
      <x:c r="AJ187" s="74" t="n">
        <x:f>SUM(V187:Y187)+AG187</x:f>
        <x:v>0</x:v>
      </x:c>
      <x:c r="AK187" s="74" t="n">
        <x:f>MAX(M187-N187,0)+MAX(AJ187-AA187,0)+AE187+AF187</x:f>
        <x:v>0</x:v>
      </x:c>
    </x:row>
    <x:row r="188">
      <x:c r="A188" s="76"/>
      <x:c r="H188" s="77"/>
      <x:c r="I188" s="77"/>
      <x:c r="L188" s="74"/>
      <x:c r="M188" s="74"/>
      <x:c r="N188" s="74"/>
      <x:c r="O188" s="77"/>
      <x:c r="P188" s="77"/>
      <x:c r="Q188" s="77"/>
      <x:c r="R188" s="77"/>
      <x:c r="S188" s="77"/>
      <x:c r="V188" s="74"/>
      <x:c r="W188" s="74"/>
      <x:c r="X188" s="74"/>
      <x:c r="Y188" s="74"/>
      <x:c r="Z188" s="77"/>
      <x:c r="AA188" s="74"/>
      <x:c r="AB188" s="77"/>
      <x:c r="AE188" s="74"/>
      <x:c r="AF188" s="74"/>
      <x:c r="AG188" s="74"/>
      <x:c r="AJ188" s="74" t="n">
        <x:f>SUM(V188:Y188)+AG188</x:f>
        <x:v>0</x:v>
      </x:c>
      <x:c r="AK188" s="74" t="n">
        <x:f>MAX(M188-N188,0)+MAX(AJ188-AA188,0)+AE188+AF188</x:f>
        <x:v>0</x:v>
      </x:c>
    </x:row>
    <x:row r="189">
      <x:c r="A189" s="76"/>
      <x:c r="H189" s="77"/>
      <x:c r="I189" s="77"/>
      <x:c r="L189" s="74"/>
      <x:c r="M189" s="74"/>
      <x:c r="N189" s="74"/>
      <x:c r="O189" s="77"/>
      <x:c r="P189" s="77"/>
      <x:c r="Q189" s="77"/>
      <x:c r="R189" s="77"/>
      <x:c r="S189" s="77"/>
      <x:c r="V189" s="74"/>
      <x:c r="W189" s="74"/>
      <x:c r="X189" s="74"/>
      <x:c r="Y189" s="74"/>
      <x:c r="Z189" s="77"/>
      <x:c r="AA189" s="74"/>
      <x:c r="AB189" s="77"/>
      <x:c r="AE189" s="74"/>
      <x:c r="AF189" s="74"/>
      <x:c r="AG189" s="74"/>
      <x:c r="AJ189" s="74" t="n">
        <x:f>SUM(V189:Y189)+AG189</x:f>
        <x:v>0</x:v>
      </x:c>
      <x:c r="AK189" s="74" t="n">
        <x:f>MAX(M189-N189,0)+MAX(AJ189-AA189,0)+AE189+AF189</x:f>
        <x:v>0</x:v>
      </x:c>
    </x:row>
    <x:row r="190">
      <x:c r="A190" s="76"/>
      <x:c r="H190" s="77"/>
      <x:c r="I190" s="77"/>
      <x:c r="L190" s="74"/>
      <x:c r="M190" s="74"/>
      <x:c r="N190" s="74"/>
      <x:c r="O190" s="77"/>
      <x:c r="P190" s="77"/>
      <x:c r="Q190" s="77"/>
      <x:c r="R190" s="77"/>
      <x:c r="S190" s="77"/>
      <x:c r="V190" s="74"/>
      <x:c r="W190" s="74"/>
      <x:c r="X190" s="74"/>
      <x:c r="Y190" s="74"/>
      <x:c r="Z190" s="77"/>
      <x:c r="AA190" s="74"/>
      <x:c r="AB190" s="77"/>
      <x:c r="AE190" s="74"/>
      <x:c r="AF190" s="74"/>
      <x:c r="AG190" s="74"/>
      <x:c r="AJ190" s="74" t="n">
        <x:f>SUM(V190:Y190)+AG190</x:f>
        <x:v>0</x:v>
      </x:c>
      <x:c r="AK190" s="74" t="n">
        <x:f>MAX(M190-N190,0)+MAX(AJ190-AA190,0)+AE190+AF190</x:f>
        <x:v>0</x:v>
      </x:c>
    </x:row>
    <x:row r="191">
      <x:c r="A191" s="76"/>
      <x:c r="H191" s="77"/>
      <x:c r="I191" s="77"/>
      <x:c r="L191" s="74"/>
      <x:c r="M191" s="74"/>
      <x:c r="N191" s="74"/>
      <x:c r="O191" s="77"/>
      <x:c r="P191" s="77"/>
      <x:c r="Q191" s="77"/>
      <x:c r="R191" s="77"/>
      <x:c r="S191" s="77"/>
      <x:c r="V191" s="74"/>
      <x:c r="W191" s="74"/>
      <x:c r="X191" s="74"/>
      <x:c r="Y191" s="74"/>
      <x:c r="Z191" s="77"/>
      <x:c r="AA191" s="74"/>
      <x:c r="AB191" s="77"/>
      <x:c r="AE191" s="74"/>
      <x:c r="AF191" s="74"/>
      <x:c r="AG191" s="74"/>
      <x:c r="AJ191" s="74" t="n">
        <x:f>SUM(V191:Y191)+AG191</x:f>
        <x:v>0</x:v>
      </x:c>
      <x:c r="AK191" s="74" t="n">
        <x:f>MAX(M191-N191,0)+MAX(AJ191-AA191,0)+AE191+AF191</x:f>
        <x:v>0</x:v>
      </x:c>
    </x:row>
    <x:row r="192">
      <x:c r="A192" s="76"/>
      <x:c r="H192" s="77"/>
      <x:c r="I192" s="77"/>
      <x:c r="L192" s="74"/>
      <x:c r="M192" s="74"/>
      <x:c r="N192" s="74"/>
      <x:c r="O192" s="77"/>
      <x:c r="P192" s="77"/>
      <x:c r="Q192" s="77"/>
      <x:c r="R192" s="77"/>
      <x:c r="S192" s="77"/>
      <x:c r="V192" s="74"/>
      <x:c r="W192" s="74"/>
      <x:c r="X192" s="74"/>
      <x:c r="Y192" s="74"/>
      <x:c r="Z192" s="77"/>
      <x:c r="AA192" s="74"/>
      <x:c r="AB192" s="77"/>
      <x:c r="AE192" s="74"/>
      <x:c r="AF192" s="74"/>
      <x:c r="AG192" s="74"/>
      <x:c r="AJ192" s="74" t="n">
        <x:f>SUM(V192:Y192)+AG192</x:f>
        <x:v>0</x:v>
      </x:c>
      <x:c r="AK192" s="74" t="n">
        <x:f>MAX(M192-N192,0)+MAX(AJ192-AA192,0)+AE192+AF192</x:f>
        <x:v>0</x:v>
      </x:c>
    </x:row>
    <x:row r="193">
      <x:c r="A193" s="76"/>
      <x:c r="H193" s="77"/>
      <x:c r="I193" s="77"/>
      <x:c r="L193" s="74"/>
      <x:c r="M193" s="74"/>
      <x:c r="N193" s="74"/>
      <x:c r="O193" s="77"/>
      <x:c r="P193" s="77"/>
      <x:c r="Q193" s="77"/>
      <x:c r="R193" s="77"/>
      <x:c r="S193" s="77"/>
      <x:c r="V193" s="74"/>
      <x:c r="W193" s="74"/>
      <x:c r="X193" s="74"/>
      <x:c r="Y193" s="74"/>
      <x:c r="Z193" s="77"/>
      <x:c r="AA193" s="74"/>
      <x:c r="AB193" s="77"/>
      <x:c r="AE193" s="74"/>
      <x:c r="AF193" s="74"/>
      <x:c r="AG193" s="74"/>
      <x:c r="AJ193" s="74" t="n">
        <x:f>SUM(V193:Y193)+AG193</x:f>
        <x:v>0</x:v>
      </x:c>
      <x:c r="AK193" s="74" t="n">
        <x:f>MAX(M193-N193,0)+MAX(AJ193-AA193,0)+AE193+AF193</x:f>
        <x:v>0</x:v>
      </x:c>
    </x:row>
    <x:row r="194">
      <x:c r="A194" s="76"/>
      <x:c r="H194" s="77"/>
      <x:c r="I194" s="77"/>
      <x:c r="L194" s="74"/>
      <x:c r="M194" s="74"/>
      <x:c r="N194" s="74"/>
      <x:c r="O194" s="77"/>
      <x:c r="P194" s="77"/>
      <x:c r="Q194" s="77"/>
      <x:c r="R194" s="77"/>
      <x:c r="S194" s="77"/>
      <x:c r="V194" s="74"/>
      <x:c r="W194" s="74"/>
      <x:c r="X194" s="74"/>
      <x:c r="Y194" s="74"/>
      <x:c r="Z194" s="77"/>
      <x:c r="AA194" s="74"/>
      <x:c r="AB194" s="77"/>
      <x:c r="AE194" s="74"/>
      <x:c r="AF194" s="74"/>
      <x:c r="AG194" s="74"/>
      <x:c r="AJ194" s="74" t="n">
        <x:f>SUM(V194:Y194)+AG194</x:f>
        <x:v>0</x:v>
      </x:c>
      <x:c r="AK194" s="74" t="n">
        <x:f>MAX(M194-N194,0)+MAX(AJ194-AA194,0)+AE194+AF194</x:f>
        <x:v>0</x:v>
      </x:c>
    </x:row>
    <x:row r="195">
      <x:c r="A195" s="76"/>
      <x:c r="H195" s="77"/>
      <x:c r="I195" s="77"/>
      <x:c r="L195" s="74"/>
      <x:c r="M195" s="74"/>
      <x:c r="N195" s="74"/>
      <x:c r="O195" s="77"/>
      <x:c r="P195" s="77"/>
      <x:c r="Q195" s="77"/>
      <x:c r="R195" s="77"/>
      <x:c r="S195" s="77"/>
      <x:c r="V195" s="74"/>
      <x:c r="W195" s="74"/>
      <x:c r="X195" s="74"/>
      <x:c r="Y195" s="74"/>
      <x:c r="Z195" s="77"/>
      <x:c r="AA195" s="74"/>
      <x:c r="AB195" s="77"/>
      <x:c r="AE195" s="74"/>
      <x:c r="AF195" s="74"/>
      <x:c r="AG195" s="74"/>
      <x:c r="AJ195" s="74" t="n">
        <x:f>SUM(V195:Y195)+AG195</x:f>
        <x:v>0</x:v>
      </x:c>
      <x:c r="AK195" s="74" t="n">
        <x:f>MAX(M195-N195,0)+MAX(AJ195-AA195,0)+AE195+AF195</x:f>
        <x:v>0</x:v>
      </x:c>
    </x:row>
    <x:row r="196">
      <x:c r="A196" s="76"/>
      <x:c r="H196" s="77"/>
      <x:c r="I196" s="77"/>
      <x:c r="L196" s="74"/>
      <x:c r="M196" s="74"/>
      <x:c r="N196" s="74"/>
      <x:c r="O196" s="77"/>
      <x:c r="P196" s="77"/>
      <x:c r="Q196" s="77"/>
      <x:c r="R196" s="77"/>
      <x:c r="S196" s="77"/>
      <x:c r="V196" s="74"/>
      <x:c r="W196" s="74"/>
      <x:c r="X196" s="74"/>
      <x:c r="Y196" s="74"/>
      <x:c r="Z196" s="77"/>
      <x:c r="AA196" s="74"/>
      <x:c r="AB196" s="77"/>
      <x:c r="AE196" s="74"/>
      <x:c r="AF196" s="74"/>
      <x:c r="AG196" s="74"/>
      <x:c r="AJ196" s="74" t="n">
        <x:f>SUM(V196:Y196)+AG196</x:f>
        <x:v>0</x:v>
      </x:c>
      <x:c r="AK196" s="74" t="n">
        <x:f>MAX(M196-N196,0)+MAX(AJ196-AA196,0)+AE196+AF196</x:f>
        <x:v>0</x:v>
      </x:c>
    </x:row>
    <x:row r="197">
      <x:c r="A197" s="76"/>
      <x:c r="H197" s="77"/>
      <x:c r="I197" s="77"/>
      <x:c r="L197" s="74"/>
      <x:c r="M197" s="74"/>
      <x:c r="N197" s="74"/>
      <x:c r="O197" s="77"/>
      <x:c r="P197" s="77"/>
      <x:c r="Q197" s="77"/>
      <x:c r="R197" s="77"/>
      <x:c r="S197" s="77"/>
      <x:c r="V197" s="74"/>
      <x:c r="W197" s="74"/>
      <x:c r="X197" s="74"/>
      <x:c r="Y197" s="74"/>
      <x:c r="Z197" s="77"/>
      <x:c r="AA197" s="74"/>
      <x:c r="AB197" s="77"/>
      <x:c r="AE197" s="74"/>
      <x:c r="AF197" s="74"/>
      <x:c r="AG197" s="74"/>
      <x:c r="AJ197" s="74" t="n">
        <x:f>SUM(V197:Y197)+AG197</x:f>
        <x:v>0</x:v>
      </x:c>
      <x:c r="AK197" s="74" t="n">
        <x:f>MAX(M197-N197,0)+MAX(AJ197-AA197,0)+AE197+AF197</x:f>
        <x:v>0</x:v>
      </x:c>
    </x:row>
    <x:row r="198">
      <x:c r="A198" s="76"/>
      <x:c r="H198" s="77"/>
      <x:c r="I198" s="77"/>
      <x:c r="L198" s="74"/>
      <x:c r="M198" s="74"/>
      <x:c r="N198" s="74"/>
      <x:c r="O198" s="77"/>
      <x:c r="P198" s="77"/>
      <x:c r="Q198" s="77"/>
      <x:c r="R198" s="77"/>
      <x:c r="S198" s="77"/>
      <x:c r="V198" s="74"/>
      <x:c r="W198" s="74"/>
      <x:c r="X198" s="74"/>
      <x:c r="Y198" s="74"/>
      <x:c r="Z198" s="77"/>
      <x:c r="AA198" s="74"/>
      <x:c r="AB198" s="77"/>
      <x:c r="AE198" s="74"/>
      <x:c r="AF198" s="74"/>
      <x:c r="AG198" s="74"/>
      <x:c r="AJ198" s="74" t="n">
        <x:f>SUM(V198:Y198)+AG198</x:f>
        <x:v>0</x:v>
      </x:c>
      <x:c r="AK198" s="74" t="n">
        <x:f>MAX(M198-N198,0)+MAX(AJ198-AA198,0)+AE198+AF198</x:f>
        <x:v>0</x:v>
      </x:c>
    </x:row>
    <x:row r="199">
      <x:c r="A199" s="76"/>
      <x:c r="H199" s="77"/>
      <x:c r="I199" s="77"/>
      <x:c r="L199" s="74"/>
      <x:c r="M199" s="74"/>
      <x:c r="N199" s="74"/>
      <x:c r="O199" s="77"/>
      <x:c r="P199" s="77"/>
      <x:c r="Q199" s="77"/>
      <x:c r="R199" s="77"/>
      <x:c r="S199" s="77"/>
      <x:c r="V199" s="74"/>
      <x:c r="W199" s="74"/>
      <x:c r="X199" s="74"/>
      <x:c r="Y199" s="74"/>
      <x:c r="Z199" s="77"/>
      <x:c r="AA199" s="74"/>
      <x:c r="AB199" s="77"/>
      <x:c r="AE199" s="74"/>
      <x:c r="AF199" s="74"/>
      <x:c r="AG199" s="74"/>
      <x:c r="AJ199" s="74" t="n">
        <x:f>SUM(V199:Y199)+AG199</x:f>
        <x:v>0</x:v>
      </x:c>
      <x:c r="AK199" s="74" t="n">
        <x:f>MAX(M199-N199,0)+MAX(AJ199-AA199,0)+AE199+AF199</x:f>
        <x:v>0</x:v>
      </x:c>
    </x:row>
    <x:row r="200">
      <x:c r="A200" s="76"/>
      <x:c r="H200" s="77"/>
      <x:c r="I200" s="77"/>
      <x:c r="L200" s="74"/>
      <x:c r="M200" s="74"/>
      <x:c r="N200" s="74"/>
      <x:c r="O200" s="77"/>
      <x:c r="P200" s="77"/>
      <x:c r="Q200" s="77"/>
      <x:c r="R200" s="77"/>
      <x:c r="S200" s="77"/>
      <x:c r="V200" s="74"/>
      <x:c r="W200" s="74"/>
      <x:c r="X200" s="74"/>
      <x:c r="Y200" s="74"/>
      <x:c r="Z200" s="77"/>
      <x:c r="AA200" s="74"/>
      <x:c r="AB200" s="77"/>
      <x:c r="AE200" s="74"/>
      <x:c r="AF200" s="74"/>
      <x:c r="AG200" s="74"/>
      <x:c r="AJ200" s="74" t="n">
        <x:f>SUM(V200:Y200)+AG200</x:f>
        <x:v>0</x:v>
      </x:c>
      <x:c r="AK200" s="74" t="n">
        <x:f>MAX(M200-N200,0)+MAX(AJ200-AA200,0)+AE200+AF200</x:f>
        <x:v>0</x:v>
      </x:c>
    </x:row>
    <x:row r="201">
      <x:c r="A201" s="76"/>
      <x:c r="H201" s="77"/>
      <x:c r="I201" s="77"/>
      <x:c r="L201" s="74"/>
      <x:c r="M201" s="74"/>
      <x:c r="N201" s="74"/>
      <x:c r="O201" s="77"/>
      <x:c r="P201" s="77"/>
      <x:c r="Q201" s="77"/>
      <x:c r="R201" s="77"/>
      <x:c r="S201" s="77"/>
      <x:c r="V201" s="74"/>
      <x:c r="W201" s="74"/>
      <x:c r="X201" s="74"/>
      <x:c r="Y201" s="74"/>
      <x:c r="Z201" s="77"/>
      <x:c r="AA201" s="74"/>
      <x:c r="AB201" s="77"/>
      <x:c r="AE201" s="74"/>
      <x:c r="AF201" s="74"/>
      <x:c r="AG201" s="74"/>
      <x:c r="AJ201" s="74" t="n">
        <x:f>SUM(V201:Y201)+AG201</x:f>
        <x:v>0</x:v>
      </x:c>
      <x:c r="AK201" s="74" t="n">
        <x:f>MAX(M201-N201,0)+MAX(AJ201-AA201,0)+AE201+AF201</x:f>
        <x:v>0</x:v>
      </x:c>
    </x:row>
    <x:row r="202">
      <x:c r="A202" s="76"/>
      <x:c r="H202" s="77"/>
      <x:c r="I202" s="77"/>
      <x:c r="L202" s="74"/>
      <x:c r="M202" s="74"/>
      <x:c r="N202" s="74"/>
      <x:c r="O202" s="77"/>
      <x:c r="P202" s="77"/>
      <x:c r="Q202" s="77"/>
      <x:c r="R202" s="77"/>
      <x:c r="S202" s="77"/>
      <x:c r="V202" s="74"/>
      <x:c r="W202" s="74"/>
      <x:c r="X202" s="74"/>
      <x:c r="Y202" s="74"/>
      <x:c r="Z202" s="77"/>
      <x:c r="AA202" s="74"/>
      <x:c r="AB202" s="77"/>
      <x:c r="AE202" s="74"/>
      <x:c r="AF202" s="74"/>
      <x:c r="AG202" s="74"/>
      <x:c r="AJ202" s="74" t="n">
        <x:f>SUM(V202:Y202)+AG202</x:f>
        <x:v>0</x:v>
      </x:c>
      <x:c r="AK202" s="74" t="n">
        <x:f>MAX(M202-N202,0)+MAX(AJ202-AA202,0)+AE202+AF202</x:f>
        <x:v>0</x:v>
      </x:c>
    </x:row>
    <x:row r="203">
      <x:c r="A203" s="76"/>
      <x:c r="H203" s="77"/>
      <x:c r="I203" s="77"/>
      <x:c r="L203" s="74"/>
      <x:c r="M203" s="74"/>
      <x:c r="N203" s="74"/>
      <x:c r="O203" s="77"/>
      <x:c r="P203" s="77"/>
      <x:c r="Q203" s="77"/>
      <x:c r="R203" s="77"/>
      <x:c r="S203" s="77"/>
      <x:c r="V203" s="74"/>
      <x:c r="W203" s="74"/>
      <x:c r="X203" s="74"/>
      <x:c r="Y203" s="74"/>
      <x:c r="Z203" s="77"/>
      <x:c r="AA203" s="74"/>
      <x:c r="AB203" s="77"/>
      <x:c r="AE203" s="74"/>
      <x:c r="AF203" s="74"/>
      <x:c r="AG203" s="74"/>
      <x:c r="AJ203" s="74" t="n">
        <x:f>SUM(V203:Y203)+AG203</x:f>
        <x:v>0</x:v>
      </x:c>
      <x:c r="AK203" s="74" t="n">
        <x:f>MAX(M203-N203,0)+MAX(AJ203-AA203,0)+AE203+AF203</x:f>
        <x:v>0</x:v>
      </x:c>
    </x:row>
    <x:row r="204">
      <x:c r="A204" s="76"/>
      <x:c r="H204" s="77"/>
      <x:c r="I204" s="77"/>
      <x:c r="L204" s="74"/>
      <x:c r="M204" s="74"/>
      <x:c r="N204" s="74"/>
      <x:c r="O204" s="77"/>
      <x:c r="P204" s="77"/>
      <x:c r="Q204" s="77"/>
      <x:c r="R204" s="77"/>
      <x:c r="S204" s="77"/>
      <x:c r="V204" s="74"/>
      <x:c r="W204" s="74"/>
      <x:c r="X204" s="74"/>
      <x:c r="Y204" s="74"/>
      <x:c r="Z204" s="77"/>
      <x:c r="AA204" s="74"/>
      <x:c r="AB204" s="77"/>
      <x:c r="AE204" s="74"/>
      <x:c r="AF204" s="74"/>
      <x:c r="AG204" s="74"/>
      <x:c r="AJ204" s="74" t="n">
        <x:f>SUM(V204:Y204)+AG204</x:f>
        <x:v>0</x:v>
      </x:c>
      <x:c r="AK204" s="74" t="n">
        <x:f>MAX(M204-N204,0)+MAX(AJ204-AA204,0)+AE204+AF204</x:f>
        <x:v>0</x:v>
      </x:c>
    </x:row>
    <x:row r="205">
      <x:c r="A205" s="76"/>
      <x:c r="H205" s="77"/>
      <x:c r="I205" s="77"/>
      <x:c r="L205" s="74"/>
      <x:c r="M205" s="74"/>
      <x:c r="N205" s="74"/>
      <x:c r="O205" s="77"/>
      <x:c r="P205" s="77"/>
      <x:c r="Q205" s="77"/>
      <x:c r="R205" s="77"/>
      <x:c r="S205" s="77"/>
      <x:c r="V205" s="74"/>
      <x:c r="W205" s="74"/>
      <x:c r="X205" s="74"/>
      <x:c r="Y205" s="74"/>
      <x:c r="Z205" s="77"/>
      <x:c r="AA205" s="74"/>
      <x:c r="AB205" s="77"/>
      <x:c r="AE205" s="74"/>
      <x:c r="AF205" s="74"/>
      <x:c r="AG205" s="74"/>
      <x:c r="AJ205" s="74" t="n">
        <x:f>SUM(V205:Y205)+AG205</x:f>
        <x:v>0</x:v>
      </x:c>
      <x:c r="AK205" s="74" t="n">
        <x:f>MAX(M205-N205,0)+MAX(AJ205-AA205,0)+AE205+AF205</x:f>
        <x:v>0</x:v>
      </x:c>
    </x:row>
    <x:row r="206">
      <x:c r="A206" s="76"/>
      <x:c r="H206" s="77"/>
      <x:c r="I206" s="77"/>
      <x:c r="L206" s="74"/>
      <x:c r="M206" s="74"/>
      <x:c r="N206" s="74"/>
      <x:c r="O206" s="77"/>
      <x:c r="P206" s="77"/>
      <x:c r="Q206" s="77"/>
      <x:c r="R206" s="77"/>
      <x:c r="S206" s="77"/>
      <x:c r="V206" s="74"/>
      <x:c r="W206" s="74"/>
      <x:c r="X206" s="74"/>
      <x:c r="Y206" s="74"/>
      <x:c r="Z206" s="77"/>
      <x:c r="AA206" s="74"/>
      <x:c r="AB206" s="77"/>
      <x:c r="AE206" s="74"/>
      <x:c r="AF206" s="74"/>
      <x:c r="AG206" s="74"/>
      <x:c r="AJ206" s="74" t="n">
        <x:f>SUM(V206:Y206)+AG206</x:f>
        <x:v>0</x:v>
      </x:c>
      <x:c r="AK206" s="74" t="n">
        <x:f>MAX(M206-N206,0)+MAX(AJ206-AA206,0)+AE206+AF206</x:f>
        <x:v>0</x:v>
      </x:c>
    </x:row>
    <x:row r="207">
      <x:c r="A207" s="76"/>
      <x:c r="H207" s="77"/>
      <x:c r="I207" s="77"/>
      <x:c r="L207" s="74"/>
      <x:c r="M207" s="74"/>
      <x:c r="N207" s="74"/>
      <x:c r="O207" s="77"/>
      <x:c r="P207" s="77"/>
      <x:c r="Q207" s="77"/>
      <x:c r="R207" s="77"/>
      <x:c r="S207" s="77"/>
      <x:c r="V207" s="74"/>
      <x:c r="W207" s="74"/>
      <x:c r="X207" s="74"/>
      <x:c r="Y207" s="74"/>
      <x:c r="Z207" s="77"/>
      <x:c r="AA207" s="74"/>
      <x:c r="AB207" s="77"/>
      <x:c r="AE207" s="74"/>
      <x:c r="AF207" s="74"/>
      <x:c r="AG207" s="74"/>
      <x:c r="AJ207" s="74" t="n">
        <x:f>SUM(V207:Y207)+AG207</x:f>
        <x:v>0</x:v>
      </x:c>
      <x:c r="AK207" s="74" t="n">
        <x:f>MAX(M207-N207,0)+MAX(AJ207-AA207,0)+AE207+AF207</x:f>
        <x:v>0</x:v>
      </x:c>
    </x:row>
    <x:row r="208">
      <x:c r="A208" s="76"/>
      <x:c r="H208" s="77"/>
      <x:c r="I208" s="77"/>
      <x:c r="L208" s="74"/>
      <x:c r="M208" s="74"/>
      <x:c r="N208" s="74"/>
      <x:c r="O208" s="77"/>
      <x:c r="P208" s="77"/>
      <x:c r="Q208" s="77"/>
      <x:c r="R208" s="77"/>
      <x:c r="S208" s="77"/>
      <x:c r="V208" s="74"/>
      <x:c r="W208" s="74"/>
      <x:c r="X208" s="74"/>
      <x:c r="Y208" s="74"/>
      <x:c r="Z208" s="77"/>
      <x:c r="AA208" s="74"/>
      <x:c r="AB208" s="77"/>
      <x:c r="AE208" s="74"/>
      <x:c r="AF208" s="74"/>
      <x:c r="AG208" s="74"/>
      <x:c r="AJ208" s="74" t="n">
        <x:f>SUM(V208:Y208)+AG208</x:f>
        <x:v>0</x:v>
      </x:c>
      <x:c r="AK208" s="74" t="n">
        <x:f>MAX(M208-N208,0)+MAX(AJ208-AA208,0)+AE208+AF208</x:f>
        <x:v>0</x:v>
      </x:c>
    </x:row>
    <x:row r="209">
      <x:c r="A209" s="76"/>
      <x:c r="H209" s="77"/>
      <x:c r="I209" s="77"/>
      <x:c r="L209" s="74"/>
      <x:c r="M209" s="74"/>
      <x:c r="N209" s="74"/>
      <x:c r="O209" s="77"/>
      <x:c r="P209" s="77"/>
      <x:c r="Q209" s="77"/>
      <x:c r="R209" s="77"/>
      <x:c r="S209" s="77"/>
      <x:c r="V209" s="74"/>
      <x:c r="W209" s="74"/>
      <x:c r="X209" s="74"/>
      <x:c r="Y209" s="74"/>
      <x:c r="Z209" s="77"/>
      <x:c r="AA209" s="74"/>
      <x:c r="AB209" s="77"/>
      <x:c r="AE209" s="74"/>
      <x:c r="AF209" s="74"/>
      <x:c r="AG209" s="74"/>
      <x:c r="AJ209" s="74" t="n">
        <x:f>SUM(V209:Y209)+AG209</x:f>
        <x:v>0</x:v>
      </x:c>
      <x:c r="AK209" s="74" t="n">
        <x:f>MAX(M209-N209,0)+MAX(AJ209-AA209,0)+AE209+AF209</x:f>
        <x:v>0</x:v>
      </x:c>
    </x:row>
    <x:row r="210">
      <x:c r="A210" s="76"/>
      <x:c r="H210" s="77"/>
      <x:c r="I210" s="77"/>
      <x:c r="L210" s="74"/>
      <x:c r="M210" s="74"/>
      <x:c r="N210" s="74"/>
      <x:c r="O210" s="77"/>
      <x:c r="P210" s="77"/>
      <x:c r="Q210" s="77"/>
      <x:c r="R210" s="77"/>
      <x:c r="S210" s="77"/>
      <x:c r="V210" s="74"/>
      <x:c r="W210" s="74"/>
      <x:c r="X210" s="74"/>
      <x:c r="Y210" s="74"/>
      <x:c r="Z210" s="77"/>
      <x:c r="AA210" s="74"/>
      <x:c r="AB210" s="77"/>
      <x:c r="AE210" s="74"/>
      <x:c r="AF210" s="74"/>
      <x:c r="AG210" s="74"/>
      <x:c r="AJ210" s="74" t="n">
        <x:f>SUM(V210:Y210)+AG210</x:f>
        <x:v>0</x:v>
      </x:c>
      <x:c r="AK210" s="74" t="n">
        <x:f>MAX(M210-N210,0)+MAX(AJ210-AA210,0)+AE210+AF210</x:f>
        <x:v>0</x:v>
      </x:c>
    </x:row>
    <x:row r="211">
      <x:c r="A211" s="76"/>
      <x:c r="H211" s="77"/>
      <x:c r="I211" s="77"/>
      <x:c r="L211" s="74"/>
      <x:c r="M211" s="74"/>
      <x:c r="N211" s="74"/>
      <x:c r="O211" s="77"/>
      <x:c r="P211" s="77"/>
      <x:c r="Q211" s="77"/>
      <x:c r="R211" s="77"/>
      <x:c r="S211" s="77"/>
      <x:c r="V211" s="74"/>
      <x:c r="W211" s="74"/>
      <x:c r="X211" s="74"/>
      <x:c r="Y211" s="74"/>
      <x:c r="Z211" s="77"/>
      <x:c r="AA211" s="74"/>
      <x:c r="AB211" s="77"/>
      <x:c r="AE211" s="74"/>
      <x:c r="AF211" s="74"/>
      <x:c r="AG211" s="74"/>
      <x:c r="AJ211" s="74" t="n">
        <x:f>SUM(V211:Y211)+AG211</x:f>
        <x:v>0</x:v>
      </x:c>
      <x:c r="AK211" s="74" t="n">
        <x:f>MAX(M211-N211,0)+MAX(AJ211-AA211,0)+AE211+AF211</x:f>
        <x:v>0</x:v>
      </x:c>
    </x:row>
    <x:row r="212">
      <x:c r="A212" s="76"/>
      <x:c r="H212" s="77"/>
      <x:c r="I212" s="77"/>
      <x:c r="L212" s="74"/>
      <x:c r="M212" s="74"/>
      <x:c r="N212" s="74"/>
      <x:c r="O212" s="77"/>
      <x:c r="P212" s="77"/>
      <x:c r="Q212" s="77"/>
      <x:c r="R212" s="77"/>
      <x:c r="S212" s="77"/>
      <x:c r="V212" s="74"/>
      <x:c r="W212" s="74"/>
      <x:c r="X212" s="74"/>
      <x:c r="Y212" s="74"/>
      <x:c r="Z212" s="77"/>
      <x:c r="AA212" s="74"/>
      <x:c r="AB212" s="77"/>
      <x:c r="AE212" s="74"/>
      <x:c r="AF212" s="74"/>
      <x:c r="AG212" s="74"/>
      <x:c r="AJ212" s="74" t="n">
        <x:f>SUM(V212:Y212)+AG212</x:f>
        <x:v>0</x:v>
      </x:c>
      <x:c r="AK212" s="74" t="n">
        <x:f>MAX(M212-N212,0)+MAX(AJ212-AA212,0)+AE212+AF212</x:f>
        <x:v>0</x:v>
      </x:c>
    </x:row>
    <x:row r="213">
      <x:c r="A213" s="76"/>
      <x:c r="H213" s="77"/>
      <x:c r="I213" s="77"/>
      <x:c r="L213" s="74"/>
      <x:c r="M213" s="74"/>
      <x:c r="N213" s="74"/>
      <x:c r="O213" s="77"/>
      <x:c r="P213" s="77"/>
      <x:c r="Q213" s="77"/>
      <x:c r="R213" s="77"/>
      <x:c r="S213" s="77"/>
      <x:c r="V213" s="74"/>
      <x:c r="W213" s="74"/>
      <x:c r="X213" s="74"/>
      <x:c r="Y213" s="74"/>
      <x:c r="Z213" s="77"/>
      <x:c r="AA213" s="74"/>
      <x:c r="AB213" s="77"/>
      <x:c r="AE213" s="74"/>
      <x:c r="AF213" s="74"/>
      <x:c r="AG213" s="74"/>
      <x:c r="AJ213" s="74" t="n">
        <x:f>SUM(V213:Y213)+AG213</x:f>
        <x:v>0</x:v>
      </x:c>
      <x:c r="AK213" s="74" t="n">
        <x:f>MAX(M213-N213,0)+MAX(AJ213-AA213,0)+AE213+AF213</x:f>
        <x:v>0</x:v>
      </x:c>
    </x:row>
    <x:row r="214">
      <x:c r="A214" s="76"/>
      <x:c r="H214" s="77"/>
      <x:c r="I214" s="77"/>
      <x:c r="L214" s="74"/>
      <x:c r="M214" s="74"/>
      <x:c r="N214" s="74"/>
      <x:c r="O214" s="77"/>
      <x:c r="P214" s="77"/>
      <x:c r="Q214" s="77"/>
      <x:c r="R214" s="77"/>
      <x:c r="S214" s="77"/>
      <x:c r="V214" s="74"/>
      <x:c r="W214" s="74"/>
      <x:c r="X214" s="74"/>
      <x:c r="Y214" s="74"/>
      <x:c r="Z214" s="77"/>
      <x:c r="AA214" s="74"/>
      <x:c r="AB214" s="77"/>
      <x:c r="AE214" s="74"/>
      <x:c r="AF214" s="74"/>
      <x:c r="AG214" s="74"/>
      <x:c r="AJ214" s="74" t="n">
        <x:f>SUM(V214:Y214)+AG214</x:f>
        <x:v>0</x:v>
      </x:c>
      <x:c r="AK214" s="74" t="n">
        <x:f>MAX(M214-N214,0)+MAX(AJ214-AA214,0)+AE214+AF214</x:f>
        <x:v>0</x:v>
      </x:c>
    </x:row>
    <x:row r="215">
      <x:c r="A215" s="76"/>
      <x:c r="H215" s="77"/>
      <x:c r="I215" s="77"/>
      <x:c r="L215" s="74"/>
      <x:c r="M215" s="74"/>
      <x:c r="N215" s="74"/>
      <x:c r="O215" s="77"/>
      <x:c r="P215" s="77"/>
      <x:c r="Q215" s="77"/>
      <x:c r="R215" s="77"/>
      <x:c r="S215" s="77"/>
      <x:c r="V215" s="74"/>
      <x:c r="W215" s="74"/>
      <x:c r="X215" s="74"/>
      <x:c r="Y215" s="74"/>
      <x:c r="Z215" s="77"/>
      <x:c r="AA215" s="74"/>
      <x:c r="AB215" s="77"/>
      <x:c r="AE215" s="74"/>
      <x:c r="AF215" s="74"/>
      <x:c r="AG215" s="74"/>
      <x:c r="AJ215" s="74" t="n">
        <x:f>SUM(V215:Y215)+AG215</x:f>
        <x:v>0</x:v>
      </x:c>
      <x:c r="AK215" s="74" t="n">
        <x:f>MAX(M215-N215,0)+MAX(AJ215-AA215,0)+AE215+AF215</x:f>
        <x:v>0</x:v>
      </x:c>
    </x:row>
    <x:row r="216">
      <x:c r="A216" s="76"/>
      <x:c r="H216" s="77"/>
      <x:c r="I216" s="77"/>
      <x:c r="L216" s="74"/>
      <x:c r="M216" s="74"/>
      <x:c r="N216" s="74"/>
      <x:c r="O216" s="77"/>
      <x:c r="P216" s="77"/>
      <x:c r="Q216" s="77"/>
      <x:c r="R216" s="77"/>
      <x:c r="S216" s="77"/>
      <x:c r="V216" s="74"/>
      <x:c r="W216" s="74"/>
      <x:c r="X216" s="74"/>
      <x:c r="Y216" s="74"/>
      <x:c r="Z216" s="77"/>
      <x:c r="AA216" s="74"/>
      <x:c r="AB216" s="77"/>
      <x:c r="AE216" s="74"/>
      <x:c r="AF216" s="74"/>
      <x:c r="AG216" s="74"/>
      <x:c r="AJ216" s="74" t="n">
        <x:f>SUM(V216:Y216)+AG216</x:f>
        <x:v>0</x:v>
      </x:c>
      <x:c r="AK216" s="74" t="n">
        <x:f>MAX(M216-N216,0)+MAX(AJ216-AA216,0)+AE216+AF216</x:f>
        <x:v>0</x:v>
      </x:c>
    </x:row>
    <x:row r="217">
      <x:c r="A217" s="76"/>
      <x:c r="H217" s="77"/>
      <x:c r="I217" s="77"/>
      <x:c r="L217" s="74"/>
      <x:c r="M217" s="74"/>
      <x:c r="N217" s="74"/>
      <x:c r="O217" s="77"/>
      <x:c r="P217" s="77"/>
      <x:c r="Q217" s="77"/>
      <x:c r="R217" s="77"/>
      <x:c r="S217" s="77"/>
      <x:c r="V217" s="74"/>
      <x:c r="W217" s="74"/>
      <x:c r="X217" s="74"/>
      <x:c r="Y217" s="74"/>
      <x:c r="Z217" s="77"/>
      <x:c r="AA217" s="74"/>
      <x:c r="AB217" s="77"/>
      <x:c r="AE217" s="74"/>
      <x:c r="AF217" s="74"/>
      <x:c r="AG217" s="74"/>
      <x:c r="AJ217" s="74" t="n">
        <x:f>SUM(V217:Y217)+AG217</x:f>
        <x:v>0</x:v>
      </x:c>
      <x:c r="AK217" s="74" t="n">
        <x:f>MAX(M217-N217,0)+MAX(AJ217-AA217,0)+AE217+AF217</x:f>
        <x:v>0</x:v>
      </x:c>
    </x:row>
    <x:row r="218">
      <x:c r="A218" s="76"/>
      <x:c r="H218" s="77"/>
      <x:c r="I218" s="77"/>
      <x:c r="L218" s="74"/>
      <x:c r="M218" s="74"/>
      <x:c r="N218" s="74"/>
      <x:c r="O218" s="77"/>
      <x:c r="P218" s="77"/>
      <x:c r="Q218" s="77"/>
      <x:c r="R218" s="77"/>
      <x:c r="S218" s="77"/>
      <x:c r="V218" s="74"/>
      <x:c r="W218" s="74"/>
      <x:c r="X218" s="74"/>
      <x:c r="Y218" s="74"/>
      <x:c r="Z218" s="77"/>
      <x:c r="AA218" s="74"/>
      <x:c r="AB218" s="77"/>
      <x:c r="AE218" s="74"/>
      <x:c r="AF218" s="74"/>
      <x:c r="AG218" s="74"/>
      <x:c r="AJ218" s="74" t="n">
        <x:f>SUM(V218:Y218)+AG218</x:f>
        <x:v>0</x:v>
      </x:c>
      <x:c r="AK218" s="74" t="n">
        <x:f>MAX(M218-N218,0)+MAX(AJ218-AA218,0)+AE218+AF218</x:f>
        <x:v>0</x:v>
      </x:c>
    </x:row>
    <x:row r="219">
      <x:c r="A219" s="76"/>
      <x:c r="H219" s="77"/>
      <x:c r="I219" s="77"/>
      <x:c r="L219" s="74"/>
      <x:c r="M219" s="74"/>
      <x:c r="N219" s="74"/>
      <x:c r="O219" s="77"/>
      <x:c r="P219" s="77"/>
      <x:c r="Q219" s="77"/>
      <x:c r="R219" s="77"/>
      <x:c r="S219" s="77"/>
      <x:c r="V219" s="74"/>
      <x:c r="W219" s="74"/>
      <x:c r="X219" s="74"/>
      <x:c r="Y219" s="74"/>
      <x:c r="Z219" s="77"/>
      <x:c r="AA219" s="74"/>
      <x:c r="AB219" s="77"/>
      <x:c r="AE219" s="74"/>
      <x:c r="AF219" s="74"/>
      <x:c r="AG219" s="74"/>
      <x:c r="AJ219" s="74" t="n">
        <x:f>SUM(V219:Y219)+AG219</x:f>
        <x:v>0</x:v>
      </x:c>
      <x:c r="AK219" s="74" t="n">
        <x:f>MAX(M219-N219,0)+MAX(AJ219-AA219,0)+AE219+AF219</x:f>
        <x:v>0</x:v>
      </x:c>
    </x:row>
    <x:row r="220">
      <x:c r="A220" s="76"/>
      <x:c r="H220" s="77"/>
      <x:c r="I220" s="77"/>
      <x:c r="L220" s="74"/>
      <x:c r="M220" s="74"/>
      <x:c r="N220" s="74"/>
      <x:c r="O220" s="77"/>
      <x:c r="P220" s="77"/>
      <x:c r="Q220" s="77"/>
      <x:c r="R220" s="77"/>
      <x:c r="S220" s="77"/>
      <x:c r="V220" s="74"/>
      <x:c r="W220" s="74"/>
      <x:c r="X220" s="74"/>
      <x:c r="Y220" s="74"/>
      <x:c r="Z220" s="77"/>
      <x:c r="AA220" s="74"/>
      <x:c r="AB220" s="77"/>
      <x:c r="AE220" s="74"/>
      <x:c r="AF220" s="74"/>
      <x:c r="AG220" s="74"/>
      <x:c r="AJ220" s="74" t="n">
        <x:f>SUM(V220:Y220)+AG220</x:f>
        <x:v>0</x:v>
      </x:c>
      <x:c r="AK220" s="74" t="n">
        <x:f>MAX(M220-N220,0)+MAX(AJ220-AA220,0)+AE220+AF220</x:f>
        <x:v>0</x:v>
      </x:c>
    </x:row>
    <x:row r="221">
      <x:c r="A221" s="76"/>
      <x:c r="H221" s="77"/>
      <x:c r="I221" s="77"/>
      <x:c r="L221" s="74"/>
      <x:c r="M221" s="74"/>
      <x:c r="N221" s="74"/>
      <x:c r="O221" s="77"/>
      <x:c r="P221" s="77"/>
      <x:c r="Q221" s="77"/>
      <x:c r="R221" s="77"/>
      <x:c r="S221" s="77"/>
      <x:c r="V221" s="74"/>
      <x:c r="W221" s="74"/>
      <x:c r="X221" s="74"/>
      <x:c r="Y221" s="74"/>
      <x:c r="Z221" s="77"/>
      <x:c r="AA221" s="74"/>
      <x:c r="AB221" s="77"/>
      <x:c r="AE221" s="74"/>
      <x:c r="AF221" s="74"/>
      <x:c r="AG221" s="74"/>
      <x:c r="AJ221" s="74" t="n">
        <x:f>SUM(V221:Y221)+AG221</x:f>
        <x:v>0</x:v>
      </x:c>
      <x:c r="AK221" s="74" t="n">
        <x:f>MAX(M221-N221,0)+MAX(AJ221-AA221,0)+AE221+AF221</x:f>
        <x:v>0</x:v>
      </x:c>
    </x:row>
    <x:row r="222">
      <x:c r="A222" s="76"/>
      <x:c r="H222" s="77"/>
      <x:c r="I222" s="77"/>
      <x:c r="L222" s="74"/>
      <x:c r="M222" s="74"/>
      <x:c r="N222" s="74"/>
      <x:c r="O222" s="77"/>
      <x:c r="P222" s="77"/>
      <x:c r="Q222" s="77"/>
      <x:c r="R222" s="77"/>
      <x:c r="S222" s="77"/>
      <x:c r="V222" s="74"/>
      <x:c r="W222" s="74"/>
      <x:c r="X222" s="74"/>
      <x:c r="Y222" s="74"/>
      <x:c r="Z222" s="77"/>
      <x:c r="AA222" s="74"/>
      <x:c r="AB222" s="77"/>
      <x:c r="AE222" s="74"/>
      <x:c r="AF222" s="74"/>
      <x:c r="AG222" s="74"/>
      <x:c r="AJ222" s="74" t="n">
        <x:f>SUM(V222:Y222)+AG222</x:f>
        <x:v>0</x:v>
      </x:c>
      <x:c r="AK222" s="74" t="n">
        <x:f>MAX(M222-N222,0)+MAX(AJ222-AA222,0)+AE222+AF222</x:f>
        <x:v>0</x:v>
      </x:c>
    </x:row>
    <x:row r="223">
      <x:c r="A223" s="76"/>
      <x:c r="H223" s="77"/>
      <x:c r="I223" s="77"/>
      <x:c r="L223" s="74"/>
      <x:c r="M223" s="74"/>
      <x:c r="N223" s="74"/>
      <x:c r="O223" s="77"/>
      <x:c r="P223" s="77"/>
      <x:c r="Q223" s="77"/>
      <x:c r="R223" s="77"/>
      <x:c r="S223" s="77"/>
      <x:c r="V223" s="74"/>
      <x:c r="W223" s="74"/>
      <x:c r="X223" s="74"/>
      <x:c r="Y223" s="74"/>
      <x:c r="Z223" s="77"/>
      <x:c r="AA223" s="74"/>
      <x:c r="AB223" s="77"/>
      <x:c r="AE223" s="74"/>
      <x:c r="AF223" s="74"/>
      <x:c r="AG223" s="74"/>
      <x:c r="AJ223" s="74" t="n">
        <x:f>SUM(V223:Y223)+AG223</x:f>
        <x:v>0</x:v>
      </x:c>
      <x:c r="AK223" s="74" t="n">
        <x:f>MAX(M223-N223,0)+MAX(AJ223-AA223,0)+AE223+AF223</x:f>
        <x:v>0</x:v>
      </x:c>
    </x:row>
    <x:row r="224">
      <x:c r="A224" s="76"/>
      <x:c r="H224" s="77"/>
      <x:c r="I224" s="77"/>
      <x:c r="L224" s="74"/>
      <x:c r="M224" s="74"/>
      <x:c r="N224" s="74"/>
      <x:c r="O224" s="77"/>
      <x:c r="P224" s="77"/>
      <x:c r="Q224" s="77"/>
      <x:c r="R224" s="77"/>
      <x:c r="S224" s="77"/>
      <x:c r="V224" s="74"/>
      <x:c r="W224" s="74"/>
      <x:c r="X224" s="74"/>
      <x:c r="Y224" s="74"/>
      <x:c r="Z224" s="77"/>
      <x:c r="AA224" s="74"/>
      <x:c r="AB224" s="77"/>
      <x:c r="AE224" s="74"/>
      <x:c r="AF224" s="74"/>
      <x:c r="AG224" s="74"/>
      <x:c r="AJ224" s="74" t="n">
        <x:f>SUM(V224:Y224)+AG224</x:f>
        <x:v>0</x:v>
      </x:c>
      <x:c r="AK224" s="74" t="n">
        <x:f>MAX(M224-N224,0)+MAX(AJ224-AA224,0)+AE224+AF224</x:f>
        <x:v>0</x:v>
      </x:c>
    </x:row>
    <x:row r="225">
      <x:c r="A225" s="76"/>
      <x:c r="H225" s="77"/>
      <x:c r="I225" s="77"/>
      <x:c r="L225" s="74"/>
      <x:c r="M225" s="74"/>
      <x:c r="N225" s="74"/>
      <x:c r="O225" s="77"/>
      <x:c r="P225" s="77"/>
      <x:c r="Q225" s="77"/>
      <x:c r="R225" s="77"/>
      <x:c r="S225" s="77"/>
      <x:c r="V225" s="74"/>
      <x:c r="W225" s="74"/>
      <x:c r="X225" s="74"/>
      <x:c r="Y225" s="74"/>
      <x:c r="Z225" s="77"/>
      <x:c r="AA225" s="74"/>
      <x:c r="AB225" s="77"/>
      <x:c r="AE225" s="74"/>
      <x:c r="AF225" s="74"/>
      <x:c r="AG225" s="74"/>
      <x:c r="AJ225" s="74" t="n">
        <x:f>SUM(V225:Y225)+AG225</x:f>
        <x:v>0</x:v>
      </x:c>
      <x:c r="AK225" s="74" t="n">
        <x:f>MAX(M225-N225,0)+MAX(AJ225-AA225,0)+AE225+AF225</x:f>
        <x:v>0</x:v>
      </x:c>
    </x:row>
    <x:row r="226">
      <x:c r="A226" s="76"/>
      <x:c r="H226" s="77"/>
      <x:c r="I226" s="77"/>
      <x:c r="L226" s="74"/>
      <x:c r="M226" s="74"/>
      <x:c r="N226" s="74"/>
      <x:c r="O226" s="77"/>
      <x:c r="P226" s="77"/>
      <x:c r="Q226" s="77"/>
      <x:c r="R226" s="77"/>
      <x:c r="S226" s="77"/>
      <x:c r="V226" s="74"/>
      <x:c r="W226" s="74"/>
      <x:c r="X226" s="74"/>
      <x:c r="Y226" s="74"/>
      <x:c r="Z226" s="77"/>
      <x:c r="AA226" s="74"/>
      <x:c r="AB226" s="77"/>
      <x:c r="AE226" s="74"/>
      <x:c r="AF226" s="74"/>
      <x:c r="AG226" s="74"/>
      <x:c r="AJ226" s="74" t="n">
        <x:f>SUM(V226:Y226)+AG226</x:f>
        <x:v>0</x:v>
      </x:c>
      <x:c r="AK226" s="74" t="n">
        <x:f>MAX(M226-N226,0)+MAX(AJ226-AA226,0)+AE226+AF226</x:f>
        <x:v>0</x:v>
      </x:c>
    </x:row>
    <x:row r="227">
      <x:c r="A227" s="76"/>
      <x:c r="H227" s="77"/>
      <x:c r="I227" s="77"/>
      <x:c r="L227" s="74"/>
      <x:c r="M227" s="74"/>
      <x:c r="N227" s="74"/>
      <x:c r="O227" s="77"/>
      <x:c r="P227" s="77"/>
      <x:c r="Q227" s="77"/>
      <x:c r="R227" s="77"/>
      <x:c r="S227" s="77"/>
      <x:c r="V227" s="74"/>
      <x:c r="W227" s="74"/>
      <x:c r="X227" s="74"/>
      <x:c r="Y227" s="74"/>
      <x:c r="Z227" s="77"/>
      <x:c r="AA227" s="74"/>
      <x:c r="AB227" s="77"/>
      <x:c r="AE227" s="74"/>
      <x:c r="AF227" s="74"/>
      <x:c r="AG227" s="74"/>
      <x:c r="AJ227" s="74" t="n">
        <x:f>SUM(V227:Y227)+AG227</x:f>
        <x:v>0</x:v>
      </x:c>
      <x:c r="AK227" s="74" t="n">
        <x:f>MAX(M227-N227,0)+MAX(AJ227-AA227,0)+AE227+AF227</x:f>
        <x:v>0</x:v>
      </x:c>
    </x:row>
    <x:row r="228">
      <x:c r="A228" s="76"/>
      <x:c r="H228" s="77"/>
      <x:c r="I228" s="77"/>
      <x:c r="L228" s="74"/>
      <x:c r="M228" s="74"/>
      <x:c r="N228" s="74"/>
      <x:c r="O228" s="77"/>
      <x:c r="P228" s="77"/>
      <x:c r="Q228" s="77"/>
      <x:c r="R228" s="77"/>
      <x:c r="S228" s="77"/>
      <x:c r="V228" s="74"/>
      <x:c r="W228" s="74"/>
      <x:c r="X228" s="74"/>
      <x:c r="Y228" s="74"/>
      <x:c r="Z228" s="77"/>
      <x:c r="AA228" s="74"/>
      <x:c r="AB228" s="77"/>
      <x:c r="AE228" s="74"/>
      <x:c r="AF228" s="74"/>
      <x:c r="AG228" s="74"/>
      <x:c r="AJ228" s="74" t="n">
        <x:f>SUM(V228:Y228)+AG228</x:f>
        <x:v>0</x:v>
      </x:c>
      <x:c r="AK228" s="74" t="n">
        <x:f>MAX(M228-N228,0)+MAX(AJ228-AA228,0)+AE228+AF228</x:f>
        <x:v>0</x:v>
      </x:c>
    </x:row>
    <x:row r="229">
      <x:c r="A229" s="76"/>
      <x:c r="H229" s="77"/>
      <x:c r="I229" s="77"/>
      <x:c r="L229" s="74"/>
      <x:c r="M229" s="74"/>
      <x:c r="N229" s="74"/>
      <x:c r="O229" s="77"/>
      <x:c r="P229" s="77"/>
      <x:c r="Q229" s="77"/>
      <x:c r="R229" s="77"/>
      <x:c r="S229" s="77"/>
      <x:c r="V229" s="74"/>
      <x:c r="W229" s="74"/>
      <x:c r="X229" s="74"/>
      <x:c r="Y229" s="74"/>
      <x:c r="Z229" s="77"/>
      <x:c r="AA229" s="74"/>
      <x:c r="AB229" s="77"/>
      <x:c r="AE229" s="74"/>
      <x:c r="AF229" s="74"/>
      <x:c r="AG229" s="74"/>
      <x:c r="AJ229" s="74" t="n">
        <x:f>SUM(V229:Y229)+AG229</x:f>
        <x:v>0</x:v>
      </x:c>
      <x:c r="AK229" s="74" t="n">
        <x:f>MAX(M229-N229,0)+MAX(AJ229-AA229,0)+AE229+AF229</x:f>
        <x:v>0</x:v>
      </x:c>
    </x:row>
    <x:row r="230">
      <x:c r="A230" s="76"/>
      <x:c r="H230" s="77"/>
      <x:c r="I230" s="77"/>
      <x:c r="L230" s="74"/>
      <x:c r="M230" s="74"/>
      <x:c r="N230" s="74"/>
      <x:c r="O230" s="77"/>
      <x:c r="P230" s="77"/>
      <x:c r="Q230" s="77"/>
      <x:c r="R230" s="77"/>
      <x:c r="S230" s="77"/>
      <x:c r="V230" s="74"/>
      <x:c r="W230" s="74"/>
      <x:c r="X230" s="74"/>
      <x:c r="Y230" s="74"/>
      <x:c r="Z230" s="77"/>
      <x:c r="AA230" s="74"/>
      <x:c r="AB230" s="77"/>
      <x:c r="AE230" s="74"/>
      <x:c r="AF230" s="74"/>
      <x:c r="AG230" s="74"/>
      <x:c r="AJ230" s="74" t="n">
        <x:f>SUM(V230:Y230)+AG230</x:f>
        <x:v>0</x:v>
      </x:c>
      <x:c r="AK230" s="74" t="n">
        <x:f>MAX(M230-N230,0)+MAX(AJ230-AA230,0)+AE230+AF230</x:f>
        <x:v>0</x:v>
      </x:c>
    </x:row>
    <x:row r="231">
      <x:c r="A231" s="76"/>
      <x:c r="H231" s="77"/>
      <x:c r="I231" s="77"/>
      <x:c r="L231" s="74"/>
      <x:c r="M231" s="74"/>
      <x:c r="N231" s="74"/>
      <x:c r="O231" s="77"/>
      <x:c r="P231" s="77"/>
      <x:c r="Q231" s="77"/>
      <x:c r="R231" s="77"/>
      <x:c r="S231" s="77"/>
      <x:c r="V231" s="74"/>
      <x:c r="W231" s="74"/>
      <x:c r="X231" s="74"/>
      <x:c r="Y231" s="74"/>
      <x:c r="Z231" s="77"/>
      <x:c r="AA231" s="74"/>
      <x:c r="AB231" s="77"/>
      <x:c r="AE231" s="74"/>
      <x:c r="AF231" s="74"/>
      <x:c r="AG231" s="74"/>
      <x:c r="AJ231" s="74" t="n">
        <x:f>SUM(V231:Y231)+AG231</x:f>
        <x:v>0</x:v>
      </x:c>
      <x:c r="AK231" s="74" t="n">
        <x:f>MAX(M231-N231,0)+MAX(AJ231-AA231,0)+AE231+AF231</x:f>
        <x:v>0</x:v>
      </x:c>
    </x:row>
    <x:row r="232">
      <x:c r="A232" s="76"/>
      <x:c r="H232" s="77"/>
      <x:c r="I232" s="77"/>
      <x:c r="L232" s="74"/>
      <x:c r="M232" s="74"/>
      <x:c r="N232" s="74"/>
      <x:c r="O232" s="77"/>
      <x:c r="P232" s="77"/>
      <x:c r="Q232" s="77"/>
      <x:c r="R232" s="77"/>
      <x:c r="S232" s="77"/>
      <x:c r="V232" s="74"/>
      <x:c r="W232" s="74"/>
      <x:c r="X232" s="74"/>
      <x:c r="Y232" s="74"/>
      <x:c r="Z232" s="77"/>
      <x:c r="AA232" s="74"/>
      <x:c r="AB232" s="77"/>
      <x:c r="AE232" s="74"/>
      <x:c r="AF232" s="74"/>
      <x:c r="AG232" s="74"/>
      <x:c r="AJ232" s="74" t="n">
        <x:f>SUM(V232:Y232)+AG232</x:f>
        <x:v>0</x:v>
      </x:c>
      <x:c r="AK232" s="74" t="n">
        <x:f>MAX(M232-N232,0)+MAX(AJ232-AA232,0)+AE232+AF232</x:f>
        <x:v>0</x:v>
      </x:c>
    </x:row>
    <x:row r="233">
      <x:c r="A233" s="76"/>
      <x:c r="H233" s="77"/>
      <x:c r="I233" s="77"/>
      <x:c r="L233" s="74"/>
      <x:c r="M233" s="74"/>
      <x:c r="N233" s="74"/>
      <x:c r="O233" s="77"/>
      <x:c r="P233" s="77"/>
      <x:c r="Q233" s="77"/>
      <x:c r="R233" s="77"/>
      <x:c r="S233" s="77"/>
      <x:c r="V233" s="74"/>
      <x:c r="W233" s="74"/>
      <x:c r="X233" s="74"/>
      <x:c r="Y233" s="74"/>
      <x:c r="Z233" s="77"/>
      <x:c r="AA233" s="74"/>
      <x:c r="AB233" s="77"/>
      <x:c r="AE233" s="74"/>
      <x:c r="AF233" s="74"/>
      <x:c r="AG233" s="74"/>
      <x:c r="AJ233" s="74" t="n">
        <x:f>SUM(V233:Y233)+AG233</x:f>
        <x:v>0</x:v>
      </x:c>
      <x:c r="AK233" s="74" t="n">
        <x:f>MAX(M233-N233,0)+MAX(AJ233-AA233,0)+AE233+AF233</x:f>
        <x:v>0</x:v>
      </x:c>
    </x:row>
    <x:row r="234">
      <x:c r="A234" s="76"/>
      <x:c r="H234" s="77"/>
      <x:c r="I234" s="77"/>
      <x:c r="L234" s="74"/>
      <x:c r="M234" s="74"/>
      <x:c r="N234" s="74"/>
      <x:c r="O234" s="77"/>
      <x:c r="P234" s="77"/>
      <x:c r="Q234" s="77"/>
      <x:c r="R234" s="77"/>
      <x:c r="S234" s="77"/>
      <x:c r="V234" s="74"/>
      <x:c r="W234" s="74"/>
      <x:c r="X234" s="74"/>
      <x:c r="Y234" s="74"/>
      <x:c r="Z234" s="77"/>
      <x:c r="AA234" s="74"/>
      <x:c r="AB234" s="77"/>
      <x:c r="AE234" s="74"/>
      <x:c r="AF234" s="74"/>
      <x:c r="AG234" s="74"/>
      <x:c r="AJ234" s="74" t="n">
        <x:f>SUM(V234:Y234)+AG234</x:f>
        <x:v>0</x:v>
      </x:c>
      <x:c r="AK234" s="74" t="n">
        <x:f>MAX(M234-N234,0)+MAX(AJ234-AA234,0)+AE234+AF234</x:f>
        <x:v>0</x:v>
      </x:c>
    </x:row>
    <x:row r="235">
      <x:c r="A235" s="76"/>
      <x:c r="H235" s="77"/>
      <x:c r="I235" s="77"/>
      <x:c r="L235" s="74"/>
      <x:c r="M235" s="74"/>
      <x:c r="N235" s="74"/>
      <x:c r="O235" s="77"/>
      <x:c r="P235" s="77"/>
      <x:c r="Q235" s="77"/>
      <x:c r="R235" s="77"/>
      <x:c r="S235" s="77"/>
      <x:c r="V235" s="74"/>
      <x:c r="W235" s="74"/>
      <x:c r="X235" s="74"/>
      <x:c r="Y235" s="74"/>
      <x:c r="Z235" s="77"/>
      <x:c r="AA235" s="74"/>
      <x:c r="AB235" s="77"/>
      <x:c r="AE235" s="74"/>
      <x:c r="AF235" s="74"/>
      <x:c r="AG235" s="74"/>
      <x:c r="AJ235" s="74" t="n">
        <x:f>SUM(V235:Y235)+AG235</x:f>
        <x:v>0</x:v>
      </x:c>
      <x:c r="AK235" s="74" t="n">
        <x:f>MAX(M235-N235,0)+MAX(AJ235-AA235,0)+AE235+AF235</x:f>
        <x:v>0</x:v>
      </x:c>
    </x:row>
    <x:row r="236">
      <x:c r="A236" s="76"/>
      <x:c r="H236" s="77"/>
      <x:c r="I236" s="77"/>
      <x:c r="L236" s="74"/>
      <x:c r="M236" s="74"/>
      <x:c r="N236" s="74"/>
      <x:c r="O236" s="77"/>
      <x:c r="P236" s="77"/>
      <x:c r="Q236" s="77"/>
      <x:c r="R236" s="77"/>
      <x:c r="S236" s="77"/>
      <x:c r="V236" s="74"/>
      <x:c r="W236" s="74"/>
      <x:c r="X236" s="74"/>
      <x:c r="Y236" s="74"/>
      <x:c r="Z236" s="77"/>
      <x:c r="AA236" s="74"/>
      <x:c r="AB236" s="77"/>
      <x:c r="AE236" s="74"/>
      <x:c r="AF236" s="74"/>
      <x:c r="AG236" s="74"/>
      <x:c r="AJ236" s="74" t="n">
        <x:f>SUM(V236:Y236)+AG236</x:f>
        <x:v>0</x:v>
      </x:c>
      <x:c r="AK236" s="74" t="n">
        <x:f>MAX(M236-N236,0)+MAX(AJ236-AA236,0)+AE236+AF236</x:f>
        <x:v>0</x:v>
      </x:c>
    </x:row>
    <x:row r="237">
      <x:c r="A237" s="76"/>
      <x:c r="H237" s="77"/>
      <x:c r="I237" s="77"/>
      <x:c r="L237" s="74"/>
      <x:c r="M237" s="74"/>
      <x:c r="N237" s="74"/>
      <x:c r="O237" s="77"/>
      <x:c r="P237" s="77"/>
      <x:c r="Q237" s="77"/>
      <x:c r="R237" s="77"/>
      <x:c r="S237" s="77"/>
      <x:c r="V237" s="74"/>
      <x:c r="W237" s="74"/>
      <x:c r="X237" s="74"/>
      <x:c r="Y237" s="74"/>
      <x:c r="Z237" s="77"/>
      <x:c r="AA237" s="74"/>
      <x:c r="AB237" s="77"/>
      <x:c r="AE237" s="74"/>
      <x:c r="AF237" s="74"/>
      <x:c r="AG237" s="74"/>
      <x:c r="AJ237" s="74" t="n">
        <x:f>SUM(V237:Y237)+AG237</x:f>
        <x:v>0</x:v>
      </x:c>
      <x:c r="AK237" s="74" t="n">
        <x:f>MAX(M237-N237,0)+MAX(AJ237-AA237,0)+AE237+AF237</x:f>
        <x:v>0</x:v>
      </x:c>
    </x:row>
    <x:row r="238">
      <x:c r="A238" s="76"/>
      <x:c r="H238" s="77"/>
      <x:c r="I238" s="77"/>
      <x:c r="L238" s="74"/>
      <x:c r="M238" s="74"/>
      <x:c r="N238" s="74"/>
      <x:c r="O238" s="77"/>
      <x:c r="P238" s="77"/>
      <x:c r="Q238" s="77"/>
      <x:c r="R238" s="77"/>
      <x:c r="S238" s="77"/>
      <x:c r="V238" s="74"/>
      <x:c r="W238" s="74"/>
      <x:c r="X238" s="74"/>
      <x:c r="Y238" s="74"/>
      <x:c r="Z238" s="77"/>
      <x:c r="AA238" s="74"/>
      <x:c r="AB238" s="77"/>
      <x:c r="AE238" s="74"/>
      <x:c r="AF238" s="74"/>
      <x:c r="AG238" s="74"/>
      <x:c r="AJ238" s="74" t="n">
        <x:f>SUM(V238:Y238)+AG238</x:f>
        <x:v>0</x:v>
      </x:c>
      <x:c r="AK238" s="74" t="n">
        <x:f>MAX(M238-N238,0)+MAX(AJ238-AA238,0)+AE238+AF238</x:f>
        <x:v>0</x:v>
      </x:c>
    </x:row>
    <x:row r="239">
      <x:c r="A239" s="76"/>
      <x:c r="H239" s="77"/>
      <x:c r="I239" s="77"/>
      <x:c r="L239" s="74"/>
      <x:c r="M239" s="74"/>
      <x:c r="N239" s="74"/>
      <x:c r="O239" s="77"/>
      <x:c r="P239" s="77"/>
      <x:c r="Q239" s="77"/>
      <x:c r="R239" s="77"/>
      <x:c r="S239" s="77"/>
      <x:c r="V239" s="74"/>
      <x:c r="W239" s="74"/>
      <x:c r="X239" s="74"/>
      <x:c r="Y239" s="74"/>
      <x:c r="Z239" s="77"/>
      <x:c r="AA239" s="74"/>
      <x:c r="AB239" s="77"/>
      <x:c r="AE239" s="74"/>
      <x:c r="AF239" s="74"/>
      <x:c r="AG239" s="74"/>
      <x:c r="AJ239" s="74" t="n">
        <x:f>SUM(V239:Y239)+AG239</x:f>
        <x:v>0</x:v>
      </x:c>
      <x:c r="AK239" s="74" t="n">
        <x:f>MAX(M239-N239,0)+MAX(AJ239-AA239,0)+AE239+AF239</x:f>
        <x:v>0</x:v>
      </x:c>
    </x:row>
    <x:row r="240">
      <x:c r="A240" s="76"/>
      <x:c r="H240" s="77"/>
      <x:c r="I240" s="77"/>
      <x:c r="L240" s="74"/>
      <x:c r="M240" s="74"/>
      <x:c r="N240" s="74"/>
      <x:c r="O240" s="77"/>
      <x:c r="P240" s="77"/>
      <x:c r="Q240" s="77"/>
      <x:c r="R240" s="77"/>
      <x:c r="S240" s="77"/>
      <x:c r="V240" s="74"/>
      <x:c r="W240" s="74"/>
      <x:c r="X240" s="74"/>
      <x:c r="Y240" s="74"/>
      <x:c r="Z240" s="77"/>
      <x:c r="AA240" s="74"/>
      <x:c r="AB240" s="77"/>
      <x:c r="AE240" s="74"/>
      <x:c r="AF240" s="74"/>
      <x:c r="AG240" s="74"/>
      <x:c r="AJ240" s="74" t="n">
        <x:f>SUM(V240:Y240)+AG240</x:f>
        <x:v>0</x:v>
      </x:c>
      <x:c r="AK240" s="74" t="n">
        <x:f>MAX(M240-N240,0)+MAX(AJ240-AA240,0)+AE240+AF240</x:f>
        <x:v>0</x:v>
      </x:c>
    </x:row>
    <x:row r="241">
      <x:c r="A241" s="76"/>
      <x:c r="H241" s="77"/>
      <x:c r="I241" s="77"/>
      <x:c r="L241" s="74"/>
      <x:c r="M241" s="74"/>
      <x:c r="N241" s="74"/>
      <x:c r="O241" s="77"/>
      <x:c r="P241" s="77"/>
      <x:c r="Q241" s="77"/>
      <x:c r="R241" s="77"/>
      <x:c r="S241" s="77"/>
      <x:c r="V241" s="74"/>
      <x:c r="W241" s="74"/>
      <x:c r="X241" s="74"/>
      <x:c r="Y241" s="74"/>
      <x:c r="Z241" s="77"/>
      <x:c r="AA241" s="74"/>
      <x:c r="AB241" s="77"/>
      <x:c r="AE241" s="74"/>
      <x:c r="AF241" s="74"/>
      <x:c r="AG241" s="74"/>
      <x:c r="AJ241" s="74" t="n">
        <x:f>SUM(V241:Y241)+AG241</x:f>
        <x:v>0</x:v>
      </x:c>
      <x:c r="AK241" s="74" t="n">
        <x:f>MAX(M241-N241,0)+MAX(AJ241-AA241,0)+AE241+AF241</x:f>
        <x:v>0</x:v>
      </x:c>
    </x:row>
    <x:row r="242">
      <x:c r="A242" s="76"/>
      <x:c r="H242" s="77"/>
      <x:c r="I242" s="77"/>
      <x:c r="L242" s="74"/>
      <x:c r="M242" s="74"/>
      <x:c r="N242" s="74"/>
      <x:c r="O242" s="77"/>
      <x:c r="P242" s="77"/>
      <x:c r="Q242" s="77"/>
      <x:c r="R242" s="77"/>
      <x:c r="S242" s="77"/>
      <x:c r="V242" s="74"/>
      <x:c r="W242" s="74"/>
      <x:c r="X242" s="74"/>
      <x:c r="Y242" s="74"/>
      <x:c r="Z242" s="77"/>
      <x:c r="AA242" s="74"/>
      <x:c r="AB242" s="77"/>
      <x:c r="AE242" s="74"/>
      <x:c r="AF242" s="74"/>
      <x:c r="AG242" s="74"/>
      <x:c r="AJ242" s="74" t="n">
        <x:f>SUM(V242:Y242)+AG242</x:f>
        <x:v>0</x:v>
      </x:c>
      <x:c r="AK242" s="74" t="n">
        <x:f>MAX(M242-N242,0)+MAX(AJ242-AA242,0)+AE242+AF242</x:f>
        <x:v>0</x:v>
      </x:c>
    </x:row>
    <x:row r="243">
      <x:c r="A243" s="76"/>
      <x:c r="H243" s="77"/>
      <x:c r="I243" s="77"/>
      <x:c r="L243" s="74"/>
      <x:c r="M243" s="74"/>
      <x:c r="N243" s="74"/>
      <x:c r="O243" s="77"/>
      <x:c r="P243" s="77"/>
      <x:c r="Q243" s="77"/>
      <x:c r="R243" s="77"/>
      <x:c r="S243" s="77"/>
      <x:c r="V243" s="74"/>
      <x:c r="W243" s="74"/>
      <x:c r="X243" s="74"/>
      <x:c r="Y243" s="74"/>
      <x:c r="Z243" s="77"/>
      <x:c r="AA243" s="74"/>
      <x:c r="AB243" s="77"/>
      <x:c r="AE243" s="74"/>
      <x:c r="AF243" s="74"/>
      <x:c r="AG243" s="74"/>
      <x:c r="AJ243" s="74" t="n">
        <x:f>SUM(V243:Y243)+AG243</x:f>
        <x:v>0</x:v>
      </x:c>
      <x:c r="AK243" s="74" t="n">
        <x:f>MAX(M243-N243,0)+MAX(AJ243-AA243,0)+AE243+AF243</x:f>
        <x:v>0</x:v>
      </x:c>
    </x:row>
    <x:row r="244">
      <x:c r="A244" s="76"/>
      <x:c r="H244" s="77"/>
      <x:c r="I244" s="77"/>
      <x:c r="L244" s="74"/>
      <x:c r="M244" s="74"/>
      <x:c r="N244" s="74"/>
      <x:c r="O244" s="77"/>
      <x:c r="P244" s="77"/>
      <x:c r="Q244" s="77"/>
      <x:c r="R244" s="77"/>
      <x:c r="S244" s="77"/>
      <x:c r="V244" s="74"/>
      <x:c r="W244" s="74"/>
      <x:c r="X244" s="74"/>
      <x:c r="Y244" s="74"/>
      <x:c r="Z244" s="77"/>
      <x:c r="AA244" s="74"/>
      <x:c r="AB244" s="77"/>
      <x:c r="AE244" s="74"/>
      <x:c r="AF244" s="74"/>
      <x:c r="AG244" s="74"/>
      <x:c r="AJ244" s="74" t="n">
        <x:f>SUM(V244:Y244)+AG244</x:f>
        <x:v>0</x:v>
      </x:c>
      <x:c r="AK244" s="74" t="n">
        <x:f>MAX(M244-N244,0)+MAX(AJ244-AA244,0)+AE244+AF244</x:f>
        <x:v>0</x:v>
      </x:c>
    </x:row>
    <x:row r="245">
      <x:c r="A245" s="76"/>
      <x:c r="H245" s="77"/>
      <x:c r="I245" s="77"/>
      <x:c r="L245" s="74"/>
      <x:c r="M245" s="74"/>
      <x:c r="N245" s="74"/>
      <x:c r="O245" s="77"/>
      <x:c r="P245" s="77"/>
      <x:c r="Q245" s="77"/>
      <x:c r="R245" s="77"/>
      <x:c r="S245" s="77"/>
      <x:c r="V245" s="74"/>
      <x:c r="W245" s="74"/>
      <x:c r="X245" s="74"/>
      <x:c r="Y245" s="74"/>
      <x:c r="Z245" s="77"/>
      <x:c r="AA245" s="74"/>
      <x:c r="AB245" s="77"/>
      <x:c r="AE245" s="74"/>
      <x:c r="AF245" s="74"/>
      <x:c r="AG245" s="74"/>
      <x:c r="AJ245" s="74" t="n">
        <x:f>SUM(V245:Y245)+AG245</x:f>
        <x:v>0</x:v>
      </x:c>
      <x:c r="AK245" s="74" t="n">
        <x:f>MAX(M245-N245,0)+MAX(AJ245-AA245,0)+AE245+AF245</x:f>
        <x:v>0</x:v>
      </x:c>
    </x:row>
    <x:row r="246">
      <x:c r="A246" s="76"/>
      <x:c r="H246" s="77"/>
      <x:c r="I246" s="77"/>
      <x:c r="L246" s="74"/>
      <x:c r="M246" s="74"/>
      <x:c r="N246" s="74"/>
      <x:c r="O246" s="77"/>
      <x:c r="P246" s="77"/>
      <x:c r="Q246" s="77"/>
      <x:c r="R246" s="77"/>
      <x:c r="S246" s="77"/>
      <x:c r="V246" s="74"/>
      <x:c r="W246" s="74"/>
      <x:c r="X246" s="74"/>
      <x:c r="Y246" s="74"/>
      <x:c r="Z246" s="77"/>
      <x:c r="AA246" s="74"/>
      <x:c r="AB246" s="77"/>
      <x:c r="AE246" s="74"/>
      <x:c r="AF246" s="74"/>
      <x:c r="AG246" s="74"/>
      <x:c r="AJ246" s="74" t="n">
        <x:f>SUM(V246:Y246)+AG246</x:f>
        <x:v>0</x:v>
      </x:c>
      <x:c r="AK246" s="74" t="n">
        <x:f>MAX(M246-N246,0)+MAX(AJ246-AA246,0)+AE246+AF246</x:f>
        <x:v>0</x:v>
      </x:c>
    </x:row>
    <x:row r="247">
      <x:c r="A247" s="76"/>
      <x:c r="H247" s="77"/>
      <x:c r="I247" s="77"/>
      <x:c r="L247" s="74"/>
      <x:c r="M247" s="74"/>
      <x:c r="N247" s="74"/>
      <x:c r="O247" s="77"/>
      <x:c r="P247" s="77"/>
      <x:c r="Q247" s="77"/>
      <x:c r="R247" s="77"/>
      <x:c r="S247" s="77"/>
      <x:c r="V247" s="74"/>
      <x:c r="W247" s="74"/>
      <x:c r="X247" s="74"/>
      <x:c r="Y247" s="74"/>
      <x:c r="Z247" s="77"/>
      <x:c r="AA247" s="74"/>
      <x:c r="AB247" s="77"/>
      <x:c r="AE247" s="74"/>
      <x:c r="AF247" s="74"/>
      <x:c r="AG247" s="74"/>
      <x:c r="AJ247" s="74" t="n">
        <x:f>SUM(V247:Y247)+AG247</x:f>
        <x:v>0</x:v>
      </x:c>
      <x:c r="AK247" s="74" t="n">
        <x:f>MAX(M247-N247,0)+MAX(AJ247-AA247,0)+AE247+AF247</x:f>
        <x:v>0</x:v>
      </x:c>
    </x:row>
    <x:row r="248">
      <x:c r="A248" s="76"/>
      <x:c r="H248" s="77"/>
      <x:c r="I248" s="77"/>
      <x:c r="L248" s="74"/>
      <x:c r="M248" s="74"/>
      <x:c r="N248" s="74"/>
      <x:c r="O248" s="77"/>
      <x:c r="P248" s="77"/>
      <x:c r="Q248" s="77"/>
      <x:c r="R248" s="77"/>
      <x:c r="S248" s="77"/>
      <x:c r="V248" s="74"/>
      <x:c r="W248" s="74"/>
      <x:c r="X248" s="74"/>
      <x:c r="Y248" s="74"/>
      <x:c r="Z248" s="77"/>
      <x:c r="AA248" s="74"/>
      <x:c r="AB248" s="77"/>
      <x:c r="AE248" s="74"/>
      <x:c r="AF248" s="74"/>
      <x:c r="AG248" s="74"/>
      <x:c r="AJ248" s="74" t="n">
        <x:f>SUM(V248:Y248)+AG248</x:f>
        <x:v>0</x:v>
      </x:c>
      <x:c r="AK248" s="74" t="n">
        <x:f>MAX(M248-N248,0)+MAX(AJ248-AA248,0)+AE248+AF248</x:f>
        <x:v>0</x:v>
      </x:c>
    </x:row>
    <x:row r="249">
      <x:c r="A249" s="76"/>
      <x:c r="H249" s="77"/>
      <x:c r="I249" s="77"/>
      <x:c r="L249" s="74"/>
      <x:c r="M249" s="74"/>
      <x:c r="N249" s="74"/>
      <x:c r="O249" s="77"/>
      <x:c r="P249" s="77"/>
      <x:c r="Q249" s="77"/>
      <x:c r="R249" s="77"/>
      <x:c r="S249" s="77"/>
      <x:c r="V249" s="74"/>
      <x:c r="W249" s="74"/>
      <x:c r="X249" s="74"/>
      <x:c r="Y249" s="74"/>
      <x:c r="Z249" s="77"/>
      <x:c r="AA249" s="74"/>
      <x:c r="AB249" s="77"/>
      <x:c r="AE249" s="74"/>
      <x:c r="AF249" s="74"/>
      <x:c r="AG249" s="74"/>
      <x:c r="AJ249" s="74" t="n">
        <x:f>SUM(V249:Y249)+AG249</x:f>
        <x:v>0</x:v>
      </x:c>
      <x:c r="AK249" s="74" t="n">
        <x:f>MAX(M249-N249,0)+MAX(AJ249-AA249,0)+AE249+AF249</x:f>
        <x:v>0</x:v>
      </x:c>
    </x:row>
    <x:row r="250">
      <x:c r="A250" s="76"/>
      <x:c r="H250" s="77"/>
      <x:c r="I250" s="77"/>
      <x:c r="L250" s="74"/>
      <x:c r="M250" s="74"/>
      <x:c r="N250" s="74"/>
      <x:c r="O250" s="77"/>
      <x:c r="P250" s="77"/>
      <x:c r="Q250" s="77"/>
      <x:c r="R250" s="77"/>
      <x:c r="S250" s="77"/>
      <x:c r="V250" s="74"/>
      <x:c r="W250" s="74"/>
      <x:c r="X250" s="74"/>
      <x:c r="Y250" s="74"/>
      <x:c r="Z250" s="77"/>
      <x:c r="AA250" s="74"/>
      <x:c r="AB250" s="77"/>
      <x:c r="AE250" s="74"/>
      <x:c r="AF250" s="74"/>
      <x:c r="AG250" s="74"/>
      <x:c r="AJ250" s="74" t="n">
        <x:f>SUM(V250:Y250)+AG250</x:f>
        <x:v>0</x:v>
      </x:c>
      <x:c r="AK250" s="74" t="n">
        <x:f>MAX(M250-N250,0)+MAX(AJ250-AA250,0)+AE250+AF250</x:f>
        <x:v>0</x:v>
      </x:c>
    </x:row>
    <x:row r="251">
      <x:c r="A251" s="76"/>
      <x:c r="H251" s="77"/>
      <x:c r="I251" s="77"/>
      <x:c r="L251" s="74"/>
      <x:c r="M251" s="74"/>
      <x:c r="N251" s="74"/>
      <x:c r="O251" s="77"/>
      <x:c r="P251" s="77"/>
      <x:c r="Q251" s="77"/>
      <x:c r="R251" s="77"/>
      <x:c r="S251" s="77"/>
      <x:c r="V251" s="74"/>
      <x:c r="W251" s="74"/>
      <x:c r="X251" s="74"/>
      <x:c r="Y251" s="74"/>
      <x:c r="Z251" s="77"/>
      <x:c r="AA251" s="74"/>
      <x:c r="AB251" s="77"/>
      <x:c r="AE251" s="74"/>
      <x:c r="AF251" s="74"/>
      <x:c r="AG251" s="74"/>
      <x:c r="AJ251" s="74" t="n">
        <x:f>SUM(V251:Y251)+AG251</x:f>
        <x:v>0</x:v>
      </x:c>
      <x:c r="AK251" s="74" t="n">
        <x:f>MAX(M251-N251,0)+MAX(AJ251-AA251,0)+AE251+AF251</x:f>
        <x:v>0</x:v>
      </x:c>
    </x:row>
    <x:row r="252">
      <x:c r="A252" s="76"/>
      <x:c r="H252" s="77"/>
      <x:c r="I252" s="77"/>
      <x:c r="L252" s="74"/>
      <x:c r="M252" s="74"/>
      <x:c r="N252" s="74"/>
      <x:c r="O252" s="77"/>
      <x:c r="P252" s="77"/>
      <x:c r="Q252" s="77"/>
      <x:c r="R252" s="77"/>
      <x:c r="S252" s="77"/>
      <x:c r="V252" s="74"/>
      <x:c r="W252" s="74"/>
      <x:c r="X252" s="74"/>
      <x:c r="Y252" s="74"/>
      <x:c r="Z252" s="77"/>
      <x:c r="AA252" s="74"/>
      <x:c r="AB252" s="77"/>
      <x:c r="AE252" s="74"/>
      <x:c r="AF252" s="74"/>
      <x:c r="AG252" s="74"/>
      <x:c r="AJ252" s="74" t="n">
        <x:f>SUM(V252:Y252)+AG252</x:f>
        <x:v>0</x:v>
      </x:c>
      <x:c r="AK252" s="74" t="n">
        <x:f>MAX(M252-N252,0)+MAX(AJ252-AA252,0)+AE252+AF252</x:f>
        <x:v>0</x:v>
      </x:c>
    </x:row>
    <x:row r="253">
      <x:c r="A253" s="76"/>
      <x:c r="H253" s="77"/>
      <x:c r="I253" s="77"/>
      <x:c r="L253" s="74"/>
      <x:c r="M253" s="74"/>
      <x:c r="N253" s="74"/>
      <x:c r="O253" s="77"/>
      <x:c r="P253" s="77"/>
      <x:c r="Q253" s="77"/>
      <x:c r="R253" s="77"/>
      <x:c r="S253" s="77"/>
      <x:c r="V253" s="74"/>
      <x:c r="W253" s="74"/>
      <x:c r="X253" s="74"/>
      <x:c r="Y253" s="74"/>
      <x:c r="Z253" s="77"/>
      <x:c r="AA253" s="74"/>
      <x:c r="AB253" s="77"/>
      <x:c r="AE253" s="74"/>
      <x:c r="AF253" s="74"/>
      <x:c r="AG253" s="74"/>
      <x:c r="AJ253" s="74" t="n">
        <x:f>SUM(V253:Y253)+AG253</x:f>
        <x:v>0</x:v>
      </x:c>
      <x:c r="AK253" s="74" t="n">
        <x:f>MAX(M253-N253,0)+MAX(AJ253-AA253,0)+AE253+AF253</x:f>
        <x:v>0</x:v>
      </x:c>
    </x:row>
    <x:row r="254">
      <x:c r="A254" s="76"/>
      <x:c r="H254" s="77"/>
      <x:c r="I254" s="77"/>
      <x:c r="L254" s="74"/>
      <x:c r="M254" s="74"/>
      <x:c r="N254" s="74"/>
      <x:c r="O254" s="77"/>
      <x:c r="P254" s="77"/>
      <x:c r="Q254" s="77"/>
      <x:c r="R254" s="77"/>
      <x:c r="S254" s="77"/>
      <x:c r="V254" s="74"/>
      <x:c r="W254" s="74"/>
      <x:c r="X254" s="74"/>
      <x:c r="Y254" s="74"/>
      <x:c r="Z254" s="77"/>
      <x:c r="AA254" s="74"/>
      <x:c r="AB254" s="77"/>
      <x:c r="AE254" s="74"/>
      <x:c r="AF254" s="74"/>
      <x:c r="AG254" s="74"/>
      <x:c r="AJ254" s="74" t="n">
        <x:f>SUM(V254:Y254)+AG254</x:f>
        <x:v>0</x:v>
      </x:c>
      <x:c r="AK254" s="74" t="n">
        <x:f>MAX(M254-N254,0)+MAX(AJ254-AA254,0)+AE254+AF254</x:f>
        <x:v>0</x:v>
      </x:c>
    </x:row>
    <x:row r="255">
      <x:c r="A255" s="76"/>
      <x:c r="H255" s="77"/>
      <x:c r="I255" s="77"/>
      <x:c r="L255" s="74"/>
      <x:c r="M255" s="74"/>
      <x:c r="N255" s="74"/>
      <x:c r="O255" s="77"/>
      <x:c r="P255" s="77"/>
      <x:c r="Q255" s="77"/>
      <x:c r="R255" s="77"/>
      <x:c r="S255" s="77"/>
      <x:c r="V255" s="74"/>
      <x:c r="W255" s="74"/>
      <x:c r="X255" s="74"/>
      <x:c r="Y255" s="74"/>
      <x:c r="Z255" s="77"/>
      <x:c r="AA255" s="74"/>
      <x:c r="AB255" s="77"/>
      <x:c r="AE255" s="74"/>
      <x:c r="AF255" s="74"/>
      <x:c r="AG255" s="74"/>
      <x:c r="AJ255" s="74" t="n">
        <x:f>SUM(V255:Y255)+AG255</x:f>
        <x:v>0</x:v>
      </x:c>
      <x:c r="AK255" s="74" t="n">
        <x:f>MAX(M255-N255,0)+MAX(AJ255-AA255,0)+AE255+AF255</x:f>
        <x:v>0</x:v>
      </x:c>
    </x:row>
    <x:row r="256">
      <x:c r="A256" s="76"/>
      <x:c r="H256" s="77"/>
      <x:c r="I256" s="77"/>
      <x:c r="L256" s="74"/>
      <x:c r="M256" s="74"/>
      <x:c r="N256" s="74"/>
      <x:c r="O256" s="77"/>
      <x:c r="P256" s="77"/>
      <x:c r="Q256" s="77"/>
      <x:c r="R256" s="77"/>
      <x:c r="S256" s="77"/>
      <x:c r="V256" s="74"/>
      <x:c r="W256" s="74"/>
      <x:c r="X256" s="74"/>
      <x:c r="Y256" s="74"/>
      <x:c r="Z256" s="77"/>
      <x:c r="AA256" s="74"/>
      <x:c r="AB256" s="77"/>
      <x:c r="AE256" s="74"/>
      <x:c r="AF256" s="74"/>
      <x:c r="AG256" s="74"/>
      <x:c r="AJ256" s="74" t="n">
        <x:f>SUM(V256:Y256)+AG256</x:f>
        <x:v>0</x:v>
      </x:c>
      <x:c r="AK256" s="74" t="n">
        <x:f>MAX(M256-N256,0)+MAX(AJ256-AA256,0)+AE256+AF256</x:f>
        <x:v>0</x:v>
      </x:c>
    </x:row>
    <x:row r="257">
      <x:c r="A257" s="76"/>
      <x:c r="H257" s="77"/>
      <x:c r="I257" s="77"/>
      <x:c r="L257" s="74"/>
      <x:c r="M257" s="74"/>
      <x:c r="N257" s="74"/>
      <x:c r="O257" s="77"/>
      <x:c r="P257" s="77"/>
      <x:c r="Q257" s="77"/>
      <x:c r="R257" s="77"/>
      <x:c r="S257" s="77"/>
      <x:c r="V257" s="74"/>
      <x:c r="W257" s="74"/>
      <x:c r="X257" s="74"/>
      <x:c r="Y257" s="74"/>
      <x:c r="Z257" s="77"/>
      <x:c r="AA257" s="74"/>
      <x:c r="AB257" s="77"/>
      <x:c r="AE257" s="74"/>
      <x:c r="AF257" s="74"/>
      <x:c r="AG257" s="74"/>
      <x:c r="AJ257" s="74" t="n">
        <x:f>SUM(V257:Y257)+AG257</x:f>
        <x:v>0</x:v>
      </x:c>
      <x:c r="AK257" s="74" t="n">
        <x:f>MAX(M257-N257,0)+MAX(AJ257-AA257,0)+AE257+AF257</x:f>
        <x:v>0</x:v>
      </x:c>
    </x:row>
    <x:row r="258">
      <x:c r="A258" s="76"/>
      <x:c r="H258" s="77"/>
      <x:c r="I258" s="77"/>
      <x:c r="L258" s="74"/>
      <x:c r="M258" s="74"/>
      <x:c r="N258" s="74"/>
      <x:c r="O258" s="77"/>
      <x:c r="P258" s="77"/>
      <x:c r="Q258" s="77"/>
      <x:c r="R258" s="77"/>
      <x:c r="S258" s="77"/>
      <x:c r="V258" s="74"/>
      <x:c r="W258" s="74"/>
      <x:c r="X258" s="74"/>
      <x:c r="Y258" s="74"/>
      <x:c r="Z258" s="77"/>
      <x:c r="AA258" s="74"/>
      <x:c r="AB258" s="77"/>
      <x:c r="AE258" s="74"/>
      <x:c r="AF258" s="74"/>
      <x:c r="AG258" s="74"/>
      <x:c r="AJ258" s="74" t="n">
        <x:f>SUM(V258:Y258)+AG258</x:f>
        <x:v>0</x:v>
      </x:c>
      <x:c r="AK258" s="74" t="n">
        <x:f>MAX(M258-N258,0)+MAX(AJ258-AA258,0)+AE258+AF258</x:f>
        <x:v>0</x:v>
      </x:c>
    </x:row>
    <x:row r="259">
      <x:c r="A259" s="76"/>
      <x:c r="H259" s="77"/>
      <x:c r="I259" s="77"/>
      <x:c r="L259" s="74"/>
      <x:c r="M259" s="74"/>
      <x:c r="N259" s="74"/>
      <x:c r="O259" s="77"/>
      <x:c r="P259" s="77"/>
      <x:c r="Q259" s="77"/>
      <x:c r="R259" s="77"/>
      <x:c r="S259" s="77"/>
      <x:c r="V259" s="74"/>
      <x:c r="W259" s="74"/>
      <x:c r="X259" s="74"/>
      <x:c r="Y259" s="74"/>
      <x:c r="Z259" s="77"/>
      <x:c r="AA259" s="74"/>
      <x:c r="AB259" s="77"/>
      <x:c r="AE259" s="74"/>
      <x:c r="AF259" s="74"/>
      <x:c r="AG259" s="74"/>
      <x:c r="AJ259" s="74" t="n">
        <x:f>SUM(V259:Y259)+AG259</x:f>
        <x:v>0</x:v>
      </x:c>
      <x:c r="AK259" s="74" t="n">
        <x:f>MAX(M259-N259,0)+MAX(AJ259-AA259,0)+AE259+AF259</x:f>
        <x:v>0</x:v>
      </x:c>
    </x:row>
    <x:row r="260">
      <x:c r="A260" s="76"/>
      <x:c r="H260" s="77"/>
      <x:c r="I260" s="77"/>
      <x:c r="L260" s="74"/>
      <x:c r="M260" s="74"/>
      <x:c r="N260" s="74"/>
      <x:c r="O260" s="77"/>
      <x:c r="P260" s="77"/>
      <x:c r="Q260" s="77"/>
      <x:c r="R260" s="77"/>
      <x:c r="S260" s="77"/>
      <x:c r="V260" s="74"/>
      <x:c r="W260" s="74"/>
      <x:c r="X260" s="74"/>
      <x:c r="Y260" s="74"/>
      <x:c r="Z260" s="77"/>
      <x:c r="AA260" s="74"/>
      <x:c r="AB260" s="77"/>
      <x:c r="AE260" s="74"/>
      <x:c r="AF260" s="74"/>
      <x:c r="AG260" s="74"/>
      <x:c r="AJ260" s="74" t="n">
        <x:f>SUM(V260:Y260)+AG260</x:f>
        <x:v>0</x:v>
      </x:c>
      <x:c r="AK260" s="74" t="n">
        <x:f>MAX(M260-N260,0)+MAX(AJ260-AA260,0)+AE260+AF260</x:f>
        <x:v>0</x:v>
      </x:c>
    </x:row>
    <x:row r="261">
      <x:c r="A261" s="76"/>
      <x:c r="H261" s="77"/>
      <x:c r="I261" s="77"/>
      <x:c r="L261" s="74"/>
      <x:c r="M261" s="74"/>
      <x:c r="N261" s="74"/>
      <x:c r="O261" s="77"/>
      <x:c r="P261" s="77"/>
      <x:c r="Q261" s="77"/>
      <x:c r="R261" s="77"/>
      <x:c r="S261" s="77"/>
      <x:c r="V261" s="74"/>
      <x:c r="W261" s="74"/>
      <x:c r="X261" s="74"/>
      <x:c r="Y261" s="74"/>
      <x:c r="Z261" s="77"/>
      <x:c r="AA261" s="74"/>
      <x:c r="AB261" s="77"/>
      <x:c r="AE261" s="74"/>
      <x:c r="AF261" s="74"/>
      <x:c r="AG261" s="74"/>
      <x:c r="AJ261" s="74" t="n">
        <x:f>SUM(V261:Y261)+AG261</x:f>
        <x:v>0</x:v>
      </x:c>
      <x:c r="AK261" s="74" t="n">
        <x:f>MAX(M261-N261,0)+MAX(AJ261-AA261,0)+AE261+AF261</x:f>
        <x:v>0</x:v>
      </x:c>
    </x:row>
    <x:row r="262">
      <x:c r="A262" s="76"/>
      <x:c r="H262" s="77"/>
      <x:c r="I262" s="77"/>
      <x:c r="L262" s="74"/>
      <x:c r="M262" s="74"/>
      <x:c r="N262" s="74"/>
      <x:c r="O262" s="77"/>
      <x:c r="P262" s="77"/>
      <x:c r="Q262" s="77"/>
      <x:c r="R262" s="77"/>
      <x:c r="S262" s="77"/>
      <x:c r="V262" s="74"/>
      <x:c r="W262" s="74"/>
      <x:c r="X262" s="74"/>
      <x:c r="Y262" s="74"/>
      <x:c r="Z262" s="77"/>
      <x:c r="AA262" s="74"/>
      <x:c r="AB262" s="77"/>
      <x:c r="AE262" s="74"/>
      <x:c r="AF262" s="74"/>
      <x:c r="AG262" s="74"/>
      <x:c r="AJ262" s="74" t="n">
        <x:f>SUM(V262:Y262)+AG262</x:f>
        <x:v>0</x:v>
      </x:c>
      <x:c r="AK262" s="74" t="n">
        <x:f>MAX(M262-N262,0)+MAX(AJ262-AA262,0)+AE262+AF262</x:f>
        <x:v>0</x:v>
      </x:c>
    </x:row>
    <x:row r="263">
      <x:c r="A263" s="76"/>
      <x:c r="H263" s="77"/>
      <x:c r="I263" s="77"/>
      <x:c r="L263" s="74"/>
      <x:c r="M263" s="74"/>
      <x:c r="N263" s="74"/>
      <x:c r="O263" s="77"/>
      <x:c r="P263" s="77"/>
      <x:c r="Q263" s="77"/>
      <x:c r="R263" s="77"/>
      <x:c r="S263" s="77"/>
      <x:c r="V263" s="74"/>
      <x:c r="W263" s="74"/>
      <x:c r="X263" s="74"/>
      <x:c r="Y263" s="74"/>
      <x:c r="Z263" s="77"/>
      <x:c r="AA263" s="74"/>
      <x:c r="AB263" s="77"/>
      <x:c r="AE263" s="74"/>
      <x:c r="AF263" s="74"/>
      <x:c r="AG263" s="74"/>
      <x:c r="AJ263" s="74" t="n">
        <x:f>SUM(V263:Y263)+AG263</x:f>
        <x:v>0</x:v>
      </x:c>
      <x:c r="AK263" s="74" t="n">
        <x:f>MAX(M263-N263,0)+MAX(AJ263-AA263,0)+AE263+AF263</x:f>
        <x:v>0</x:v>
      </x:c>
    </x:row>
    <x:row r="264">
      <x:c r="A264" s="76"/>
      <x:c r="H264" s="77"/>
      <x:c r="I264" s="77"/>
      <x:c r="L264" s="74"/>
      <x:c r="M264" s="74"/>
      <x:c r="N264" s="74"/>
      <x:c r="O264" s="77"/>
      <x:c r="P264" s="77"/>
      <x:c r="Q264" s="77"/>
      <x:c r="R264" s="77"/>
      <x:c r="S264" s="77"/>
      <x:c r="V264" s="74"/>
      <x:c r="W264" s="74"/>
      <x:c r="X264" s="74"/>
      <x:c r="Y264" s="74"/>
      <x:c r="Z264" s="77"/>
      <x:c r="AA264" s="74"/>
      <x:c r="AB264" s="77"/>
      <x:c r="AE264" s="74"/>
      <x:c r="AF264" s="74"/>
      <x:c r="AG264" s="74"/>
      <x:c r="AJ264" s="74" t="n">
        <x:f>SUM(V264:Y264)+AG264</x:f>
        <x:v>0</x:v>
      </x:c>
      <x:c r="AK264" s="74" t="n">
        <x:f>MAX(M264-N264,0)+MAX(AJ264-AA264,0)+AE264+AF264</x:f>
        <x:v>0</x:v>
      </x:c>
    </x:row>
    <x:row r="265">
      <x:c r="A265" s="76"/>
      <x:c r="H265" s="77"/>
      <x:c r="I265" s="77"/>
      <x:c r="L265" s="74"/>
      <x:c r="M265" s="74"/>
      <x:c r="N265" s="74"/>
      <x:c r="O265" s="77"/>
      <x:c r="P265" s="77"/>
      <x:c r="Q265" s="77"/>
      <x:c r="R265" s="77"/>
      <x:c r="S265" s="77"/>
      <x:c r="V265" s="74"/>
      <x:c r="W265" s="74"/>
      <x:c r="X265" s="74"/>
      <x:c r="Y265" s="74"/>
      <x:c r="Z265" s="77"/>
      <x:c r="AA265" s="74"/>
      <x:c r="AB265" s="77"/>
      <x:c r="AE265" s="74"/>
      <x:c r="AF265" s="74"/>
      <x:c r="AG265" s="74"/>
      <x:c r="AJ265" s="74" t="n">
        <x:f>SUM(V265:Y265)+AG265</x:f>
        <x:v>0</x:v>
      </x:c>
      <x:c r="AK265" s="74" t="n">
        <x:f>MAX(M265-N265,0)+MAX(AJ265-AA265,0)+AE265+AF265</x:f>
        <x:v>0</x:v>
      </x:c>
    </x:row>
    <x:row r="266">
      <x:c r="A266" s="76"/>
      <x:c r="H266" s="77"/>
      <x:c r="I266" s="77"/>
      <x:c r="L266" s="74"/>
      <x:c r="M266" s="74"/>
      <x:c r="N266" s="74"/>
      <x:c r="O266" s="77"/>
      <x:c r="P266" s="77"/>
      <x:c r="Q266" s="77"/>
      <x:c r="R266" s="77"/>
      <x:c r="S266" s="77"/>
      <x:c r="V266" s="74"/>
      <x:c r="W266" s="74"/>
      <x:c r="X266" s="74"/>
      <x:c r="Y266" s="74"/>
      <x:c r="Z266" s="77"/>
      <x:c r="AA266" s="74"/>
      <x:c r="AB266" s="77"/>
      <x:c r="AE266" s="74"/>
      <x:c r="AF266" s="74"/>
      <x:c r="AG266" s="74"/>
      <x:c r="AJ266" s="74" t="n">
        <x:f>SUM(V266:Y266)+AG266</x:f>
        <x:v>0</x:v>
      </x:c>
      <x:c r="AK266" s="74" t="n">
        <x:f>MAX(M266-N266,0)+MAX(AJ266-AA266,0)+AE266+AF266</x:f>
        <x:v>0</x:v>
      </x:c>
    </x:row>
    <x:row r="267">
      <x:c r="A267" s="76"/>
      <x:c r="H267" s="77"/>
      <x:c r="I267" s="77"/>
      <x:c r="L267" s="74"/>
      <x:c r="M267" s="74"/>
      <x:c r="N267" s="74"/>
      <x:c r="O267" s="77"/>
      <x:c r="P267" s="77"/>
      <x:c r="Q267" s="77"/>
      <x:c r="R267" s="77"/>
      <x:c r="S267" s="77"/>
      <x:c r="V267" s="74"/>
      <x:c r="W267" s="74"/>
      <x:c r="X267" s="74"/>
      <x:c r="Y267" s="74"/>
      <x:c r="Z267" s="77"/>
      <x:c r="AA267" s="74"/>
      <x:c r="AB267" s="77"/>
      <x:c r="AE267" s="74"/>
      <x:c r="AF267" s="74"/>
      <x:c r="AG267" s="74"/>
      <x:c r="AJ267" s="74" t="n">
        <x:f>SUM(V267:Y267)+AG267</x:f>
        <x:v>0</x:v>
      </x:c>
      <x:c r="AK267" s="74" t="n">
        <x:f>MAX(M267-N267,0)+MAX(AJ267-AA267,0)+AE267+AF267</x:f>
        <x:v>0</x:v>
      </x:c>
    </x:row>
    <x:row r="268">
      <x:c r="A268" s="76"/>
      <x:c r="H268" s="77"/>
      <x:c r="I268" s="77"/>
      <x:c r="L268" s="74"/>
      <x:c r="M268" s="74"/>
      <x:c r="N268" s="74"/>
      <x:c r="O268" s="77"/>
      <x:c r="P268" s="77"/>
      <x:c r="Q268" s="77"/>
      <x:c r="R268" s="77"/>
      <x:c r="S268" s="77"/>
      <x:c r="V268" s="74"/>
      <x:c r="W268" s="74"/>
      <x:c r="X268" s="74"/>
      <x:c r="Y268" s="74"/>
      <x:c r="Z268" s="77"/>
      <x:c r="AA268" s="74"/>
      <x:c r="AB268" s="77"/>
      <x:c r="AE268" s="74"/>
      <x:c r="AF268" s="74"/>
      <x:c r="AG268" s="74"/>
      <x:c r="AJ268" s="74" t="n">
        <x:f>SUM(V268:Y268)+AG268</x:f>
        <x:v>0</x:v>
      </x:c>
      <x:c r="AK268" s="74" t="n">
        <x:f>MAX(M268-N268,0)+MAX(AJ268-AA268,0)+AE268+AF268</x:f>
        <x:v>0</x:v>
      </x:c>
    </x:row>
    <x:row r="269">
      <x:c r="A269" s="76"/>
      <x:c r="H269" s="77"/>
      <x:c r="I269" s="77"/>
      <x:c r="L269" s="74"/>
      <x:c r="M269" s="74"/>
      <x:c r="N269" s="74"/>
      <x:c r="O269" s="77"/>
      <x:c r="P269" s="77"/>
      <x:c r="Q269" s="77"/>
      <x:c r="R269" s="77"/>
      <x:c r="S269" s="77"/>
      <x:c r="V269" s="74"/>
      <x:c r="W269" s="74"/>
      <x:c r="X269" s="74"/>
      <x:c r="Y269" s="74"/>
      <x:c r="Z269" s="77"/>
      <x:c r="AA269" s="74"/>
      <x:c r="AB269" s="77"/>
      <x:c r="AE269" s="74"/>
      <x:c r="AF269" s="74"/>
      <x:c r="AG269" s="74"/>
      <x:c r="AJ269" s="74" t="n">
        <x:f>SUM(V269:Y269)+AG269</x:f>
        <x:v>0</x:v>
      </x:c>
      <x:c r="AK269" s="74" t="n">
        <x:f>MAX(M269-N269,0)+MAX(AJ269-AA269,0)+AE269+AF269</x:f>
        <x:v>0</x:v>
      </x:c>
    </x:row>
    <x:row r="270">
      <x:c r="A270" s="76"/>
      <x:c r="H270" s="77"/>
      <x:c r="I270" s="77"/>
      <x:c r="L270" s="74"/>
      <x:c r="M270" s="74"/>
      <x:c r="N270" s="74"/>
      <x:c r="O270" s="77"/>
      <x:c r="P270" s="77"/>
      <x:c r="Q270" s="77"/>
      <x:c r="R270" s="77"/>
      <x:c r="S270" s="77"/>
      <x:c r="V270" s="74"/>
      <x:c r="W270" s="74"/>
      <x:c r="X270" s="74"/>
      <x:c r="Y270" s="74"/>
      <x:c r="Z270" s="77"/>
      <x:c r="AA270" s="74"/>
      <x:c r="AB270" s="77"/>
      <x:c r="AE270" s="74"/>
      <x:c r="AF270" s="74"/>
      <x:c r="AG270" s="74"/>
      <x:c r="AJ270" s="74" t="n">
        <x:f>SUM(V270:Y270)+AG270</x:f>
        <x:v>0</x:v>
      </x:c>
      <x:c r="AK270" s="74" t="n">
        <x:f>MAX(M270-N270,0)+MAX(AJ270-AA270,0)+AE270+AF270</x:f>
        <x:v>0</x:v>
      </x:c>
    </x:row>
    <x:row r="271">
      <x:c r="A271" s="76"/>
      <x:c r="H271" s="77"/>
      <x:c r="I271" s="77"/>
      <x:c r="L271" s="74"/>
      <x:c r="M271" s="74"/>
      <x:c r="N271" s="74"/>
      <x:c r="O271" s="77"/>
      <x:c r="P271" s="77"/>
      <x:c r="Q271" s="77"/>
      <x:c r="R271" s="77"/>
      <x:c r="S271" s="77"/>
      <x:c r="V271" s="74"/>
      <x:c r="W271" s="74"/>
      <x:c r="X271" s="74"/>
      <x:c r="Y271" s="74"/>
      <x:c r="Z271" s="77"/>
      <x:c r="AA271" s="74"/>
      <x:c r="AB271" s="77"/>
      <x:c r="AE271" s="74"/>
      <x:c r="AF271" s="74"/>
      <x:c r="AG271" s="74"/>
      <x:c r="AJ271" s="74" t="n">
        <x:f>SUM(V271:Y271)+AG271</x:f>
        <x:v>0</x:v>
      </x:c>
      <x:c r="AK271" s="74" t="n">
        <x:f>MAX(M271-N271,0)+MAX(AJ271-AA271,0)+AE271+AF271</x:f>
        <x:v>0</x:v>
      </x:c>
    </x:row>
    <x:row r="272">
      <x:c r="A272" s="76"/>
      <x:c r="H272" s="77"/>
      <x:c r="I272" s="77"/>
      <x:c r="L272" s="74"/>
      <x:c r="M272" s="74"/>
      <x:c r="N272" s="74"/>
      <x:c r="O272" s="77"/>
      <x:c r="P272" s="77"/>
      <x:c r="Q272" s="77"/>
      <x:c r="R272" s="77"/>
      <x:c r="S272" s="77"/>
      <x:c r="V272" s="74"/>
      <x:c r="W272" s="74"/>
      <x:c r="X272" s="74"/>
      <x:c r="Y272" s="74"/>
      <x:c r="Z272" s="77"/>
      <x:c r="AA272" s="74"/>
      <x:c r="AB272" s="77"/>
      <x:c r="AE272" s="74"/>
      <x:c r="AF272" s="74"/>
      <x:c r="AG272" s="74"/>
      <x:c r="AJ272" s="74" t="n">
        <x:f>SUM(V272:Y272)+AG272</x:f>
        <x:v>0</x:v>
      </x:c>
      <x:c r="AK272" s="74" t="n">
        <x:f>MAX(M272-N272,0)+MAX(AJ272-AA272,0)+AE272+AF272</x:f>
        <x:v>0</x:v>
      </x:c>
    </x:row>
    <x:row r="273">
      <x:c r="A273" s="76"/>
      <x:c r="H273" s="77"/>
      <x:c r="I273" s="77"/>
      <x:c r="L273" s="74"/>
      <x:c r="M273" s="74"/>
      <x:c r="N273" s="74"/>
      <x:c r="O273" s="77"/>
      <x:c r="P273" s="77"/>
      <x:c r="Q273" s="77"/>
      <x:c r="R273" s="77"/>
      <x:c r="S273" s="77"/>
      <x:c r="V273" s="74"/>
      <x:c r="W273" s="74"/>
      <x:c r="X273" s="74"/>
      <x:c r="Y273" s="74"/>
      <x:c r="Z273" s="77"/>
      <x:c r="AA273" s="74"/>
      <x:c r="AB273" s="77"/>
      <x:c r="AE273" s="74"/>
      <x:c r="AF273" s="74"/>
      <x:c r="AG273" s="74"/>
      <x:c r="AJ273" s="74" t="n">
        <x:f>SUM(V273:Y273)+AG273</x:f>
        <x:v>0</x:v>
      </x:c>
      <x:c r="AK273" s="74" t="n">
        <x:f>MAX(M273-N273,0)+MAX(AJ273-AA273,0)+AE273+AF273</x:f>
        <x:v>0</x:v>
      </x:c>
    </x:row>
    <x:row r="274">
      <x:c r="A274" s="76"/>
      <x:c r="H274" s="77"/>
      <x:c r="I274" s="77"/>
      <x:c r="L274" s="74"/>
      <x:c r="M274" s="74"/>
      <x:c r="N274" s="74"/>
      <x:c r="O274" s="77"/>
      <x:c r="P274" s="77"/>
      <x:c r="Q274" s="77"/>
      <x:c r="R274" s="77"/>
      <x:c r="S274" s="77"/>
      <x:c r="V274" s="74"/>
      <x:c r="W274" s="74"/>
      <x:c r="X274" s="74"/>
      <x:c r="Y274" s="74"/>
      <x:c r="Z274" s="77"/>
      <x:c r="AA274" s="74"/>
      <x:c r="AB274" s="77"/>
      <x:c r="AE274" s="74"/>
      <x:c r="AF274" s="74"/>
      <x:c r="AG274" s="74"/>
      <x:c r="AJ274" s="74" t="n">
        <x:f>SUM(V274:Y274)+AG274</x:f>
        <x:v>0</x:v>
      </x:c>
      <x:c r="AK274" s="74" t="n">
        <x:f>MAX(M274-N274,0)+MAX(AJ274-AA274,0)+AE274+AF274</x:f>
        <x:v>0</x:v>
      </x:c>
    </x:row>
    <x:row r="275">
      <x:c r="A275" s="76"/>
      <x:c r="H275" s="77"/>
      <x:c r="I275" s="77"/>
      <x:c r="L275" s="74"/>
      <x:c r="M275" s="74"/>
      <x:c r="N275" s="74"/>
      <x:c r="O275" s="77"/>
      <x:c r="P275" s="77"/>
      <x:c r="Q275" s="77"/>
      <x:c r="R275" s="77"/>
      <x:c r="S275" s="77"/>
      <x:c r="V275" s="74"/>
      <x:c r="W275" s="74"/>
      <x:c r="X275" s="74"/>
      <x:c r="Y275" s="74"/>
      <x:c r="Z275" s="77"/>
      <x:c r="AA275" s="74"/>
      <x:c r="AB275" s="77"/>
      <x:c r="AE275" s="74"/>
      <x:c r="AF275" s="74"/>
      <x:c r="AG275" s="74"/>
      <x:c r="AJ275" s="74" t="n">
        <x:f>SUM(V275:Y275)+AG275</x:f>
        <x:v>0</x:v>
      </x:c>
      <x:c r="AK275" s="74" t="n">
        <x:f>MAX(M275-N275,0)+MAX(AJ275-AA275,0)+AE275+AF275</x:f>
        <x:v>0</x:v>
      </x:c>
    </x:row>
    <x:row r="276">
      <x:c r="A276" s="76"/>
      <x:c r="H276" s="77"/>
      <x:c r="I276" s="77"/>
      <x:c r="L276" s="74"/>
      <x:c r="M276" s="74"/>
      <x:c r="N276" s="74"/>
      <x:c r="O276" s="77"/>
      <x:c r="P276" s="77"/>
      <x:c r="Q276" s="77"/>
      <x:c r="R276" s="77"/>
      <x:c r="S276" s="77"/>
      <x:c r="V276" s="74"/>
      <x:c r="W276" s="74"/>
      <x:c r="X276" s="74"/>
      <x:c r="Y276" s="74"/>
      <x:c r="Z276" s="77"/>
      <x:c r="AA276" s="74"/>
      <x:c r="AB276" s="77"/>
      <x:c r="AE276" s="74"/>
      <x:c r="AF276" s="74"/>
      <x:c r="AG276" s="74"/>
      <x:c r="AJ276" s="74" t="n">
        <x:f>SUM(V276:Y276)+AG276</x:f>
        <x:v>0</x:v>
      </x:c>
      <x:c r="AK276" s="74" t="n">
        <x:f>MAX(M276-N276,0)+MAX(AJ276-AA276,0)+AE276+AF276</x:f>
        <x:v>0</x:v>
      </x:c>
    </x:row>
    <x:row r="277">
      <x:c r="A277" s="76"/>
      <x:c r="H277" s="77"/>
      <x:c r="I277" s="77"/>
      <x:c r="L277" s="74"/>
      <x:c r="M277" s="74"/>
      <x:c r="N277" s="74"/>
      <x:c r="O277" s="77"/>
      <x:c r="P277" s="77"/>
      <x:c r="Q277" s="77"/>
      <x:c r="R277" s="77"/>
      <x:c r="S277" s="77"/>
      <x:c r="V277" s="74"/>
      <x:c r="W277" s="74"/>
      <x:c r="X277" s="74"/>
      <x:c r="Y277" s="74"/>
      <x:c r="Z277" s="77"/>
      <x:c r="AA277" s="74"/>
      <x:c r="AB277" s="77"/>
      <x:c r="AE277" s="74"/>
      <x:c r="AF277" s="74"/>
      <x:c r="AG277" s="74"/>
      <x:c r="AJ277" s="74" t="n">
        <x:f>SUM(V277:Y277)+AG277</x:f>
        <x:v>0</x:v>
      </x:c>
      <x:c r="AK277" s="74" t="n">
        <x:f>MAX(M277-N277,0)+MAX(AJ277-AA277,0)+AE277+AF277</x:f>
        <x:v>0</x:v>
      </x:c>
    </x:row>
    <x:row r="278">
      <x:c r="A278" s="76"/>
      <x:c r="H278" s="77"/>
      <x:c r="I278" s="77"/>
      <x:c r="L278" s="74"/>
      <x:c r="M278" s="74"/>
      <x:c r="N278" s="74"/>
      <x:c r="O278" s="77"/>
      <x:c r="P278" s="77"/>
      <x:c r="Q278" s="77"/>
      <x:c r="R278" s="77"/>
      <x:c r="S278" s="77"/>
      <x:c r="V278" s="74"/>
      <x:c r="W278" s="74"/>
      <x:c r="X278" s="74"/>
      <x:c r="Y278" s="74"/>
      <x:c r="Z278" s="77"/>
      <x:c r="AA278" s="74"/>
      <x:c r="AB278" s="77"/>
      <x:c r="AE278" s="74"/>
      <x:c r="AF278" s="74"/>
      <x:c r="AG278" s="74"/>
      <x:c r="AJ278" s="74" t="n">
        <x:f>SUM(V278:Y278)+AG278</x:f>
        <x:v>0</x:v>
      </x:c>
      <x:c r="AK278" s="74" t="n">
        <x:f>MAX(M278-N278,0)+MAX(AJ278-AA278,0)+AE278+AF278</x:f>
        <x:v>0</x:v>
      </x:c>
    </x:row>
    <x:row r="279">
      <x:c r="A279" s="76"/>
      <x:c r="H279" s="77"/>
      <x:c r="I279" s="77"/>
      <x:c r="L279" s="74"/>
      <x:c r="M279" s="74"/>
      <x:c r="N279" s="74"/>
      <x:c r="O279" s="77"/>
      <x:c r="P279" s="77"/>
      <x:c r="Q279" s="77"/>
      <x:c r="R279" s="77"/>
      <x:c r="S279" s="77"/>
      <x:c r="V279" s="74"/>
      <x:c r="W279" s="74"/>
      <x:c r="X279" s="74"/>
      <x:c r="Y279" s="74"/>
      <x:c r="Z279" s="77"/>
      <x:c r="AA279" s="74"/>
      <x:c r="AB279" s="77"/>
      <x:c r="AE279" s="74"/>
      <x:c r="AF279" s="74"/>
      <x:c r="AG279" s="74"/>
      <x:c r="AJ279" s="74" t="n">
        <x:f>SUM(V279:Y279)+AG279</x:f>
        <x:v>0</x:v>
      </x:c>
      <x:c r="AK279" s="74" t="n">
        <x:f>MAX(M279-N279,0)+MAX(AJ279-AA279,0)+AE279+AF279</x:f>
        <x:v>0</x:v>
      </x:c>
    </x:row>
    <x:row r="280">
      <x:c r="A280" s="76"/>
      <x:c r="H280" s="77"/>
      <x:c r="I280" s="77"/>
      <x:c r="L280" s="74"/>
      <x:c r="M280" s="74"/>
      <x:c r="N280" s="74"/>
      <x:c r="O280" s="77"/>
      <x:c r="P280" s="77"/>
      <x:c r="Q280" s="77"/>
      <x:c r="R280" s="77"/>
      <x:c r="S280" s="77"/>
      <x:c r="V280" s="74"/>
      <x:c r="W280" s="74"/>
      <x:c r="X280" s="74"/>
      <x:c r="Y280" s="74"/>
      <x:c r="Z280" s="77"/>
      <x:c r="AA280" s="74"/>
      <x:c r="AB280" s="77"/>
      <x:c r="AE280" s="74"/>
      <x:c r="AF280" s="74"/>
      <x:c r="AG280" s="74"/>
      <x:c r="AJ280" s="74" t="n">
        <x:f>SUM(V280:Y280)+AG280</x:f>
        <x:v>0</x:v>
      </x:c>
      <x:c r="AK280" s="74" t="n">
        <x:f>MAX(M280-N280,0)+MAX(AJ280-AA280,0)+AE280+AF280</x:f>
        <x:v>0</x:v>
      </x:c>
    </x:row>
    <x:row r="281">
      <x:c r="A281" s="76"/>
      <x:c r="H281" s="77"/>
      <x:c r="I281" s="77"/>
      <x:c r="L281" s="74"/>
      <x:c r="M281" s="74"/>
      <x:c r="N281" s="74"/>
      <x:c r="O281" s="77"/>
      <x:c r="P281" s="77"/>
      <x:c r="Q281" s="77"/>
      <x:c r="R281" s="77"/>
      <x:c r="S281" s="77"/>
      <x:c r="V281" s="74"/>
      <x:c r="W281" s="74"/>
      <x:c r="X281" s="74"/>
      <x:c r="Y281" s="74"/>
      <x:c r="Z281" s="77"/>
      <x:c r="AA281" s="74"/>
      <x:c r="AB281" s="77"/>
      <x:c r="AE281" s="74"/>
      <x:c r="AF281" s="74"/>
      <x:c r="AG281" s="74"/>
      <x:c r="AJ281" s="74" t="n">
        <x:f>SUM(V281:Y281)+AG281</x:f>
        <x:v>0</x:v>
      </x:c>
      <x:c r="AK281" s="74" t="n">
        <x:f>MAX(M281-N281,0)+MAX(AJ281-AA281,0)+AE281+AF281</x:f>
        <x:v>0</x:v>
      </x:c>
    </x:row>
    <x:row r="282">
      <x:c r="A282" s="76"/>
      <x:c r="H282" s="77"/>
      <x:c r="I282" s="77"/>
      <x:c r="L282" s="74"/>
      <x:c r="M282" s="74"/>
      <x:c r="N282" s="74"/>
      <x:c r="O282" s="77"/>
      <x:c r="P282" s="77"/>
      <x:c r="Q282" s="77"/>
      <x:c r="R282" s="77"/>
      <x:c r="S282" s="77"/>
      <x:c r="V282" s="74"/>
      <x:c r="W282" s="74"/>
      <x:c r="X282" s="74"/>
      <x:c r="Y282" s="74"/>
      <x:c r="Z282" s="77"/>
      <x:c r="AA282" s="74"/>
      <x:c r="AB282" s="77"/>
      <x:c r="AE282" s="74"/>
      <x:c r="AF282" s="74"/>
      <x:c r="AG282" s="74"/>
      <x:c r="AJ282" s="74" t="n">
        <x:f>SUM(V282:Y282)+AG282</x:f>
        <x:v>0</x:v>
      </x:c>
      <x:c r="AK282" s="74" t="n">
        <x:f>MAX(M282-N282,0)+MAX(AJ282-AA282,0)+AE282+AF282</x:f>
        <x:v>0</x:v>
      </x:c>
    </x:row>
    <x:row r="283">
      <x:c r="A283" s="76"/>
      <x:c r="H283" s="77"/>
      <x:c r="I283" s="77"/>
      <x:c r="L283" s="74"/>
      <x:c r="M283" s="74"/>
      <x:c r="N283" s="74"/>
      <x:c r="O283" s="77"/>
      <x:c r="P283" s="77"/>
      <x:c r="Q283" s="77"/>
      <x:c r="R283" s="77"/>
      <x:c r="S283" s="77"/>
      <x:c r="V283" s="74"/>
      <x:c r="W283" s="74"/>
      <x:c r="X283" s="74"/>
      <x:c r="Y283" s="74"/>
      <x:c r="Z283" s="77"/>
      <x:c r="AA283" s="74"/>
      <x:c r="AB283" s="77"/>
      <x:c r="AE283" s="74"/>
      <x:c r="AF283" s="74"/>
      <x:c r="AG283" s="74"/>
      <x:c r="AJ283" s="74" t="n">
        <x:f>SUM(V283:Y283)+AG283</x:f>
        <x:v>0</x:v>
      </x:c>
      <x:c r="AK283" s="74" t="n">
        <x:f>MAX(M283-N283,0)+MAX(AJ283-AA283,0)+AE283+AF283</x:f>
        <x:v>0</x:v>
      </x:c>
    </x:row>
    <x:row r="284">
      <x:c r="A284" s="76"/>
      <x:c r="H284" s="77"/>
      <x:c r="I284" s="77"/>
      <x:c r="L284" s="74"/>
      <x:c r="M284" s="74"/>
      <x:c r="N284" s="74"/>
      <x:c r="O284" s="77"/>
      <x:c r="P284" s="77"/>
      <x:c r="Q284" s="77"/>
      <x:c r="R284" s="77"/>
      <x:c r="S284" s="77"/>
      <x:c r="V284" s="74"/>
      <x:c r="W284" s="74"/>
      <x:c r="X284" s="74"/>
      <x:c r="Y284" s="74"/>
      <x:c r="Z284" s="77"/>
      <x:c r="AA284" s="74"/>
      <x:c r="AB284" s="77"/>
      <x:c r="AE284" s="74"/>
      <x:c r="AF284" s="74"/>
      <x:c r="AG284" s="74"/>
      <x:c r="AJ284" s="74" t="n">
        <x:f>SUM(V284:Y284)+AG284</x:f>
        <x:v>0</x:v>
      </x:c>
      <x:c r="AK284" s="74" t="n">
        <x:f>MAX(M284-N284,0)+MAX(AJ284-AA284,0)+AE284+AF284</x:f>
        <x:v>0</x:v>
      </x:c>
    </x:row>
    <x:row r="285">
      <x:c r="A285" s="76"/>
      <x:c r="H285" s="77"/>
      <x:c r="I285" s="77"/>
      <x:c r="L285" s="74"/>
      <x:c r="M285" s="74"/>
      <x:c r="N285" s="74"/>
      <x:c r="O285" s="77"/>
      <x:c r="P285" s="77"/>
      <x:c r="Q285" s="77"/>
      <x:c r="R285" s="77"/>
      <x:c r="S285" s="77"/>
      <x:c r="V285" s="74"/>
      <x:c r="W285" s="74"/>
      <x:c r="X285" s="74"/>
      <x:c r="Y285" s="74"/>
      <x:c r="Z285" s="77"/>
      <x:c r="AA285" s="74"/>
      <x:c r="AB285" s="77"/>
      <x:c r="AE285" s="74"/>
      <x:c r="AF285" s="74"/>
      <x:c r="AG285" s="74"/>
      <x:c r="AJ285" s="74" t="n">
        <x:f>SUM(V285:Y285)+AG285</x:f>
        <x:v>0</x:v>
      </x:c>
      <x:c r="AK285" s="74" t="n">
        <x:f>MAX(M285-N285,0)+MAX(AJ285-AA285,0)+AE285+AF285</x:f>
        <x:v>0</x:v>
      </x:c>
    </x:row>
    <x:row r="286">
      <x:c r="A286" s="76"/>
      <x:c r="H286" s="77"/>
      <x:c r="I286" s="77"/>
      <x:c r="L286" s="74"/>
      <x:c r="M286" s="74"/>
      <x:c r="N286" s="74"/>
      <x:c r="O286" s="77"/>
      <x:c r="P286" s="77"/>
      <x:c r="Q286" s="77"/>
      <x:c r="R286" s="77"/>
      <x:c r="S286" s="77"/>
      <x:c r="V286" s="74"/>
      <x:c r="W286" s="74"/>
      <x:c r="X286" s="74"/>
      <x:c r="Y286" s="74"/>
      <x:c r="Z286" s="77"/>
      <x:c r="AA286" s="74"/>
      <x:c r="AB286" s="77"/>
      <x:c r="AE286" s="74"/>
      <x:c r="AF286" s="74"/>
      <x:c r="AG286" s="74"/>
      <x:c r="AJ286" s="74" t="n">
        <x:f>SUM(V286:Y286)+AG286</x:f>
        <x:v>0</x:v>
      </x:c>
      <x:c r="AK286" s="74" t="n">
        <x:f>MAX(M286-N286,0)+MAX(AJ286-AA286,0)+AE286+AF286</x:f>
        <x:v>0</x:v>
      </x:c>
    </x:row>
    <x:row r="287">
      <x:c r="A287" s="76"/>
      <x:c r="H287" s="77"/>
      <x:c r="I287" s="77"/>
      <x:c r="L287" s="74"/>
      <x:c r="M287" s="74"/>
      <x:c r="N287" s="74"/>
      <x:c r="O287" s="77"/>
      <x:c r="P287" s="77"/>
      <x:c r="Q287" s="77"/>
      <x:c r="R287" s="77"/>
      <x:c r="S287" s="77"/>
      <x:c r="V287" s="74"/>
      <x:c r="W287" s="74"/>
      <x:c r="X287" s="74"/>
      <x:c r="Y287" s="74"/>
      <x:c r="Z287" s="77"/>
      <x:c r="AA287" s="74"/>
      <x:c r="AB287" s="77"/>
      <x:c r="AE287" s="74"/>
      <x:c r="AF287" s="74"/>
      <x:c r="AG287" s="74"/>
      <x:c r="AJ287" s="74" t="n">
        <x:f>SUM(V287:Y287)+AG287</x:f>
        <x:v>0</x:v>
      </x:c>
      <x:c r="AK287" s="74" t="n">
        <x:f>MAX(M287-N287,0)+MAX(AJ287-AA287,0)+AE287+AF287</x:f>
        <x:v>0</x:v>
      </x:c>
    </x:row>
    <x:row r="288">
      <x:c r="A288" s="76"/>
      <x:c r="H288" s="77"/>
      <x:c r="I288" s="77"/>
      <x:c r="L288" s="74"/>
      <x:c r="M288" s="74"/>
      <x:c r="N288" s="74"/>
      <x:c r="O288" s="77"/>
      <x:c r="P288" s="77"/>
      <x:c r="Q288" s="77"/>
      <x:c r="R288" s="77"/>
      <x:c r="S288" s="77"/>
      <x:c r="V288" s="74"/>
      <x:c r="W288" s="74"/>
      <x:c r="X288" s="74"/>
      <x:c r="Y288" s="74"/>
      <x:c r="Z288" s="77"/>
      <x:c r="AA288" s="74"/>
      <x:c r="AB288" s="77"/>
      <x:c r="AE288" s="74"/>
      <x:c r="AF288" s="74"/>
      <x:c r="AG288" s="74"/>
      <x:c r="AJ288" s="74" t="n">
        <x:f>SUM(V288:Y288)+AG288</x:f>
        <x:v>0</x:v>
      </x:c>
      <x:c r="AK288" s="74" t="n">
        <x:f>MAX(M288-N288,0)+MAX(AJ288-AA288,0)+AE288+AF288</x:f>
        <x:v>0</x:v>
      </x:c>
    </x:row>
    <x:row r="289">
      <x:c r="A289" s="76"/>
      <x:c r="H289" s="77"/>
      <x:c r="I289" s="77"/>
      <x:c r="L289" s="74"/>
      <x:c r="M289" s="74"/>
      <x:c r="N289" s="74"/>
      <x:c r="O289" s="77"/>
      <x:c r="P289" s="77"/>
      <x:c r="Q289" s="77"/>
      <x:c r="R289" s="77"/>
      <x:c r="S289" s="77"/>
      <x:c r="V289" s="74"/>
      <x:c r="W289" s="74"/>
      <x:c r="X289" s="74"/>
      <x:c r="Y289" s="74"/>
      <x:c r="Z289" s="77"/>
      <x:c r="AA289" s="74"/>
      <x:c r="AB289" s="77"/>
      <x:c r="AE289" s="74"/>
      <x:c r="AF289" s="74"/>
      <x:c r="AG289" s="74"/>
      <x:c r="AJ289" s="74" t="n">
        <x:f>SUM(V289:Y289)+AG289</x:f>
        <x:v>0</x:v>
      </x:c>
      <x:c r="AK289" s="74" t="n">
        <x:f>MAX(M289-N289,0)+MAX(AJ289-AA289,0)+AE289+AF289</x:f>
        <x:v>0</x:v>
      </x:c>
    </x:row>
    <x:row r="290">
      <x:c r="A290" s="76"/>
      <x:c r="H290" s="77"/>
      <x:c r="I290" s="77"/>
      <x:c r="L290" s="74"/>
      <x:c r="M290" s="74"/>
      <x:c r="N290" s="74"/>
      <x:c r="O290" s="77"/>
      <x:c r="P290" s="77"/>
      <x:c r="Q290" s="77"/>
      <x:c r="R290" s="77"/>
      <x:c r="S290" s="77"/>
      <x:c r="V290" s="74"/>
      <x:c r="W290" s="74"/>
      <x:c r="X290" s="74"/>
      <x:c r="Y290" s="74"/>
      <x:c r="Z290" s="77"/>
      <x:c r="AA290" s="74"/>
      <x:c r="AB290" s="77"/>
      <x:c r="AE290" s="74"/>
      <x:c r="AF290" s="74"/>
      <x:c r="AG290" s="74"/>
      <x:c r="AJ290" s="74" t="n">
        <x:f>SUM(V290:Y290)+AG290</x:f>
        <x:v>0</x:v>
      </x:c>
      <x:c r="AK290" s="74" t="n">
        <x:f>MAX(M290-N290,0)+MAX(AJ290-AA290,0)+AE290+AF290</x:f>
        <x:v>0</x:v>
      </x:c>
    </x:row>
    <x:row r="291">
      <x:c r="A291" s="76"/>
      <x:c r="H291" s="77"/>
      <x:c r="I291" s="77"/>
      <x:c r="L291" s="74"/>
      <x:c r="M291" s="74"/>
      <x:c r="N291" s="74"/>
      <x:c r="O291" s="77"/>
      <x:c r="P291" s="77"/>
      <x:c r="Q291" s="77"/>
      <x:c r="R291" s="77"/>
      <x:c r="S291" s="77"/>
      <x:c r="V291" s="74"/>
      <x:c r="W291" s="74"/>
      <x:c r="X291" s="74"/>
      <x:c r="Y291" s="74"/>
      <x:c r="Z291" s="77"/>
      <x:c r="AA291" s="74"/>
      <x:c r="AB291" s="77"/>
      <x:c r="AE291" s="74"/>
      <x:c r="AF291" s="74"/>
      <x:c r="AG291" s="74"/>
      <x:c r="AJ291" s="74" t="n">
        <x:f>SUM(V291:Y291)+AG291</x:f>
        <x:v>0</x:v>
      </x:c>
      <x:c r="AK291" s="74" t="n">
        <x:f>MAX(M291-N291,0)+MAX(AJ291-AA291,0)+AE291+AF291</x:f>
        <x:v>0</x:v>
      </x:c>
    </x:row>
    <x:row r="292">
      <x:c r="A292" s="76"/>
      <x:c r="H292" s="77"/>
      <x:c r="I292" s="77"/>
      <x:c r="L292" s="74"/>
      <x:c r="M292" s="74"/>
      <x:c r="N292" s="74"/>
      <x:c r="O292" s="77"/>
      <x:c r="P292" s="77"/>
      <x:c r="Q292" s="77"/>
      <x:c r="R292" s="77"/>
      <x:c r="S292" s="77"/>
      <x:c r="V292" s="74"/>
      <x:c r="W292" s="74"/>
      <x:c r="X292" s="74"/>
      <x:c r="Y292" s="74"/>
      <x:c r="Z292" s="77"/>
      <x:c r="AA292" s="74"/>
      <x:c r="AB292" s="77"/>
      <x:c r="AE292" s="74"/>
      <x:c r="AF292" s="74"/>
      <x:c r="AG292" s="74"/>
      <x:c r="AJ292" s="74" t="n">
        <x:f>SUM(V292:Y292)+AG292</x:f>
        <x:v>0</x:v>
      </x:c>
      <x:c r="AK292" s="74" t="n">
        <x:f>MAX(M292-N292,0)+MAX(AJ292-AA292,0)+AE292+AF292</x:f>
        <x:v>0</x:v>
      </x:c>
    </x:row>
    <x:row r="293">
      <x:c r="A293" s="76"/>
      <x:c r="H293" s="77"/>
      <x:c r="I293" s="77"/>
      <x:c r="L293" s="74"/>
      <x:c r="M293" s="74"/>
      <x:c r="N293" s="74"/>
      <x:c r="O293" s="77"/>
      <x:c r="P293" s="77"/>
      <x:c r="Q293" s="77"/>
      <x:c r="R293" s="77"/>
      <x:c r="S293" s="77"/>
      <x:c r="V293" s="74"/>
      <x:c r="W293" s="74"/>
      <x:c r="X293" s="74"/>
      <x:c r="Y293" s="74"/>
      <x:c r="Z293" s="77"/>
      <x:c r="AA293" s="74"/>
      <x:c r="AB293" s="77"/>
      <x:c r="AE293" s="74"/>
      <x:c r="AF293" s="74"/>
      <x:c r="AG293" s="74"/>
      <x:c r="AJ293" s="74" t="n">
        <x:f>SUM(V293:Y293)+AG293</x:f>
        <x:v>0</x:v>
      </x:c>
      <x:c r="AK293" s="74" t="n">
        <x:f>MAX(M293-N293,0)+MAX(AJ293-AA293,0)+AE293+AF293</x:f>
        <x:v>0</x:v>
      </x:c>
    </x:row>
    <x:row r="294">
      <x:c r="A294" s="76"/>
      <x:c r="H294" s="77"/>
      <x:c r="I294" s="77"/>
      <x:c r="L294" s="74"/>
      <x:c r="M294" s="74"/>
      <x:c r="N294" s="74"/>
      <x:c r="O294" s="77"/>
      <x:c r="P294" s="77"/>
      <x:c r="Q294" s="77"/>
      <x:c r="R294" s="77"/>
      <x:c r="S294" s="77"/>
      <x:c r="V294" s="74"/>
      <x:c r="W294" s="74"/>
      <x:c r="X294" s="74"/>
      <x:c r="Y294" s="74"/>
      <x:c r="Z294" s="77"/>
      <x:c r="AA294" s="74"/>
      <x:c r="AB294" s="77"/>
      <x:c r="AE294" s="74"/>
      <x:c r="AF294" s="74"/>
      <x:c r="AG294" s="74"/>
      <x:c r="AJ294" s="74" t="n">
        <x:f>SUM(V294:Y294)+AG294</x:f>
        <x:v>0</x:v>
      </x:c>
      <x:c r="AK294" s="74" t="n">
        <x:f>MAX(M294-N294,0)+MAX(AJ294-AA294,0)+AE294+AF294</x:f>
        <x:v>0</x:v>
      </x:c>
    </x:row>
    <x:row r="295">
      <x:c r="A295" s="76"/>
      <x:c r="H295" s="77"/>
      <x:c r="I295" s="77"/>
      <x:c r="L295" s="74"/>
      <x:c r="M295" s="74"/>
      <x:c r="N295" s="74"/>
      <x:c r="O295" s="77"/>
      <x:c r="P295" s="77"/>
      <x:c r="Q295" s="77"/>
      <x:c r="R295" s="77"/>
      <x:c r="S295" s="77"/>
      <x:c r="V295" s="74"/>
      <x:c r="W295" s="74"/>
      <x:c r="X295" s="74"/>
      <x:c r="Y295" s="74"/>
      <x:c r="Z295" s="77"/>
      <x:c r="AA295" s="74"/>
      <x:c r="AB295" s="77"/>
      <x:c r="AE295" s="74"/>
      <x:c r="AF295" s="74"/>
      <x:c r="AG295" s="74"/>
      <x:c r="AJ295" s="74" t="n">
        <x:f>SUM(V295:Y295)+AG295</x:f>
        <x:v>0</x:v>
      </x:c>
      <x:c r="AK295" s="74" t="n">
        <x:f>MAX(M295-N295,0)+MAX(AJ295-AA295,0)+AE295+AF295</x:f>
        <x:v>0</x:v>
      </x:c>
    </x:row>
    <x:row r="296">
      <x:c r="A296" s="76"/>
      <x:c r="H296" s="77"/>
      <x:c r="I296" s="77"/>
      <x:c r="L296" s="74"/>
      <x:c r="M296" s="74"/>
      <x:c r="N296" s="74"/>
      <x:c r="O296" s="77"/>
      <x:c r="P296" s="77"/>
      <x:c r="Q296" s="77"/>
      <x:c r="R296" s="77"/>
      <x:c r="S296" s="77"/>
      <x:c r="V296" s="74"/>
      <x:c r="W296" s="74"/>
      <x:c r="X296" s="74"/>
      <x:c r="Y296" s="74"/>
      <x:c r="Z296" s="77"/>
      <x:c r="AA296" s="74"/>
      <x:c r="AB296" s="77"/>
      <x:c r="AE296" s="74"/>
      <x:c r="AF296" s="74"/>
      <x:c r="AG296" s="74"/>
      <x:c r="AJ296" s="74" t="n">
        <x:f>SUM(V296:Y296)+AG296</x:f>
        <x:v>0</x:v>
      </x:c>
      <x:c r="AK296" s="74" t="n">
        <x:f>MAX(M296-N296,0)+MAX(AJ296-AA296,0)+AE296+AF296</x:f>
        <x:v>0</x:v>
      </x:c>
    </x:row>
    <x:row r="297">
      <x:c r="A297" s="76"/>
      <x:c r="H297" s="77"/>
      <x:c r="I297" s="77"/>
      <x:c r="L297" s="74"/>
      <x:c r="M297" s="74"/>
      <x:c r="N297" s="74"/>
      <x:c r="O297" s="77"/>
      <x:c r="P297" s="77"/>
      <x:c r="Q297" s="77"/>
      <x:c r="R297" s="77"/>
      <x:c r="S297" s="77"/>
      <x:c r="V297" s="74"/>
      <x:c r="W297" s="74"/>
      <x:c r="X297" s="74"/>
      <x:c r="Y297" s="74"/>
      <x:c r="Z297" s="77"/>
      <x:c r="AA297" s="74"/>
      <x:c r="AB297" s="77"/>
      <x:c r="AE297" s="74"/>
      <x:c r="AF297" s="74"/>
      <x:c r="AG297" s="74"/>
      <x:c r="AJ297" s="74" t="n">
        <x:f>SUM(V297:Y297)+AG297</x:f>
        <x:v>0</x:v>
      </x:c>
      <x:c r="AK297" s="74" t="n">
        <x:f>MAX(M297-N297,0)+MAX(AJ297-AA297,0)+AE297+AF297</x:f>
        <x:v>0</x:v>
      </x:c>
    </x:row>
    <x:row r="298">
      <x:c r="A298" s="76"/>
      <x:c r="H298" s="77"/>
      <x:c r="I298" s="77"/>
      <x:c r="L298" s="74"/>
      <x:c r="M298" s="74"/>
      <x:c r="N298" s="74"/>
      <x:c r="O298" s="77"/>
      <x:c r="P298" s="77"/>
      <x:c r="Q298" s="77"/>
      <x:c r="R298" s="77"/>
      <x:c r="S298" s="77"/>
      <x:c r="V298" s="74"/>
      <x:c r="W298" s="74"/>
      <x:c r="X298" s="74"/>
      <x:c r="Y298" s="74"/>
      <x:c r="Z298" s="77"/>
      <x:c r="AA298" s="74"/>
      <x:c r="AB298" s="77"/>
      <x:c r="AE298" s="74"/>
      <x:c r="AF298" s="74"/>
      <x:c r="AG298" s="74"/>
      <x:c r="AJ298" s="74" t="n">
        <x:f>SUM(V298:Y298)+AG298</x:f>
        <x:v>0</x:v>
      </x:c>
      <x:c r="AK298" s="74" t="n">
        <x:f>MAX(M298-N298,0)+MAX(AJ298-AA298,0)+AE298+AF298</x:f>
        <x:v>0</x:v>
      </x:c>
    </x:row>
    <x:row r="299">
      <x:c r="A299" s="76"/>
      <x:c r="H299" s="77"/>
      <x:c r="I299" s="77"/>
      <x:c r="L299" s="74"/>
      <x:c r="M299" s="74"/>
      <x:c r="N299" s="74"/>
      <x:c r="O299" s="77"/>
      <x:c r="P299" s="77"/>
      <x:c r="Q299" s="77"/>
      <x:c r="R299" s="77"/>
      <x:c r="S299" s="77"/>
      <x:c r="V299" s="74"/>
      <x:c r="W299" s="74"/>
      <x:c r="X299" s="74"/>
      <x:c r="Y299" s="74"/>
      <x:c r="Z299" s="77"/>
      <x:c r="AA299" s="74"/>
      <x:c r="AB299" s="77"/>
      <x:c r="AE299" s="74"/>
      <x:c r="AF299" s="74"/>
      <x:c r="AG299" s="74"/>
      <x:c r="AJ299" s="74" t="n">
        <x:f>SUM(V299:Y299)+AG299</x:f>
        <x:v>0</x:v>
      </x:c>
      <x:c r="AK299" s="74" t="n">
        <x:f>MAX(M299-N299,0)+MAX(AJ299-AA299,0)+AE299+AF299</x:f>
        <x:v>0</x:v>
      </x:c>
    </x:row>
    <x:row r="300">
      <x:c r="A300" s="76"/>
      <x:c r="H300" s="77"/>
      <x:c r="I300" s="77"/>
      <x:c r="L300" s="74"/>
      <x:c r="M300" s="74"/>
      <x:c r="N300" s="74"/>
      <x:c r="O300" s="77"/>
      <x:c r="P300" s="77"/>
      <x:c r="Q300" s="77"/>
      <x:c r="R300" s="77"/>
      <x:c r="S300" s="77"/>
      <x:c r="V300" s="74"/>
      <x:c r="W300" s="74"/>
      <x:c r="X300" s="74"/>
      <x:c r="Y300" s="74"/>
      <x:c r="Z300" s="77"/>
      <x:c r="AA300" s="74"/>
      <x:c r="AB300" s="77"/>
      <x:c r="AE300" s="74"/>
      <x:c r="AF300" s="74"/>
      <x:c r="AG300" s="74"/>
      <x:c r="AJ300" s="74" t="n">
        <x:f>SUM(V300:Y300)+AG300</x:f>
        <x:v>0</x:v>
      </x:c>
      <x:c r="AK300" s="74" t="n">
        <x:f>MAX(M300-N300,0)+MAX(AJ300-AA300,0)+AE300+AF300</x:f>
        <x:v>0</x:v>
      </x:c>
    </x:row>
  </x:sheetData>
  <x:dataValidations count="5">
    <x:dataValidation type="list" sqref="B2:B300">
      <x:formula1>'Lists'!$E$2:$E$19</x:formula1>
    </x:dataValidation>
    <x:dataValidation type="list" sqref="C2:C300">
      <x:formula1>'Lists'!$G$2:$G$5</x:formula1>
    </x:dataValidation>
    <x:dataValidation type="list" sqref="J2:J300">
      <x:formula1>'Lists'!$H$2:$H$4</x:formula1>
    </x:dataValidation>
    <x:dataValidation type="list" sqref="T2:T300">
      <x:formula1>'Lists'!$C$2:$C$7</x:formula1>
    </x:dataValidation>
    <x:dataValidation type="list" sqref="AC2:AC300">
      <x:formula1>'Lists'!$C$2:$C$7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.110000133514404" hidden="0" customWidth="1"/>
    <x:col min="2" max="2" width="13.670000076293945" hidden="0" customWidth="1"/>
    <x:col min="3" max="3" width="11.5600004196167" hidden="0" customWidth="1"/>
    <x:col min="4" max="4" width="11.220000267028809" hidden="0" customWidth="1"/>
    <x:col min="5" max="5" width="13.220000267028809" hidden="0" customWidth="1"/>
    <x:col min="6" max="6" width="11.890000343322754" hidden="0" customWidth="1"/>
    <x:col min="7" max="7" width="11.5600004196167" hidden="0" customWidth="1"/>
    <x:col min="8" max="8" width="14.4399995803833" hidden="0" customWidth="1"/>
    <x:col min="9" max="9" width="5.110000133514404" hidden="0" customWidth="1"/>
  </x:cols>
  <x:sheetData>
    <x:row r="1">
      <x:c r="A1" s="6" t="str">
        <x:v>Date</x:v>
      </x:c>
      <x:c r="B1" s="6" t="str">
        <x:v>Transaction Type</x:v>
      </x:c>
      <x:c r="C1" s="6" t="str">
        <x:v>Business Area</x:v>
      </x:c>
      <x:c r="D1" s="6" t="str">
        <x:v>Expense Type</x:v>
      </x:c>
      <x:c r="E1" s="6" t="str">
        <x:v>Payee / Purpose</x:v>
      </x:c>
      <x:c r="F1" s="6" t="str">
        <x:v>Receipt Status</x:v>
      </x:c>
      <x:c r="G1" s="6" t="str">
        <x:v>Amount (GHS)</x:v>
      </x:c>
      <x:c r="H1" s="6" t="str">
        <x:v>Cash Effect (GHS)</x:v>
      </x:c>
      <x:c r="I1" s="6" t="str">
        <x:v>Notes</x:v>
      </x:c>
    </x:row>
    <x:row r="2">
      <x:c r="A2" s="77"/>
      <x:c r="G2" s="74"/>
      <x:c r="H2" s="74" t="n">
        <x:f>IF(OR(B2="Opening Float",B2="Cash Top-up",B2="Adjustment In"),G2,IF(OR(B2="Expense Paid",B2="Cash Returned",B2="Adjustment Out"),-G2,0))</x:f>
        <x:v>0</x:v>
      </x:c>
    </x:row>
    <x:row r="3">
      <x:c r="A3" s="77"/>
      <x:c r="G3" s="74"/>
      <x:c r="H3" s="74" t="n">
        <x:f>IF(OR(B3="Opening Float",B3="Cash Top-up",B3="Adjustment In"),G3,IF(OR(B3="Expense Paid",B3="Cash Returned",B3="Adjustment Out"),-G3,0))</x:f>
        <x:v>0</x:v>
      </x:c>
    </x:row>
    <x:row r="4">
      <x:c r="A4" s="77"/>
      <x:c r="G4" s="74"/>
      <x:c r="H4" s="74" t="n">
        <x:f>IF(OR(B4="Opening Float",B4="Cash Top-up",B4="Adjustment In"),G4,IF(OR(B4="Expense Paid",B4="Cash Returned",B4="Adjustment Out"),-G4,0))</x:f>
        <x:v>0</x:v>
      </x:c>
    </x:row>
    <x:row r="5">
      <x:c r="A5" s="77"/>
      <x:c r="G5" s="74"/>
      <x:c r="H5" s="74" t="n">
        <x:f>IF(OR(B5="Opening Float",B5="Cash Top-up",B5="Adjustment In"),G5,IF(OR(B5="Expense Paid",B5="Cash Returned",B5="Adjustment Out"),-G5,0))</x:f>
        <x:v>0</x:v>
      </x:c>
    </x:row>
    <x:row r="6">
      <x:c r="A6" s="77"/>
      <x:c r="G6" s="74"/>
      <x:c r="H6" s="74" t="n">
        <x:f>IF(OR(B6="Opening Float",B6="Cash Top-up",B6="Adjustment In"),G6,IF(OR(B6="Expense Paid",B6="Cash Returned",B6="Adjustment Out"),-G6,0))</x:f>
        <x:v>0</x:v>
      </x:c>
    </x:row>
    <x:row r="7">
      <x:c r="A7" s="77"/>
      <x:c r="G7" s="74"/>
      <x:c r="H7" s="74" t="n">
        <x:f>IF(OR(B7="Opening Float",B7="Cash Top-up",B7="Adjustment In"),G7,IF(OR(B7="Expense Paid",B7="Cash Returned",B7="Adjustment Out"),-G7,0))</x:f>
        <x:v>0</x:v>
      </x:c>
    </x:row>
    <x:row r="8">
      <x:c r="A8" s="77"/>
      <x:c r="G8" s="74"/>
      <x:c r="H8" s="74" t="n">
        <x:f>IF(OR(B8="Opening Float",B8="Cash Top-up",B8="Adjustment In"),G8,IF(OR(B8="Expense Paid",B8="Cash Returned",B8="Adjustment Out"),-G8,0))</x:f>
        <x:v>0</x:v>
      </x:c>
    </x:row>
    <x:row r="9">
      <x:c r="A9" s="77"/>
      <x:c r="G9" s="74"/>
      <x:c r="H9" s="74" t="n">
        <x:f>IF(OR(B9="Opening Float",B9="Cash Top-up",B9="Adjustment In"),G9,IF(OR(B9="Expense Paid",B9="Cash Returned",B9="Adjustment Out"),-G9,0))</x:f>
        <x:v>0</x:v>
      </x:c>
    </x:row>
    <x:row r="10">
      <x:c r="A10" s="77"/>
      <x:c r="G10" s="74"/>
      <x:c r="H10" s="74" t="n">
        <x:f>IF(OR(B10="Opening Float",B10="Cash Top-up",B10="Adjustment In"),G10,IF(OR(B10="Expense Paid",B10="Cash Returned",B10="Adjustment Out"),-G10,0))</x:f>
        <x:v>0</x:v>
      </x:c>
    </x:row>
    <x:row r="11">
      <x:c r="A11" s="77"/>
      <x:c r="G11" s="74"/>
      <x:c r="H11" s="74" t="n">
        <x:f>IF(OR(B11="Opening Float",B11="Cash Top-up",B11="Adjustment In"),G11,IF(OR(B11="Expense Paid",B11="Cash Returned",B11="Adjustment Out"),-G11,0))</x:f>
        <x:v>0</x:v>
      </x:c>
    </x:row>
    <x:row r="12">
      <x:c r="A12" s="77"/>
      <x:c r="G12" s="74"/>
      <x:c r="H12" s="74" t="n">
        <x:f>IF(OR(B12="Opening Float",B12="Cash Top-up",B12="Adjustment In"),G12,IF(OR(B12="Expense Paid",B12="Cash Returned",B12="Adjustment Out"),-G12,0))</x:f>
        <x:v>0</x:v>
      </x:c>
    </x:row>
    <x:row r="13">
      <x:c r="A13" s="77"/>
      <x:c r="G13" s="74"/>
      <x:c r="H13" s="74" t="n">
        <x:f>IF(OR(B13="Opening Float",B13="Cash Top-up",B13="Adjustment In"),G13,IF(OR(B13="Expense Paid",B13="Cash Returned",B13="Adjustment Out"),-G13,0))</x:f>
        <x:v>0</x:v>
      </x:c>
    </x:row>
    <x:row r="14">
      <x:c r="A14" s="77"/>
      <x:c r="G14" s="74"/>
      <x:c r="H14" s="74" t="n">
        <x:f>IF(OR(B14="Opening Float",B14="Cash Top-up",B14="Adjustment In"),G14,IF(OR(B14="Expense Paid",B14="Cash Returned",B14="Adjustment Out"),-G14,0))</x:f>
        <x:v>0</x:v>
      </x:c>
    </x:row>
    <x:row r="15">
      <x:c r="A15" s="77"/>
      <x:c r="G15" s="74"/>
      <x:c r="H15" s="74" t="n">
        <x:f>IF(OR(B15="Opening Float",B15="Cash Top-up",B15="Adjustment In"),G15,IF(OR(B15="Expense Paid",B15="Cash Returned",B15="Adjustment Out"),-G15,0))</x:f>
        <x:v>0</x:v>
      </x:c>
    </x:row>
    <x:row r="16">
      <x:c r="A16" s="77"/>
      <x:c r="G16" s="74"/>
      <x:c r="H16" s="74" t="n">
        <x:f>IF(OR(B16="Opening Float",B16="Cash Top-up",B16="Adjustment In"),G16,IF(OR(B16="Expense Paid",B16="Cash Returned",B16="Adjustment Out"),-G16,0))</x:f>
        <x:v>0</x:v>
      </x:c>
    </x:row>
    <x:row r="17">
      <x:c r="A17" s="77"/>
      <x:c r="G17" s="74"/>
      <x:c r="H17" s="74" t="n">
        <x:f>IF(OR(B17="Opening Float",B17="Cash Top-up",B17="Adjustment In"),G17,IF(OR(B17="Expense Paid",B17="Cash Returned",B17="Adjustment Out"),-G17,0))</x:f>
        <x:v>0</x:v>
      </x:c>
    </x:row>
    <x:row r="18">
      <x:c r="A18" s="77"/>
      <x:c r="G18" s="74"/>
      <x:c r="H18" s="74" t="n">
        <x:f>IF(OR(B18="Opening Float",B18="Cash Top-up",B18="Adjustment In"),G18,IF(OR(B18="Expense Paid",B18="Cash Returned",B18="Adjustment Out"),-G18,0))</x:f>
        <x:v>0</x:v>
      </x:c>
    </x:row>
    <x:row r="19">
      <x:c r="A19" s="77"/>
      <x:c r="G19" s="74"/>
      <x:c r="H19" s="74" t="n">
        <x:f>IF(OR(B19="Opening Float",B19="Cash Top-up",B19="Adjustment In"),G19,IF(OR(B19="Expense Paid",B19="Cash Returned",B19="Adjustment Out"),-G19,0))</x:f>
        <x:v>0</x:v>
      </x:c>
    </x:row>
    <x:row r="20">
      <x:c r="A20" s="77"/>
      <x:c r="G20" s="74"/>
      <x:c r="H20" s="74" t="n">
        <x:f>IF(OR(B20="Opening Float",B20="Cash Top-up",B20="Adjustment In"),G20,IF(OR(B20="Expense Paid",B20="Cash Returned",B20="Adjustment Out"),-G20,0))</x:f>
        <x:v>0</x:v>
      </x:c>
    </x:row>
    <x:row r="21">
      <x:c r="A21" s="77"/>
      <x:c r="G21" s="74"/>
      <x:c r="H21" s="74" t="n">
        <x:f>IF(OR(B21="Opening Float",B21="Cash Top-up",B21="Adjustment In"),G21,IF(OR(B21="Expense Paid",B21="Cash Returned",B21="Adjustment Out"),-G21,0))</x:f>
        <x:v>0</x:v>
      </x:c>
    </x:row>
    <x:row r="22">
      <x:c r="A22" s="77"/>
      <x:c r="G22" s="74"/>
      <x:c r="H22" s="74" t="n">
        <x:f>IF(OR(B22="Opening Float",B22="Cash Top-up",B22="Adjustment In"),G22,IF(OR(B22="Expense Paid",B22="Cash Returned",B22="Adjustment Out"),-G22,0))</x:f>
        <x:v>0</x:v>
      </x:c>
    </x:row>
    <x:row r="23">
      <x:c r="A23" s="77"/>
      <x:c r="G23" s="74"/>
      <x:c r="H23" s="74" t="n">
        <x:f>IF(OR(B23="Opening Float",B23="Cash Top-up",B23="Adjustment In"),G23,IF(OR(B23="Expense Paid",B23="Cash Returned",B23="Adjustment Out"),-G23,0))</x:f>
        <x:v>0</x:v>
      </x:c>
    </x:row>
    <x:row r="24">
      <x:c r="A24" s="77"/>
      <x:c r="G24" s="74"/>
      <x:c r="H24" s="74" t="n">
        <x:f>IF(OR(B24="Opening Float",B24="Cash Top-up",B24="Adjustment In"),G24,IF(OR(B24="Expense Paid",B24="Cash Returned",B24="Adjustment Out"),-G24,0))</x:f>
        <x:v>0</x:v>
      </x:c>
    </x:row>
    <x:row r="25">
      <x:c r="A25" s="77"/>
      <x:c r="G25" s="74"/>
      <x:c r="H25" s="74" t="n">
        <x:f>IF(OR(B25="Opening Float",B25="Cash Top-up",B25="Adjustment In"),G25,IF(OR(B25="Expense Paid",B25="Cash Returned",B25="Adjustment Out"),-G25,0))</x:f>
        <x:v>0</x:v>
      </x:c>
    </x:row>
    <x:row r="26">
      <x:c r="A26" s="77"/>
      <x:c r="G26" s="74"/>
      <x:c r="H26" s="74" t="n">
        <x:f>IF(OR(B26="Opening Float",B26="Cash Top-up",B26="Adjustment In"),G26,IF(OR(B26="Expense Paid",B26="Cash Returned",B26="Adjustment Out"),-G26,0))</x:f>
        <x:v>0</x:v>
      </x:c>
    </x:row>
    <x:row r="27">
      <x:c r="A27" s="77"/>
      <x:c r="G27" s="74"/>
      <x:c r="H27" s="74" t="n">
        <x:f>IF(OR(B27="Opening Float",B27="Cash Top-up",B27="Adjustment In"),G27,IF(OR(B27="Expense Paid",B27="Cash Returned",B27="Adjustment Out"),-G27,0))</x:f>
        <x:v>0</x:v>
      </x:c>
    </x:row>
    <x:row r="28">
      <x:c r="A28" s="77"/>
      <x:c r="G28" s="74"/>
      <x:c r="H28" s="74" t="n">
        <x:f>IF(OR(B28="Opening Float",B28="Cash Top-up",B28="Adjustment In"),G28,IF(OR(B28="Expense Paid",B28="Cash Returned",B28="Adjustment Out"),-G28,0))</x:f>
        <x:v>0</x:v>
      </x:c>
    </x:row>
    <x:row r="29">
      <x:c r="A29" s="77"/>
      <x:c r="G29" s="74"/>
      <x:c r="H29" s="74" t="n">
        <x:f>IF(OR(B29="Opening Float",B29="Cash Top-up",B29="Adjustment In"),G29,IF(OR(B29="Expense Paid",B29="Cash Returned",B29="Adjustment Out"),-G29,0))</x:f>
        <x:v>0</x:v>
      </x:c>
    </x:row>
    <x:row r="30">
      <x:c r="A30" s="77"/>
      <x:c r="G30" s="74"/>
      <x:c r="H30" s="74" t="n">
        <x:f>IF(OR(B30="Opening Float",B30="Cash Top-up",B30="Adjustment In"),G30,IF(OR(B30="Expense Paid",B30="Cash Returned",B30="Adjustment Out"),-G30,0))</x:f>
        <x:v>0</x:v>
      </x:c>
    </x:row>
    <x:row r="31">
      <x:c r="A31" s="77"/>
      <x:c r="G31" s="74"/>
      <x:c r="H31" s="74" t="n">
        <x:f>IF(OR(B31="Opening Float",B31="Cash Top-up",B31="Adjustment In"),G31,IF(OR(B31="Expense Paid",B31="Cash Returned",B31="Adjustment Out"),-G31,0))</x:f>
        <x:v>0</x:v>
      </x:c>
    </x:row>
    <x:row r="32">
      <x:c r="A32" s="77"/>
      <x:c r="G32" s="74"/>
      <x:c r="H32" s="74" t="n">
        <x:f>IF(OR(B32="Opening Float",B32="Cash Top-up",B32="Adjustment In"),G32,IF(OR(B32="Expense Paid",B32="Cash Returned",B32="Adjustment Out"),-G32,0))</x:f>
        <x:v>0</x:v>
      </x:c>
    </x:row>
    <x:row r="33">
      <x:c r="A33" s="77"/>
      <x:c r="G33" s="74"/>
      <x:c r="H33" s="74" t="n">
        <x:f>IF(OR(B33="Opening Float",B33="Cash Top-up",B33="Adjustment In"),G33,IF(OR(B33="Expense Paid",B33="Cash Returned",B33="Adjustment Out"),-G33,0))</x:f>
        <x:v>0</x:v>
      </x:c>
    </x:row>
    <x:row r="34">
      <x:c r="A34" s="77"/>
      <x:c r="G34" s="74"/>
      <x:c r="H34" s="74" t="n">
        <x:f>IF(OR(B34="Opening Float",B34="Cash Top-up",B34="Adjustment In"),G34,IF(OR(B34="Expense Paid",B34="Cash Returned",B34="Adjustment Out"),-G34,0))</x:f>
        <x:v>0</x:v>
      </x:c>
    </x:row>
    <x:row r="35">
      <x:c r="A35" s="77"/>
      <x:c r="G35" s="74"/>
      <x:c r="H35" s="74" t="n">
        <x:f>IF(OR(B35="Opening Float",B35="Cash Top-up",B35="Adjustment In"),G35,IF(OR(B35="Expense Paid",B35="Cash Returned",B35="Adjustment Out"),-G35,0))</x:f>
        <x:v>0</x:v>
      </x:c>
    </x:row>
    <x:row r="36">
      <x:c r="A36" s="77"/>
      <x:c r="G36" s="74"/>
      <x:c r="H36" s="74" t="n">
        <x:f>IF(OR(B36="Opening Float",B36="Cash Top-up",B36="Adjustment In"),G36,IF(OR(B36="Expense Paid",B36="Cash Returned",B36="Adjustment Out"),-G36,0))</x:f>
        <x:v>0</x:v>
      </x:c>
    </x:row>
    <x:row r="37">
      <x:c r="A37" s="77"/>
      <x:c r="G37" s="74"/>
      <x:c r="H37" s="74" t="n">
        <x:f>IF(OR(B37="Opening Float",B37="Cash Top-up",B37="Adjustment In"),G37,IF(OR(B37="Expense Paid",B37="Cash Returned",B37="Adjustment Out"),-G37,0))</x:f>
        <x:v>0</x:v>
      </x:c>
    </x:row>
    <x:row r="38">
      <x:c r="A38" s="77"/>
      <x:c r="G38" s="74"/>
      <x:c r="H38" s="74" t="n">
        <x:f>IF(OR(B38="Opening Float",B38="Cash Top-up",B38="Adjustment In"),G38,IF(OR(B38="Expense Paid",B38="Cash Returned",B38="Adjustment Out"),-G38,0))</x:f>
        <x:v>0</x:v>
      </x:c>
    </x:row>
    <x:row r="39">
      <x:c r="A39" s="77"/>
      <x:c r="G39" s="74"/>
      <x:c r="H39" s="74" t="n">
        <x:f>IF(OR(B39="Opening Float",B39="Cash Top-up",B39="Adjustment In"),G39,IF(OR(B39="Expense Paid",B39="Cash Returned",B39="Adjustment Out"),-G39,0))</x:f>
        <x:v>0</x:v>
      </x:c>
    </x:row>
    <x:row r="40">
      <x:c r="A40" s="77"/>
      <x:c r="G40" s="74"/>
      <x:c r="H40" s="74" t="n">
        <x:f>IF(OR(B40="Opening Float",B40="Cash Top-up",B40="Adjustment In"),G40,IF(OR(B40="Expense Paid",B40="Cash Returned",B40="Adjustment Out"),-G40,0))</x:f>
        <x:v>0</x:v>
      </x:c>
    </x:row>
    <x:row r="41">
      <x:c r="A41" s="77"/>
      <x:c r="G41" s="74"/>
      <x:c r="H41" s="74" t="n">
        <x:f>IF(OR(B41="Opening Float",B41="Cash Top-up",B41="Adjustment In"),G41,IF(OR(B41="Expense Paid",B41="Cash Returned",B41="Adjustment Out"),-G41,0))</x:f>
        <x:v>0</x:v>
      </x:c>
    </x:row>
    <x:row r="42">
      <x:c r="A42" s="77"/>
      <x:c r="G42" s="74"/>
      <x:c r="H42" s="74" t="n">
        <x:f>IF(OR(B42="Opening Float",B42="Cash Top-up",B42="Adjustment In"),G42,IF(OR(B42="Expense Paid",B42="Cash Returned",B42="Adjustment Out"),-G42,0))</x:f>
        <x:v>0</x:v>
      </x:c>
    </x:row>
    <x:row r="43">
      <x:c r="A43" s="77"/>
      <x:c r="G43" s="74"/>
      <x:c r="H43" s="74" t="n">
        <x:f>IF(OR(B43="Opening Float",B43="Cash Top-up",B43="Adjustment In"),G43,IF(OR(B43="Expense Paid",B43="Cash Returned",B43="Adjustment Out"),-G43,0))</x:f>
        <x:v>0</x:v>
      </x:c>
    </x:row>
    <x:row r="44">
      <x:c r="A44" s="77"/>
      <x:c r="G44" s="74"/>
      <x:c r="H44" s="74" t="n">
        <x:f>IF(OR(B44="Opening Float",B44="Cash Top-up",B44="Adjustment In"),G44,IF(OR(B44="Expense Paid",B44="Cash Returned",B44="Adjustment Out"),-G44,0))</x:f>
        <x:v>0</x:v>
      </x:c>
    </x:row>
    <x:row r="45">
      <x:c r="A45" s="77"/>
      <x:c r="G45" s="74"/>
      <x:c r="H45" s="74" t="n">
        <x:f>IF(OR(B45="Opening Float",B45="Cash Top-up",B45="Adjustment In"),G45,IF(OR(B45="Expense Paid",B45="Cash Returned",B45="Adjustment Out"),-G45,0))</x:f>
        <x:v>0</x:v>
      </x:c>
    </x:row>
    <x:row r="46">
      <x:c r="A46" s="77"/>
      <x:c r="G46" s="74"/>
      <x:c r="H46" s="74" t="n">
        <x:f>IF(OR(B46="Opening Float",B46="Cash Top-up",B46="Adjustment In"),G46,IF(OR(B46="Expense Paid",B46="Cash Returned",B46="Adjustment Out"),-G46,0))</x:f>
        <x:v>0</x:v>
      </x:c>
    </x:row>
    <x:row r="47">
      <x:c r="A47" s="77"/>
      <x:c r="G47" s="74"/>
      <x:c r="H47" s="74" t="n">
        <x:f>IF(OR(B47="Opening Float",B47="Cash Top-up",B47="Adjustment In"),G47,IF(OR(B47="Expense Paid",B47="Cash Returned",B47="Adjustment Out"),-G47,0))</x:f>
        <x:v>0</x:v>
      </x:c>
    </x:row>
    <x:row r="48">
      <x:c r="A48" s="77"/>
      <x:c r="G48" s="74"/>
      <x:c r="H48" s="74" t="n">
        <x:f>IF(OR(B48="Opening Float",B48="Cash Top-up",B48="Adjustment In"),G48,IF(OR(B48="Expense Paid",B48="Cash Returned",B48="Adjustment Out"),-G48,0))</x:f>
        <x:v>0</x:v>
      </x:c>
    </x:row>
    <x:row r="49">
      <x:c r="A49" s="77"/>
      <x:c r="G49" s="74"/>
      <x:c r="H49" s="74" t="n">
        <x:f>IF(OR(B49="Opening Float",B49="Cash Top-up",B49="Adjustment In"),G49,IF(OR(B49="Expense Paid",B49="Cash Returned",B49="Adjustment Out"),-G49,0))</x:f>
        <x:v>0</x:v>
      </x:c>
    </x:row>
    <x:row r="50">
      <x:c r="A50" s="77"/>
      <x:c r="G50" s="74"/>
      <x:c r="H50" s="74" t="n">
        <x:f>IF(OR(B50="Opening Float",B50="Cash Top-up",B50="Adjustment In"),G50,IF(OR(B50="Expense Paid",B50="Cash Returned",B50="Adjustment Out"),-G50,0))</x:f>
        <x:v>0</x:v>
      </x:c>
    </x:row>
    <x:row r="51">
      <x:c r="A51" s="77"/>
      <x:c r="G51" s="74"/>
      <x:c r="H51" s="74" t="n">
        <x:f>IF(OR(B51="Opening Float",B51="Cash Top-up",B51="Adjustment In"),G51,IF(OR(B51="Expense Paid",B51="Cash Returned",B51="Adjustment Out"),-G51,0))</x:f>
        <x:v>0</x:v>
      </x:c>
    </x:row>
    <x:row r="52">
      <x:c r="A52" s="77"/>
      <x:c r="G52" s="74"/>
      <x:c r="H52" s="74" t="n">
        <x:f>IF(OR(B52="Opening Float",B52="Cash Top-up",B52="Adjustment In"),G52,IF(OR(B52="Expense Paid",B52="Cash Returned",B52="Adjustment Out"),-G52,0))</x:f>
        <x:v>0</x:v>
      </x:c>
    </x:row>
    <x:row r="53">
      <x:c r="A53" s="77"/>
      <x:c r="G53" s="74"/>
      <x:c r="H53" s="74" t="n">
        <x:f>IF(OR(B53="Opening Float",B53="Cash Top-up",B53="Adjustment In"),G53,IF(OR(B53="Expense Paid",B53="Cash Returned",B53="Adjustment Out"),-G53,0))</x:f>
        <x:v>0</x:v>
      </x:c>
    </x:row>
    <x:row r="54">
      <x:c r="A54" s="77"/>
      <x:c r="G54" s="74"/>
      <x:c r="H54" s="74" t="n">
        <x:f>IF(OR(B54="Opening Float",B54="Cash Top-up",B54="Adjustment In"),G54,IF(OR(B54="Expense Paid",B54="Cash Returned",B54="Adjustment Out"),-G54,0))</x:f>
        <x:v>0</x:v>
      </x:c>
    </x:row>
    <x:row r="55">
      <x:c r="A55" s="77"/>
      <x:c r="G55" s="74"/>
      <x:c r="H55" s="74" t="n">
        <x:f>IF(OR(B55="Opening Float",B55="Cash Top-up",B55="Adjustment In"),G55,IF(OR(B55="Expense Paid",B55="Cash Returned",B55="Adjustment Out"),-G55,0))</x:f>
        <x:v>0</x:v>
      </x:c>
    </x:row>
    <x:row r="56">
      <x:c r="A56" s="77"/>
      <x:c r="G56" s="74"/>
      <x:c r="H56" s="74" t="n">
        <x:f>IF(OR(B56="Opening Float",B56="Cash Top-up",B56="Adjustment In"),G56,IF(OR(B56="Expense Paid",B56="Cash Returned",B56="Adjustment Out"),-G56,0))</x:f>
        <x:v>0</x:v>
      </x:c>
    </x:row>
    <x:row r="57">
      <x:c r="A57" s="77"/>
      <x:c r="G57" s="74"/>
      <x:c r="H57" s="74" t="n">
        <x:f>IF(OR(B57="Opening Float",B57="Cash Top-up",B57="Adjustment In"),G57,IF(OR(B57="Expense Paid",B57="Cash Returned",B57="Adjustment Out"),-G57,0))</x:f>
        <x:v>0</x:v>
      </x:c>
    </x:row>
    <x:row r="58">
      <x:c r="A58" s="77"/>
      <x:c r="G58" s="74"/>
      <x:c r="H58" s="74" t="n">
        <x:f>IF(OR(B58="Opening Float",B58="Cash Top-up",B58="Adjustment In"),G58,IF(OR(B58="Expense Paid",B58="Cash Returned",B58="Adjustment Out"),-G58,0))</x:f>
        <x:v>0</x:v>
      </x:c>
    </x:row>
    <x:row r="59">
      <x:c r="A59" s="77"/>
      <x:c r="G59" s="74"/>
      <x:c r="H59" s="74" t="n">
        <x:f>IF(OR(B59="Opening Float",B59="Cash Top-up",B59="Adjustment In"),G59,IF(OR(B59="Expense Paid",B59="Cash Returned",B59="Adjustment Out"),-G59,0))</x:f>
        <x:v>0</x:v>
      </x:c>
    </x:row>
    <x:row r="60">
      <x:c r="A60" s="77"/>
      <x:c r="G60" s="74"/>
      <x:c r="H60" s="74" t="n">
        <x:f>IF(OR(B60="Opening Float",B60="Cash Top-up",B60="Adjustment In"),G60,IF(OR(B60="Expense Paid",B60="Cash Returned",B60="Adjustment Out"),-G60,0))</x:f>
        <x:v>0</x:v>
      </x:c>
    </x:row>
    <x:row r="61">
      <x:c r="A61" s="77"/>
      <x:c r="G61" s="74"/>
      <x:c r="H61" s="74" t="n">
        <x:f>IF(OR(B61="Opening Float",B61="Cash Top-up",B61="Adjustment In"),G61,IF(OR(B61="Expense Paid",B61="Cash Returned",B61="Adjustment Out"),-G61,0))</x:f>
        <x:v>0</x:v>
      </x:c>
    </x:row>
    <x:row r="62">
      <x:c r="A62" s="77"/>
      <x:c r="G62" s="74"/>
      <x:c r="H62" s="74" t="n">
        <x:f>IF(OR(B62="Opening Float",B62="Cash Top-up",B62="Adjustment In"),G62,IF(OR(B62="Expense Paid",B62="Cash Returned",B62="Adjustment Out"),-G62,0))</x:f>
        <x:v>0</x:v>
      </x:c>
    </x:row>
    <x:row r="63">
      <x:c r="A63" s="77"/>
      <x:c r="G63" s="74"/>
      <x:c r="H63" s="74" t="n">
        <x:f>IF(OR(B63="Opening Float",B63="Cash Top-up",B63="Adjustment In"),G63,IF(OR(B63="Expense Paid",B63="Cash Returned",B63="Adjustment Out"),-G63,0))</x:f>
        <x:v>0</x:v>
      </x:c>
    </x:row>
    <x:row r="64">
      <x:c r="A64" s="77"/>
      <x:c r="G64" s="74"/>
      <x:c r="H64" s="74" t="n">
        <x:f>IF(OR(B64="Opening Float",B64="Cash Top-up",B64="Adjustment In"),G64,IF(OR(B64="Expense Paid",B64="Cash Returned",B64="Adjustment Out"),-G64,0))</x:f>
        <x:v>0</x:v>
      </x:c>
    </x:row>
    <x:row r="65">
      <x:c r="A65" s="77"/>
      <x:c r="G65" s="74"/>
      <x:c r="H65" s="74" t="n">
        <x:f>IF(OR(B65="Opening Float",B65="Cash Top-up",B65="Adjustment In"),G65,IF(OR(B65="Expense Paid",B65="Cash Returned",B65="Adjustment Out"),-G65,0))</x:f>
        <x:v>0</x:v>
      </x:c>
    </x:row>
    <x:row r="66">
      <x:c r="A66" s="77"/>
      <x:c r="G66" s="74"/>
      <x:c r="H66" s="74" t="n">
        <x:f>IF(OR(B66="Opening Float",B66="Cash Top-up",B66="Adjustment In"),G66,IF(OR(B66="Expense Paid",B66="Cash Returned",B66="Adjustment Out"),-G66,0))</x:f>
        <x:v>0</x:v>
      </x:c>
    </x:row>
    <x:row r="67">
      <x:c r="A67" s="77"/>
      <x:c r="G67" s="74"/>
      <x:c r="H67" s="74" t="n">
        <x:f>IF(OR(B67="Opening Float",B67="Cash Top-up",B67="Adjustment In"),G67,IF(OR(B67="Expense Paid",B67="Cash Returned",B67="Adjustment Out"),-G67,0))</x:f>
        <x:v>0</x:v>
      </x:c>
    </x:row>
    <x:row r="68">
      <x:c r="A68" s="77"/>
      <x:c r="G68" s="74"/>
      <x:c r="H68" s="74" t="n">
        <x:f>IF(OR(B68="Opening Float",B68="Cash Top-up",B68="Adjustment In"),G68,IF(OR(B68="Expense Paid",B68="Cash Returned",B68="Adjustment Out"),-G68,0))</x:f>
        <x:v>0</x:v>
      </x:c>
    </x:row>
    <x:row r="69">
      <x:c r="A69" s="77"/>
      <x:c r="G69" s="74"/>
      <x:c r="H69" s="74" t="n">
        <x:f>IF(OR(B69="Opening Float",B69="Cash Top-up",B69="Adjustment In"),G69,IF(OR(B69="Expense Paid",B69="Cash Returned",B69="Adjustment Out"),-G69,0))</x:f>
        <x:v>0</x:v>
      </x:c>
    </x:row>
    <x:row r="70">
      <x:c r="A70" s="77"/>
      <x:c r="G70" s="74"/>
      <x:c r="H70" s="74" t="n">
        <x:f>IF(OR(B70="Opening Float",B70="Cash Top-up",B70="Adjustment In"),G70,IF(OR(B70="Expense Paid",B70="Cash Returned",B70="Adjustment Out"),-G70,0))</x:f>
        <x:v>0</x:v>
      </x:c>
    </x:row>
    <x:row r="71">
      <x:c r="A71" s="77"/>
      <x:c r="G71" s="74"/>
      <x:c r="H71" s="74" t="n">
        <x:f>IF(OR(B71="Opening Float",B71="Cash Top-up",B71="Adjustment In"),G71,IF(OR(B71="Expense Paid",B71="Cash Returned",B71="Adjustment Out"),-G71,0))</x:f>
        <x:v>0</x:v>
      </x:c>
    </x:row>
    <x:row r="72">
      <x:c r="A72" s="77"/>
      <x:c r="G72" s="74"/>
      <x:c r="H72" s="74" t="n">
        <x:f>IF(OR(B72="Opening Float",B72="Cash Top-up",B72="Adjustment In"),G72,IF(OR(B72="Expense Paid",B72="Cash Returned",B72="Adjustment Out"),-G72,0))</x:f>
        <x:v>0</x:v>
      </x:c>
    </x:row>
    <x:row r="73">
      <x:c r="A73" s="77"/>
      <x:c r="G73" s="74"/>
      <x:c r="H73" s="74" t="n">
        <x:f>IF(OR(B73="Opening Float",B73="Cash Top-up",B73="Adjustment In"),G73,IF(OR(B73="Expense Paid",B73="Cash Returned",B73="Adjustment Out"),-G73,0))</x:f>
        <x:v>0</x:v>
      </x:c>
    </x:row>
    <x:row r="74">
      <x:c r="A74" s="77"/>
      <x:c r="G74" s="74"/>
      <x:c r="H74" s="74" t="n">
        <x:f>IF(OR(B74="Opening Float",B74="Cash Top-up",B74="Adjustment In"),G74,IF(OR(B74="Expense Paid",B74="Cash Returned",B74="Adjustment Out"),-G74,0))</x:f>
        <x:v>0</x:v>
      </x:c>
    </x:row>
    <x:row r="75">
      <x:c r="A75" s="77"/>
      <x:c r="G75" s="74"/>
      <x:c r="H75" s="74" t="n">
        <x:f>IF(OR(B75="Opening Float",B75="Cash Top-up",B75="Adjustment In"),G75,IF(OR(B75="Expense Paid",B75="Cash Returned",B75="Adjustment Out"),-G75,0))</x:f>
        <x:v>0</x:v>
      </x:c>
    </x:row>
    <x:row r="76">
      <x:c r="A76" s="77"/>
      <x:c r="G76" s="74"/>
      <x:c r="H76" s="74" t="n">
        <x:f>IF(OR(B76="Opening Float",B76="Cash Top-up",B76="Adjustment In"),G76,IF(OR(B76="Expense Paid",B76="Cash Returned",B76="Adjustment Out"),-G76,0))</x:f>
        <x:v>0</x:v>
      </x:c>
    </x:row>
    <x:row r="77">
      <x:c r="A77" s="77"/>
      <x:c r="G77" s="74"/>
      <x:c r="H77" s="74" t="n">
        <x:f>IF(OR(B77="Opening Float",B77="Cash Top-up",B77="Adjustment In"),G77,IF(OR(B77="Expense Paid",B77="Cash Returned",B77="Adjustment Out"),-G77,0))</x:f>
        <x:v>0</x:v>
      </x:c>
    </x:row>
    <x:row r="78">
      <x:c r="A78" s="77"/>
      <x:c r="G78" s="74"/>
      <x:c r="H78" s="74" t="n">
        <x:f>IF(OR(B78="Opening Float",B78="Cash Top-up",B78="Adjustment In"),G78,IF(OR(B78="Expense Paid",B78="Cash Returned",B78="Adjustment Out"),-G78,0))</x:f>
        <x:v>0</x:v>
      </x:c>
    </x:row>
    <x:row r="79">
      <x:c r="A79" s="77"/>
      <x:c r="G79" s="74"/>
      <x:c r="H79" s="74" t="n">
        <x:f>IF(OR(B79="Opening Float",B79="Cash Top-up",B79="Adjustment In"),G79,IF(OR(B79="Expense Paid",B79="Cash Returned",B79="Adjustment Out"),-G79,0))</x:f>
        <x:v>0</x:v>
      </x:c>
    </x:row>
    <x:row r="80">
      <x:c r="A80" s="77"/>
      <x:c r="G80" s="74"/>
      <x:c r="H80" s="74" t="n">
        <x:f>IF(OR(B80="Opening Float",B80="Cash Top-up",B80="Adjustment In"),G80,IF(OR(B80="Expense Paid",B80="Cash Returned",B80="Adjustment Out"),-G80,0))</x:f>
        <x:v>0</x:v>
      </x:c>
    </x:row>
    <x:row r="81">
      <x:c r="A81" s="77"/>
      <x:c r="G81" s="74"/>
      <x:c r="H81" s="74" t="n">
        <x:f>IF(OR(B81="Opening Float",B81="Cash Top-up",B81="Adjustment In"),G81,IF(OR(B81="Expense Paid",B81="Cash Returned",B81="Adjustment Out"),-G81,0))</x:f>
        <x:v>0</x:v>
      </x:c>
    </x:row>
    <x:row r="82">
      <x:c r="A82" s="77"/>
      <x:c r="G82" s="74"/>
      <x:c r="H82" s="74" t="n">
        <x:f>IF(OR(B82="Opening Float",B82="Cash Top-up",B82="Adjustment In"),G82,IF(OR(B82="Expense Paid",B82="Cash Returned",B82="Adjustment Out"),-G82,0))</x:f>
        <x:v>0</x:v>
      </x:c>
    </x:row>
    <x:row r="83">
      <x:c r="A83" s="77"/>
      <x:c r="G83" s="74"/>
      <x:c r="H83" s="74" t="n">
        <x:f>IF(OR(B83="Opening Float",B83="Cash Top-up",B83="Adjustment In"),G83,IF(OR(B83="Expense Paid",B83="Cash Returned",B83="Adjustment Out"),-G83,0))</x:f>
        <x:v>0</x:v>
      </x:c>
    </x:row>
    <x:row r="84">
      <x:c r="A84" s="77"/>
      <x:c r="G84" s="74"/>
      <x:c r="H84" s="74" t="n">
        <x:f>IF(OR(B84="Opening Float",B84="Cash Top-up",B84="Adjustment In"),G84,IF(OR(B84="Expense Paid",B84="Cash Returned",B84="Adjustment Out"),-G84,0))</x:f>
        <x:v>0</x:v>
      </x:c>
    </x:row>
    <x:row r="85">
      <x:c r="A85" s="77"/>
      <x:c r="G85" s="74"/>
      <x:c r="H85" s="74" t="n">
        <x:f>IF(OR(B85="Opening Float",B85="Cash Top-up",B85="Adjustment In"),G85,IF(OR(B85="Expense Paid",B85="Cash Returned",B85="Adjustment Out"),-G85,0))</x:f>
        <x:v>0</x:v>
      </x:c>
    </x:row>
    <x:row r="86">
      <x:c r="A86" s="77"/>
      <x:c r="G86" s="74"/>
      <x:c r="H86" s="74" t="n">
        <x:f>IF(OR(B86="Opening Float",B86="Cash Top-up",B86="Adjustment In"),G86,IF(OR(B86="Expense Paid",B86="Cash Returned",B86="Adjustment Out"),-G86,0))</x:f>
        <x:v>0</x:v>
      </x:c>
    </x:row>
    <x:row r="87">
      <x:c r="A87" s="77"/>
      <x:c r="G87" s="74"/>
      <x:c r="H87" s="74" t="n">
        <x:f>IF(OR(B87="Opening Float",B87="Cash Top-up",B87="Adjustment In"),G87,IF(OR(B87="Expense Paid",B87="Cash Returned",B87="Adjustment Out"),-G87,0))</x:f>
        <x:v>0</x:v>
      </x:c>
    </x:row>
    <x:row r="88">
      <x:c r="A88" s="77"/>
      <x:c r="G88" s="74"/>
      <x:c r="H88" s="74" t="n">
        <x:f>IF(OR(B88="Opening Float",B88="Cash Top-up",B88="Adjustment In"),G88,IF(OR(B88="Expense Paid",B88="Cash Returned",B88="Adjustment Out"),-G88,0))</x:f>
        <x:v>0</x:v>
      </x:c>
    </x:row>
    <x:row r="89">
      <x:c r="A89" s="77"/>
      <x:c r="G89" s="74"/>
      <x:c r="H89" s="74" t="n">
        <x:f>IF(OR(B89="Opening Float",B89="Cash Top-up",B89="Adjustment In"),G89,IF(OR(B89="Expense Paid",B89="Cash Returned",B89="Adjustment Out"),-G89,0))</x:f>
        <x:v>0</x:v>
      </x:c>
    </x:row>
    <x:row r="90">
      <x:c r="A90" s="77"/>
      <x:c r="G90" s="74"/>
      <x:c r="H90" s="74" t="n">
        <x:f>IF(OR(B90="Opening Float",B90="Cash Top-up",B90="Adjustment In"),G90,IF(OR(B90="Expense Paid",B90="Cash Returned",B90="Adjustment Out"),-G90,0))</x:f>
        <x:v>0</x:v>
      </x:c>
    </x:row>
    <x:row r="91">
      <x:c r="A91" s="77"/>
      <x:c r="G91" s="74"/>
      <x:c r="H91" s="74" t="n">
        <x:f>IF(OR(B91="Opening Float",B91="Cash Top-up",B91="Adjustment In"),G91,IF(OR(B91="Expense Paid",B91="Cash Returned",B91="Adjustment Out"),-G91,0))</x:f>
        <x:v>0</x:v>
      </x:c>
    </x:row>
    <x:row r="92">
      <x:c r="A92" s="77"/>
      <x:c r="G92" s="74"/>
      <x:c r="H92" s="74" t="n">
        <x:f>IF(OR(B92="Opening Float",B92="Cash Top-up",B92="Adjustment In"),G92,IF(OR(B92="Expense Paid",B92="Cash Returned",B92="Adjustment Out"),-G92,0))</x:f>
        <x:v>0</x:v>
      </x:c>
    </x:row>
    <x:row r="93">
      <x:c r="A93" s="77"/>
      <x:c r="G93" s="74"/>
      <x:c r="H93" s="74" t="n">
        <x:f>IF(OR(B93="Opening Float",B93="Cash Top-up",B93="Adjustment In"),G93,IF(OR(B93="Expense Paid",B93="Cash Returned",B93="Adjustment Out"),-G93,0))</x:f>
        <x:v>0</x:v>
      </x:c>
    </x:row>
    <x:row r="94">
      <x:c r="A94" s="77"/>
      <x:c r="G94" s="74"/>
      <x:c r="H94" s="74" t="n">
        <x:f>IF(OR(B94="Opening Float",B94="Cash Top-up",B94="Adjustment In"),G94,IF(OR(B94="Expense Paid",B94="Cash Returned",B94="Adjustment Out"),-G94,0))</x:f>
        <x:v>0</x:v>
      </x:c>
    </x:row>
    <x:row r="95">
      <x:c r="A95" s="77"/>
      <x:c r="G95" s="74"/>
      <x:c r="H95" s="74" t="n">
        <x:f>IF(OR(B95="Opening Float",B95="Cash Top-up",B95="Adjustment In"),G95,IF(OR(B95="Expense Paid",B95="Cash Returned",B95="Adjustment Out"),-G95,0))</x:f>
        <x:v>0</x:v>
      </x:c>
    </x:row>
    <x:row r="96">
      <x:c r="A96" s="77"/>
      <x:c r="G96" s="74"/>
      <x:c r="H96" s="74" t="n">
        <x:f>IF(OR(B96="Opening Float",B96="Cash Top-up",B96="Adjustment In"),G96,IF(OR(B96="Expense Paid",B96="Cash Returned",B96="Adjustment Out"),-G96,0))</x:f>
        <x:v>0</x:v>
      </x:c>
    </x:row>
    <x:row r="97">
      <x:c r="A97" s="77"/>
      <x:c r="G97" s="74"/>
      <x:c r="H97" s="74" t="n">
        <x:f>IF(OR(B97="Opening Float",B97="Cash Top-up",B97="Adjustment In"),G97,IF(OR(B97="Expense Paid",B97="Cash Returned",B97="Adjustment Out"),-G97,0))</x:f>
        <x:v>0</x:v>
      </x:c>
    </x:row>
    <x:row r="98">
      <x:c r="A98" s="77"/>
      <x:c r="G98" s="74"/>
      <x:c r="H98" s="74" t="n">
        <x:f>IF(OR(B98="Opening Float",B98="Cash Top-up",B98="Adjustment In"),G98,IF(OR(B98="Expense Paid",B98="Cash Returned",B98="Adjustment Out"),-G98,0))</x:f>
        <x:v>0</x:v>
      </x:c>
    </x:row>
    <x:row r="99">
      <x:c r="A99" s="77"/>
      <x:c r="G99" s="74"/>
      <x:c r="H99" s="74" t="n">
        <x:f>IF(OR(B99="Opening Float",B99="Cash Top-up",B99="Adjustment In"),G99,IF(OR(B99="Expense Paid",B99="Cash Returned",B99="Adjustment Out"),-G99,0))</x:f>
        <x:v>0</x:v>
      </x:c>
    </x:row>
    <x:row r="100">
      <x:c r="A100" s="77"/>
      <x:c r="G100" s="74"/>
      <x:c r="H100" s="74" t="n">
        <x:f>IF(OR(B100="Opening Float",B100="Cash Top-up",B100="Adjustment In"),G100,IF(OR(B100="Expense Paid",B100="Cash Returned",B100="Adjustment Out"),-G100,0))</x:f>
        <x:v>0</x:v>
      </x:c>
    </x:row>
    <x:row r="101">
      <x:c r="A101" s="77"/>
      <x:c r="G101" s="74"/>
      <x:c r="H101" s="74" t="n">
        <x:f>IF(OR(B101="Opening Float",B101="Cash Top-up",B101="Adjustment In"),G101,IF(OR(B101="Expense Paid",B101="Cash Returned",B101="Adjustment Out"),-G101,0))</x:f>
        <x:v>0</x:v>
      </x:c>
    </x:row>
    <x:row r="102">
      <x:c r="A102" s="77"/>
      <x:c r="G102" s="74"/>
      <x:c r="H102" s="74" t="n">
        <x:f>IF(OR(B102="Opening Float",B102="Cash Top-up",B102="Adjustment In"),G102,IF(OR(B102="Expense Paid",B102="Cash Returned",B102="Adjustment Out"),-G102,0))</x:f>
        <x:v>0</x:v>
      </x:c>
    </x:row>
    <x:row r="103">
      <x:c r="A103" s="77"/>
      <x:c r="G103" s="74"/>
      <x:c r="H103" s="74" t="n">
        <x:f>IF(OR(B103="Opening Float",B103="Cash Top-up",B103="Adjustment In"),G103,IF(OR(B103="Expense Paid",B103="Cash Returned",B103="Adjustment Out"),-G103,0))</x:f>
        <x:v>0</x:v>
      </x:c>
    </x:row>
    <x:row r="104">
      <x:c r="A104" s="77"/>
      <x:c r="G104" s="74"/>
      <x:c r="H104" s="74" t="n">
        <x:f>IF(OR(B104="Opening Float",B104="Cash Top-up",B104="Adjustment In"),G104,IF(OR(B104="Expense Paid",B104="Cash Returned",B104="Adjustment Out"),-G104,0))</x:f>
        <x:v>0</x:v>
      </x:c>
    </x:row>
    <x:row r="105">
      <x:c r="A105" s="77"/>
      <x:c r="G105" s="74"/>
      <x:c r="H105" s="74" t="n">
        <x:f>IF(OR(B105="Opening Float",B105="Cash Top-up",B105="Adjustment In"),G105,IF(OR(B105="Expense Paid",B105="Cash Returned",B105="Adjustment Out"),-G105,0))</x:f>
        <x:v>0</x:v>
      </x:c>
    </x:row>
    <x:row r="106">
      <x:c r="A106" s="77"/>
      <x:c r="G106" s="74"/>
      <x:c r="H106" s="74" t="n">
        <x:f>IF(OR(B106="Opening Float",B106="Cash Top-up",B106="Adjustment In"),G106,IF(OR(B106="Expense Paid",B106="Cash Returned",B106="Adjustment Out"),-G106,0))</x:f>
        <x:v>0</x:v>
      </x:c>
    </x:row>
    <x:row r="107">
      <x:c r="A107" s="77"/>
      <x:c r="G107" s="74"/>
      <x:c r="H107" s="74" t="n">
        <x:f>IF(OR(B107="Opening Float",B107="Cash Top-up",B107="Adjustment In"),G107,IF(OR(B107="Expense Paid",B107="Cash Returned",B107="Adjustment Out"),-G107,0))</x:f>
        <x:v>0</x:v>
      </x:c>
    </x:row>
    <x:row r="108">
      <x:c r="A108" s="77"/>
      <x:c r="G108" s="74"/>
      <x:c r="H108" s="74" t="n">
        <x:f>IF(OR(B108="Opening Float",B108="Cash Top-up",B108="Adjustment In"),G108,IF(OR(B108="Expense Paid",B108="Cash Returned",B108="Adjustment Out"),-G108,0))</x:f>
        <x:v>0</x:v>
      </x:c>
    </x:row>
    <x:row r="109">
      <x:c r="A109" s="77"/>
      <x:c r="G109" s="74"/>
      <x:c r="H109" s="74" t="n">
        <x:f>IF(OR(B109="Opening Float",B109="Cash Top-up",B109="Adjustment In"),G109,IF(OR(B109="Expense Paid",B109="Cash Returned",B109="Adjustment Out"),-G109,0))</x:f>
        <x:v>0</x:v>
      </x:c>
    </x:row>
    <x:row r="110">
      <x:c r="A110" s="77"/>
      <x:c r="G110" s="74"/>
      <x:c r="H110" s="74" t="n">
        <x:f>IF(OR(B110="Opening Float",B110="Cash Top-up",B110="Adjustment In"),G110,IF(OR(B110="Expense Paid",B110="Cash Returned",B110="Adjustment Out"),-G110,0))</x:f>
        <x:v>0</x:v>
      </x:c>
    </x:row>
    <x:row r="111">
      <x:c r="A111" s="77"/>
      <x:c r="G111" s="74"/>
      <x:c r="H111" s="74" t="n">
        <x:f>IF(OR(B111="Opening Float",B111="Cash Top-up",B111="Adjustment In"),G111,IF(OR(B111="Expense Paid",B111="Cash Returned",B111="Adjustment Out"),-G111,0))</x:f>
        <x:v>0</x:v>
      </x:c>
    </x:row>
    <x:row r="112">
      <x:c r="A112" s="77"/>
      <x:c r="G112" s="74"/>
      <x:c r="H112" s="74" t="n">
        <x:f>IF(OR(B112="Opening Float",B112="Cash Top-up",B112="Adjustment In"),G112,IF(OR(B112="Expense Paid",B112="Cash Returned",B112="Adjustment Out"),-G112,0))</x:f>
        <x:v>0</x:v>
      </x:c>
    </x:row>
    <x:row r="113">
      <x:c r="A113" s="77"/>
      <x:c r="G113" s="74"/>
      <x:c r="H113" s="74" t="n">
        <x:f>IF(OR(B113="Opening Float",B113="Cash Top-up",B113="Adjustment In"),G113,IF(OR(B113="Expense Paid",B113="Cash Returned",B113="Adjustment Out"),-G113,0))</x:f>
        <x:v>0</x:v>
      </x:c>
    </x:row>
    <x:row r="114">
      <x:c r="A114" s="77"/>
      <x:c r="G114" s="74"/>
      <x:c r="H114" s="74" t="n">
        <x:f>IF(OR(B114="Opening Float",B114="Cash Top-up",B114="Adjustment In"),G114,IF(OR(B114="Expense Paid",B114="Cash Returned",B114="Adjustment Out"),-G114,0))</x:f>
        <x:v>0</x:v>
      </x:c>
    </x:row>
    <x:row r="115">
      <x:c r="A115" s="77"/>
      <x:c r="G115" s="74"/>
      <x:c r="H115" s="74" t="n">
        <x:f>IF(OR(B115="Opening Float",B115="Cash Top-up",B115="Adjustment In"),G115,IF(OR(B115="Expense Paid",B115="Cash Returned",B115="Adjustment Out"),-G115,0))</x:f>
        <x:v>0</x:v>
      </x:c>
    </x:row>
    <x:row r="116">
      <x:c r="A116" s="77"/>
      <x:c r="G116" s="74"/>
      <x:c r="H116" s="74" t="n">
        <x:f>IF(OR(B116="Opening Float",B116="Cash Top-up",B116="Adjustment In"),G116,IF(OR(B116="Expense Paid",B116="Cash Returned",B116="Adjustment Out"),-G116,0))</x:f>
        <x:v>0</x:v>
      </x:c>
    </x:row>
    <x:row r="117">
      <x:c r="A117" s="77"/>
      <x:c r="G117" s="74"/>
      <x:c r="H117" s="74" t="n">
        <x:f>IF(OR(B117="Opening Float",B117="Cash Top-up",B117="Adjustment In"),G117,IF(OR(B117="Expense Paid",B117="Cash Returned",B117="Adjustment Out"),-G117,0))</x:f>
        <x:v>0</x:v>
      </x:c>
    </x:row>
    <x:row r="118">
      <x:c r="A118" s="77"/>
      <x:c r="G118" s="74"/>
      <x:c r="H118" s="74" t="n">
        <x:f>IF(OR(B118="Opening Float",B118="Cash Top-up",B118="Adjustment In"),G118,IF(OR(B118="Expense Paid",B118="Cash Returned",B118="Adjustment Out"),-G118,0))</x:f>
        <x:v>0</x:v>
      </x:c>
    </x:row>
    <x:row r="119">
      <x:c r="A119" s="77"/>
      <x:c r="G119" s="74"/>
      <x:c r="H119" s="74" t="n">
        <x:f>IF(OR(B119="Opening Float",B119="Cash Top-up",B119="Adjustment In"),G119,IF(OR(B119="Expense Paid",B119="Cash Returned",B119="Adjustment Out"),-G119,0))</x:f>
        <x:v>0</x:v>
      </x:c>
    </x:row>
    <x:row r="120">
      <x:c r="A120" s="77"/>
      <x:c r="G120" s="74"/>
      <x:c r="H120" s="74" t="n">
        <x:f>IF(OR(B120="Opening Float",B120="Cash Top-up",B120="Adjustment In"),G120,IF(OR(B120="Expense Paid",B120="Cash Returned",B120="Adjustment Out"),-G120,0))</x:f>
        <x:v>0</x:v>
      </x:c>
    </x:row>
    <x:row r="121">
      <x:c r="A121" s="77"/>
      <x:c r="G121" s="74"/>
      <x:c r="H121" s="74" t="n">
        <x:f>IF(OR(B121="Opening Float",B121="Cash Top-up",B121="Adjustment In"),G121,IF(OR(B121="Expense Paid",B121="Cash Returned",B121="Adjustment Out"),-G121,0))</x:f>
        <x:v>0</x:v>
      </x:c>
    </x:row>
    <x:row r="122">
      <x:c r="A122" s="77"/>
      <x:c r="G122" s="74"/>
      <x:c r="H122" s="74" t="n">
        <x:f>IF(OR(B122="Opening Float",B122="Cash Top-up",B122="Adjustment In"),G122,IF(OR(B122="Expense Paid",B122="Cash Returned",B122="Adjustment Out"),-G122,0))</x:f>
        <x:v>0</x:v>
      </x:c>
    </x:row>
    <x:row r="123">
      <x:c r="A123" s="77"/>
      <x:c r="G123" s="74"/>
      <x:c r="H123" s="74" t="n">
        <x:f>IF(OR(B123="Opening Float",B123="Cash Top-up",B123="Adjustment In"),G123,IF(OR(B123="Expense Paid",B123="Cash Returned",B123="Adjustment Out"),-G123,0))</x:f>
        <x:v>0</x:v>
      </x:c>
    </x:row>
    <x:row r="124">
      <x:c r="A124" s="77"/>
      <x:c r="G124" s="74"/>
      <x:c r="H124" s="74" t="n">
        <x:f>IF(OR(B124="Opening Float",B124="Cash Top-up",B124="Adjustment In"),G124,IF(OR(B124="Expense Paid",B124="Cash Returned",B124="Adjustment Out"),-G124,0))</x:f>
        <x:v>0</x:v>
      </x:c>
    </x:row>
    <x:row r="125">
      <x:c r="A125" s="77"/>
      <x:c r="G125" s="74"/>
      <x:c r="H125" s="74" t="n">
        <x:f>IF(OR(B125="Opening Float",B125="Cash Top-up",B125="Adjustment In"),G125,IF(OR(B125="Expense Paid",B125="Cash Returned",B125="Adjustment Out"),-G125,0))</x:f>
        <x:v>0</x:v>
      </x:c>
    </x:row>
    <x:row r="126">
      <x:c r="A126" s="77"/>
      <x:c r="G126" s="74"/>
      <x:c r="H126" s="74" t="n">
        <x:f>IF(OR(B126="Opening Float",B126="Cash Top-up",B126="Adjustment In"),G126,IF(OR(B126="Expense Paid",B126="Cash Returned",B126="Adjustment Out"),-G126,0))</x:f>
        <x:v>0</x:v>
      </x:c>
    </x:row>
    <x:row r="127">
      <x:c r="A127" s="77"/>
      <x:c r="G127" s="74"/>
      <x:c r="H127" s="74" t="n">
        <x:f>IF(OR(B127="Opening Float",B127="Cash Top-up",B127="Adjustment In"),G127,IF(OR(B127="Expense Paid",B127="Cash Returned",B127="Adjustment Out"),-G127,0))</x:f>
        <x:v>0</x:v>
      </x:c>
    </x:row>
    <x:row r="128">
      <x:c r="A128" s="77"/>
      <x:c r="G128" s="74"/>
      <x:c r="H128" s="74" t="n">
        <x:f>IF(OR(B128="Opening Float",B128="Cash Top-up",B128="Adjustment In"),G128,IF(OR(B128="Expense Paid",B128="Cash Returned",B128="Adjustment Out"),-G128,0))</x:f>
        <x:v>0</x:v>
      </x:c>
    </x:row>
    <x:row r="129">
      <x:c r="A129" s="77"/>
      <x:c r="G129" s="74"/>
      <x:c r="H129" s="74" t="n">
        <x:f>IF(OR(B129="Opening Float",B129="Cash Top-up",B129="Adjustment In"),G129,IF(OR(B129="Expense Paid",B129="Cash Returned",B129="Adjustment Out"),-G129,0))</x:f>
        <x:v>0</x:v>
      </x:c>
    </x:row>
    <x:row r="130">
      <x:c r="A130" s="77"/>
      <x:c r="G130" s="74"/>
      <x:c r="H130" s="74" t="n">
        <x:f>IF(OR(B130="Opening Float",B130="Cash Top-up",B130="Adjustment In"),G130,IF(OR(B130="Expense Paid",B130="Cash Returned",B130="Adjustment Out"),-G130,0))</x:f>
        <x:v>0</x:v>
      </x:c>
    </x:row>
    <x:row r="131">
      <x:c r="A131" s="77"/>
      <x:c r="G131" s="74"/>
      <x:c r="H131" s="74" t="n">
        <x:f>IF(OR(B131="Opening Float",B131="Cash Top-up",B131="Adjustment In"),G131,IF(OR(B131="Expense Paid",B131="Cash Returned",B131="Adjustment Out"),-G131,0))</x:f>
        <x:v>0</x:v>
      </x:c>
    </x:row>
    <x:row r="132">
      <x:c r="A132" s="77"/>
      <x:c r="G132" s="74"/>
      <x:c r="H132" s="74" t="n">
        <x:f>IF(OR(B132="Opening Float",B132="Cash Top-up",B132="Adjustment In"),G132,IF(OR(B132="Expense Paid",B132="Cash Returned",B132="Adjustment Out"),-G132,0))</x:f>
        <x:v>0</x:v>
      </x:c>
    </x:row>
    <x:row r="133">
      <x:c r="A133" s="77"/>
      <x:c r="G133" s="74"/>
      <x:c r="H133" s="74" t="n">
        <x:f>IF(OR(B133="Opening Float",B133="Cash Top-up",B133="Adjustment In"),G133,IF(OR(B133="Expense Paid",B133="Cash Returned",B133="Adjustment Out"),-G133,0))</x:f>
        <x:v>0</x:v>
      </x:c>
    </x:row>
    <x:row r="134">
      <x:c r="A134" s="77"/>
      <x:c r="G134" s="74"/>
      <x:c r="H134" s="74" t="n">
        <x:f>IF(OR(B134="Opening Float",B134="Cash Top-up",B134="Adjustment In"),G134,IF(OR(B134="Expense Paid",B134="Cash Returned",B134="Adjustment Out"),-G134,0))</x:f>
        <x:v>0</x:v>
      </x:c>
    </x:row>
    <x:row r="135">
      <x:c r="A135" s="77"/>
      <x:c r="G135" s="74"/>
      <x:c r="H135" s="74" t="n">
        <x:f>IF(OR(B135="Opening Float",B135="Cash Top-up",B135="Adjustment In"),G135,IF(OR(B135="Expense Paid",B135="Cash Returned",B135="Adjustment Out"),-G135,0))</x:f>
        <x:v>0</x:v>
      </x:c>
    </x:row>
    <x:row r="136">
      <x:c r="A136" s="77"/>
      <x:c r="G136" s="74"/>
      <x:c r="H136" s="74" t="n">
        <x:f>IF(OR(B136="Opening Float",B136="Cash Top-up",B136="Adjustment In"),G136,IF(OR(B136="Expense Paid",B136="Cash Returned",B136="Adjustment Out"),-G136,0))</x:f>
        <x:v>0</x:v>
      </x:c>
    </x:row>
    <x:row r="137">
      <x:c r="A137" s="77"/>
      <x:c r="G137" s="74"/>
      <x:c r="H137" s="74" t="n">
        <x:f>IF(OR(B137="Opening Float",B137="Cash Top-up",B137="Adjustment In"),G137,IF(OR(B137="Expense Paid",B137="Cash Returned",B137="Adjustment Out"),-G137,0))</x:f>
        <x:v>0</x:v>
      </x:c>
    </x:row>
    <x:row r="138">
      <x:c r="A138" s="77"/>
      <x:c r="G138" s="74"/>
      <x:c r="H138" s="74" t="n">
        <x:f>IF(OR(B138="Opening Float",B138="Cash Top-up",B138="Adjustment In"),G138,IF(OR(B138="Expense Paid",B138="Cash Returned",B138="Adjustment Out"),-G138,0))</x:f>
        <x:v>0</x:v>
      </x:c>
    </x:row>
    <x:row r="139">
      <x:c r="A139" s="77"/>
      <x:c r="G139" s="74"/>
      <x:c r="H139" s="74" t="n">
        <x:f>IF(OR(B139="Opening Float",B139="Cash Top-up",B139="Adjustment In"),G139,IF(OR(B139="Expense Paid",B139="Cash Returned",B139="Adjustment Out"),-G139,0))</x:f>
        <x:v>0</x:v>
      </x:c>
    </x:row>
    <x:row r="140">
      <x:c r="A140" s="77"/>
      <x:c r="G140" s="74"/>
      <x:c r="H140" s="74" t="n">
        <x:f>IF(OR(B140="Opening Float",B140="Cash Top-up",B140="Adjustment In"),G140,IF(OR(B140="Expense Paid",B140="Cash Returned",B140="Adjustment Out"),-G140,0))</x:f>
        <x:v>0</x:v>
      </x:c>
    </x:row>
    <x:row r="141">
      <x:c r="A141" s="77"/>
      <x:c r="G141" s="74"/>
      <x:c r="H141" s="74" t="n">
        <x:f>IF(OR(B141="Opening Float",B141="Cash Top-up",B141="Adjustment In"),G141,IF(OR(B141="Expense Paid",B141="Cash Returned",B141="Adjustment Out"),-G141,0))</x:f>
        <x:v>0</x:v>
      </x:c>
    </x:row>
    <x:row r="142">
      <x:c r="A142" s="77"/>
      <x:c r="G142" s="74"/>
      <x:c r="H142" s="74" t="n">
        <x:f>IF(OR(B142="Opening Float",B142="Cash Top-up",B142="Adjustment In"),G142,IF(OR(B142="Expense Paid",B142="Cash Returned",B142="Adjustment Out"),-G142,0))</x:f>
        <x:v>0</x:v>
      </x:c>
    </x:row>
    <x:row r="143">
      <x:c r="A143" s="77"/>
      <x:c r="G143" s="74"/>
      <x:c r="H143" s="74" t="n">
        <x:f>IF(OR(B143="Opening Float",B143="Cash Top-up",B143="Adjustment In"),G143,IF(OR(B143="Expense Paid",B143="Cash Returned",B143="Adjustment Out"),-G143,0))</x:f>
        <x:v>0</x:v>
      </x:c>
    </x:row>
    <x:row r="144">
      <x:c r="A144" s="77"/>
      <x:c r="G144" s="74"/>
      <x:c r="H144" s="74" t="n">
        <x:f>IF(OR(B144="Opening Float",B144="Cash Top-up",B144="Adjustment In"),G144,IF(OR(B144="Expense Paid",B144="Cash Returned",B144="Adjustment Out"),-G144,0))</x:f>
        <x:v>0</x:v>
      </x:c>
    </x:row>
    <x:row r="145">
      <x:c r="A145" s="77"/>
      <x:c r="G145" s="74"/>
      <x:c r="H145" s="74" t="n">
        <x:f>IF(OR(B145="Opening Float",B145="Cash Top-up",B145="Adjustment In"),G145,IF(OR(B145="Expense Paid",B145="Cash Returned",B145="Adjustment Out"),-G145,0))</x:f>
        <x:v>0</x:v>
      </x:c>
    </x:row>
    <x:row r="146">
      <x:c r="A146" s="77"/>
      <x:c r="G146" s="74"/>
      <x:c r="H146" s="74" t="n">
        <x:f>IF(OR(B146="Opening Float",B146="Cash Top-up",B146="Adjustment In"),G146,IF(OR(B146="Expense Paid",B146="Cash Returned",B146="Adjustment Out"),-G146,0))</x:f>
        <x:v>0</x:v>
      </x:c>
    </x:row>
    <x:row r="147">
      <x:c r="A147" s="77"/>
      <x:c r="G147" s="74"/>
      <x:c r="H147" s="74" t="n">
        <x:f>IF(OR(B147="Opening Float",B147="Cash Top-up",B147="Adjustment In"),G147,IF(OR(B147="Expense Paid",B147="Cash Returned",B147="Adjustment Out"),-G147,0))</x:f>
        <x:v>0</x:v>
      </x:c>
    </x:row>
    <x:row r="148">
      <x:c r="A148" s="77"/>
      <x:c r="G148" s="74"/>
      <x:c r="H148" s="74" t="n">
        <x:f>IF(OR(B148="Opening Float",B148="Cash Top-up",B148="Adjustment In"),G148,IF(OR(B148="Expense Paid",B148="Cash Returned",B148="Adjustment Out"),-G148,0))</x:f>
        <x:v>0</x:v>
      </x:c>
    </x:row>
    <x:row r="149">
      <x:c r="A149" s="77"/>
      <x:c r="G149" s="74"/>
      <x:c r="H149" s="74" t="n">
        <x:f>IF(OR(B149="Opening Float",B149="Cash Top-up",B149="Adjustment In"),G149,IF(OR(B149="Expense Paid",B149="Cash Returned",B149="Adjustment Out"),-G149,0))</x:f>
        <x:v>0</x:v>
      </x:c>
    </x:row>
    <x:row r="150">
      <x:c r="A150" s="77"/>
      <x:c r="G150" s="74"/>
      <x:c r="H150" s="74" t="n">
        <x:f>IF(OR(B150="Opening Float",B150="Cash Top-up",B150="Adjustment In"),G150,IF(OR(B150="Expense Paid",B150="Cash Returned",B150="Adjustment Out"),-G150,0))</x:f>
        <x:v>0</x:v>
      </x:c>
    </x:row>
    <x:row r="151">
      <x:c r="A151" s="77"/>
      <x:c r="G151" s="74"/>
      <x:c r="H151" s="74" t="n">
        <x:f>IF(OR(B151="Opening Float",B151="Cash Top-up",B151="Adjustment In"),G151,IF(OR(B151="Expense Paid",B151="Cash Returned",B151="Adjustment Out"),-G151,0))</x:f>
        <x:v>0</x:v>
      </x:c>
    </x:row>
    <x:row r="152">
      <x:c r="A152" s="77"/>
      <x:c r="G152" s="74"/>
      <x:c r="H152" s="74" t="n">
        <x:f>IF(OR(B152="Opening Float",B152="Cash Top-up",B152="Adjustment In"),G152,IF(OR(B152="Expense Paid",B152="Cash Returned",B152="Adjustment Out"),-G152,0))</x:f>
        <x:v>0</x:v>
      </x:c>
    </x:row>
    <x:row r="153">
      <x:c r="A153" s="77"/>
      <x:c r="G153" s="74"/>
      <x:c r="H153" s="74" t="n">
        <x:f>IF(OR(B153="Opening Float",B153="Cash Top-up",B153="Adjustment In"),G153,IF(OR(B153="Expense Paid",B153="Cash Returned",B153="Adjustment Out"),-G153,0))</x:f>
        <x:v>0</x:v>
      </x:c>
    </x:row>
    <x:row r="154">
      <x:c r="A154" s="77"/>
      <x:c r="G154" s="74"/>
      <x:c r="H154" s="74" t="n">
        <x:f>IF(OR(B154="Opening Float",B154="Cash Top-up",B154="Adjustment In"),G154,IF(OR(B154="Expense Paid",B154="Cash Returned",B154="Adjustment Out"),-G154,0))</x:f>
        <x:v>0</x:v>
      </x:c>
    </x:row>
    <x:row r="155">
      <x:c r="A155" s="77"/>
      <x:c r="G155" s="74"/>
      <x:c r="H155" s="74" t="n">
        <x:f>IF(OR(B155="Opening Float",B155="Cash Top-up",B155="Adjustment In"),G155,IF(OR(B155="Expense Paid",B155="Cash Returned",B155="Adjustment Out"),-G155,0))</x:f>
        <x:v>0</x:v>
      </x:c>
    </x:row>
    <x:row r="156">
      <x:c r="A156" s="77"/>
      <x:c r="G156" s="74"/>
      <x:c r="H156" s="74" t="n">
        <x:f>IF(OR(B156="Opening Float",B156="Cash Top-up",B156="Adjustment In"),G156,IF(OR(B156="Expense Paid",B156="Cash Returned",B156="Adjustment Out"),-G156,0))</x:f>
        <x:v>0</x:v>
      </x:c>
    </x:row>
    <x:row r="157">
      <x:c r="A157" s="77"/>
      <x:c r="G157" s="74"/>
      <x:c r="H157" s="74" t="n">
        <x:f>IF(OR(B157="Opening Float",B157="Cash Top-up",B157="Adjustment In"),G157,IF(OR(B157="Expense Paid",B157="Cash Returned",B157="Adjustment Out"),-G157,0))</x:f>
        <x:v>0</x:v>
      </x:c>
    </x:row>
    <x:row r="158">
      <x:c r="A158" s="77"/>
      <x:c r="G158" s="74"/>
      <x:c r="H158" s="74" t="n">
        <x:f>IF(OR(B158="Opening Float",B158="Cash Top-up",B158="Adjustment In"),G158,IF(OR(B158="Expense Paid",B158="Cash Returned",B158="Adjustment Out"),-G158,0))</x:f>
        <x:v>0</x:v>
      </x:c>
    </x:row>
    <x:row r="159">
      <x:c r="A159" s="77"/>
      <x:c r="G159" s="74"/>
      <x:c r="H159" s="74" t="n">
        <x:f>IF(OR(B159="Opening Float",B159="Cash Top-up",B159="Adjustment In"),G159,IF(OR(B159="Expense Paid",B159="Cash Returned",B159="Adjustment Out"),-G159,0))</x:f>
        <x:v>0</x:v>
      </x:c>
    </x:row>
    <x:row r="160">
      <x:c r="A160" s="77"/>
      <x:c r="G160" s="74"/>
      <x:c r="H160" s="74" t="n">
        <x:f>IF(OR(B160="Opening Float",B160="Cash Top-up",B160="Adjustment In"),G160,IF(OR(B160="Expense Paid",B160="Cash Returned",B160="Adjustment Out"),-G160,0))</x:f>
        <x:v>0</x:v>
      </x:c>
    </x:row>
    <x:row r="161">
      <x:c r="A161" s="77"/>
      <x:c r="G161" s="74"/>
      <x:c r="H161" s="74" t="n">
        <x:f>IF(OR(B161="Opening Float",B161="Cash Top-up",B161="Adjustment In"),G161,IF(OR(B161="Expense Paid",B161="Cash Returned",B161="Adjustment Out"),-G161,0))</x:f>
        <x:v>0</x:v>
      </x:c>
    </x:row>
    <x:row r="162">
      <x:c r="A162" s="77"/>
      <x:c r="G162" s="74"/>
      <x:c r="H162" s="74" t="n">
        <x:f>IF(OR(B162="Opening Float",B162="Cash Top-up",B162="Adjustment In"),G162,IF(OR(B162="Expense Paid",B162="Cash Returned",B162="Adjustment Out"),-G162,0))</x:f>
        <x:v>0</x:v>
      </x:c>
    </x:row>
    <x:row r="163">
      <x:c r="A163" s="77"/>
      <x:c r="G163" s="74"/>
      <x:c r="H163" s="74" t="n">
        <x:f>IF(OR(B163="Opening Float",B163="Cash Top-up",B163="Adjustment In"),G163,IF(OR(B163="Expense Paid",B163="Cash Returned",B163="Adjustment Out"),-G163,0))</x:f>
        <x:v>0</x:v>
      </x:c>
    </x:row>
    <x:row r="164">
      <x:c r="A164" s="77"/>
      <x:c r="G164" s="74"/>
      <x:c r="H164" s="74" t="n">
        <x:f>IF(OR(B164="Opening Float",B164="Cash Top-up",B164="Adjustment In"),G164,IF(OR(B164="Expense Paid",B164="Cash Returned",B164="Adjustment Out"),-G164,0))</x:f>
        <x:v>0</x:v>
      </x:c>
    </x:row>
    <x:row r="165">
      <x:c r="A165" s="77"/>
      <x:c r="G165" s="74"/>
      <x:c r="H165" s="74" t="n">
        <x:f>IF(OR(B165="Opening Float",B165="Cash Top-up",B165="Adjustment In"),G165,IF(OR(B165="Expense Paid",B165="Cash Returned",B165="Adjustment Out"),-G165,0))</x:f>
        <x:v>0</x:v>
      </x:c>
    </x:row>
    <x:row r="166">
      <x:c r="A166" s="77"/>
      <x:c r="G166" s="74"/>
      <x:c r="H166" s="74" t="n">
        <x:f>IF(OR(B166="Opening Float",B166="Cash Top-up",B166="Adjustment In"),G166,IF(OR(B166="Expense Paid",B166="Cash Returned",B166="Adjustment Out"),-G166,0))</x:f>
        <x:v>0</x:v>
      </x:c>
    </x:row>
    <x:row r="167">
      <x:c r="A167" s="77"/>
      <x:c r="G167" s="74"/>
      <x:c r="H167" s="74" t="n">
        <x:f>IF(OR(B167="Opening Float",B167="Cash Top-up",B167="Adjustment In"),G167,IF(OR(B167="Expense Paid",B167="Cash Returned",B167="Adjustment Out"),-G167,0))</x:f>
        <x:v>0</x:v>
      </x:c>
    </x:row>
    <x:row r="168">
      <x:c r="A168" s="77"/>
      <x:c r="G168" s="74"/>
      <x:c r="H168" s="74" t="n">
        <x:f>IF(OR(B168="Opening Float",B168="Cash Top-up",B168="Adjustment In"),G168,IF(OR(B168="Expense Paid",B168="Cash Returned",B168="Adjustment Out"),-G168,0))</x:f>
        <x:v>0</x:v>
      </x:c>
    </x:row>
    <x:row r="169">
      <x:c r="A169" s="77"/>
      <x:c r="G169" s="74"/>
      <x:c r="H169" s="74" t="n">
        <x:f>IF(OR(B169="Opening Float",B169="Cash Top-up",B169="Adjustment In"),G169,IF(OR(B169="Expense Paid",B169="Cash Returned",B169="Adjustment Out"),-G169,0))</x:f>
        <x:v>0</x:v>
      </x:c>
    </x:row>
    <x:row r="170">
      <x:c r="A170" s="77"/>
      <x:c r="G170" s="74"/>
      <x:c r="H170" s="74" t="n">
        <x:f>IF(OR(B170="Opening Float",B170="Cash Top-up",B170="Adjustment In"),G170,IF(OR(B170="Expense Paid",B170="Cash Returned",B170="Adjustment Out"),-G170,0))</x:f>
        <x:v>0</x:v>
      </x:c>
    </x:row>
    <x:row r="171">
      <x:c r="A171" s="77"/>
      <x:c r="G171" s="74"/>
      <x:c r="H171" s="74" t="n">
        <x:f>IF(OR(B171="Opening Float",B171="Cash Top-up",B171="Adjustment In"),G171,IF(OR(B171="Expense Paid",B171="Cash Returned",B171="Adjustment Out"),-G171,0))</x:f>
        <x:v>0</x:v>
      </x:c>
    </x:row>
    <x:row r="172">
      <x:c r="A172" s="77"/>
      <x:c r="G172" s="74"/>
      <x:c r="H172" s="74" t="n">
        <x:f>IF(OR(B172="Opening Float",B172="Cash Top-up",B172="Adjustment In"),G172,IF(OR(B172="Expense Paid",B172="Cash Returned",B172="Adjustment Out"),-G172,0))</x:f>
        <x:v>0</x:v>
      </x:c>
    </x:row>
    <x:row r="173">
      <x:c r="A173" s="77"/>
      <x:c r="G173" s="74"/>
      <x:c r="H173" s="74" t="n">
        <x:f>IF(OR(B173="Opening Float",B173="Cash Top-up",B173="Adjustment In"),G173,IF(OR(B173="Expense Paid",B173="Cash Returned",B173="Adjustment Out"),-G173,0))</x:f>
        <x:v>0</x:v>
      </x:c>
    </x:row>
    <x:row r="174">
      <x:c r="A174" s="77"/>
      <x:c r="G174" s="74"/>
      <x:c r="H174" s="74" t="n">
        <x:f>IF(OR(B174="Opening Float",B174="Cash Top-up",B174="Adjustment In"),G174,IF(OR(B174="Expense Paid",B174="Cash Returned",B174="Adjustment Out"),-G174,0))</x:f>
        <x:v>0</x:v>
      </x:c>
    </x:row>
    <x:row r="175">
      <x:c r="A175" s="77"/>
      <x:c r="G175" s="74"/>
      <x:c r="H175" s="74" t="n">
        <x:f>IF(OR(B175="Opening Float",B175="Cash Top-up",B175="Adjustment In"),G175,IF(OR(B175="Expense Paid",B175="Cash Returned",B175="Adjustment Out"),-G175,0))</x:f>
        <x:v>0</x:v>
      </x:c>
    </x:row>
    <x:row r="176">
      <x:c r="A176" s="77"/>
      <x:c r="G176" s="74"/>
      <x:c r="H176" s="74" t="n">
        <x:f>IF(OR(B176="Opening Float",B176="Cash Top-up",B176="Adjustment In"),G176,IF(OR(B176="Expense Paid",B176="Cash Returned",B176="Adjustment Out"),-G176,0))</x:f>
        <x:v>0</x:v>
      </x:c>
    </x:row>
    <x:row r="177">
      <x:c r="A177" s="77"/>
      <x:c r="G177" s="74"/>
      <x:c r="H177" s="74" t="n">
        <x:f>IF(OR(B177="Opening Float",B177="Cash Top-up",B177="Adjustment In"),G177,IF(OR(B177="Expense Paid",B177="Cash Returned",B177="Adjustment Out"),-G177,0))</x:f>
        <x:v>0</x:v>
      </x:c>
    </x:row>
    <x:row r="178">
      <x:c r="A178" s="77"/>
      <x:c r="G178" s="74"/>
      <x:c r="H178" s="74" t="n">
        <x:f>IF(OR(B178="Opening Float",B178="Cash Top-up",B178="Adjustment In"),G178,IF(OR(B178="Expense Paid",B178="Cash Returned",B178="Adjustment Out"),-G178,0))</x:f>
        <x:v>0</x:v>
      </x:c>
    </x:row>
    <x:row r="179">
      <x:c r="A179" s="77"/>
      <x:c r="G179" s="74"/>
      <x:c r="H179" s="74" t="n">
        <x:f>IF(OR(B179="Opening Float",B179="Cash Top-up",B179="Adjustment In"),G179,IF(OR(B179="Expense Paid",B179="Cash Returned",B179="Adjustment Out"),-G179,0))</x:f>
        <x:v>0</x:v>
      </x:c>
    </x:row>
    <x:row r="180">
      <x:c r="A180" s="77"/>
      <x:c r="G180" s="74"/>
      <x:c r="H180" s="74" t="n">
        <x:f>IF(OR(B180="Opening Float",B180="Cash Top-up",B180="Adjustment In"),G180,IF(OR(B180="Expense Paid",B180="Cash Returned",B180="Adjustment Out"),-G180,0))</x:f>
        <x:v>0</x:v>
      </x:c>
    </x:row>
    <x:row r="181">
      <x:c r="A181" s="77"/>
      <x:c r="G181" s="74"/>
      <x:c r="H181" s="74" t="n">
        <x:f>IF(OR(B181="Opening Float",B181="Cash Top-up",B181="Adjustment In"),G181,IF(OR(B181="Expense Paid",B181="Cash Returned",B181="Adjustment Out"),-G181,0))</x:f>
        <x:v>0</x:v>
      </x:c>
    </x:row>
    <x:row r="182">
      <x:c r="A182" s="77"/>
      <x:c r="G182" s="74"/>
      <x:c r="H182" s="74" t="n">
        <x:f>IF(OR(B182="Opening Float",B182="Cash Top-up",B182="Adjustment In"),G182,IF(OR(B182="Expense Paid",B182="Cash Returned",B182="Adjustment Out"),-G182,0))</x:f>
        <x:v>0</x:v>
      </x:c>
    </x:row>
    <x:row r="183">
      <x:c r="A183" s="77"/>
      <x:c r="G183" s="74"/>
      <x:c r="H183" s="74" t="n">
        <x:f>IF(OR(B183="Opening Float",B183="Cash Top-up",B183="Adjustment In"),G183,IF(OR(B183="Expense Paid",B183="Cash Returned",B183="Adjustment Out"),-G183,0))</x:f>
        <x:v>0</x:v>
      </x:c>
    </x:row>
    <x:row r="184">
      <x:c r="A184" s="77"/>
      <x:c r="G184" s="74"/>
      <x:c r="H184" s="74" t="n">
        <x:f>IF(OR(B184="Opening Float",B184="Cash Top-up",B184="Adjustment In"),G184,IF(OR(B184="Expense Paid",B184="Cash Returned",B184="Adjustment Out"),-G184,0))</x:f>
        <x:v>0</x:v>
      </x:c>
    </x:row>
    <x:row r="185">
      <x:c r="A185" s="77"/>
      <x:c r="G185" s="74"/>
      <x:c r="H185" s="74" t="n">
        <x:f>IF(OR(B185="Opening Float",B185="Cash Top-up",B185="Adjustment In"),G185,IF(OR(B185="Expense Paid",B185="Cash Returned",B185="Adjustment Out"),-G185,0))</x:f>
        <x:v>0</x:v>
      </x:c>
    </x:row>
    <x:row r="186">
      <x:c r="A186" s="77"/>
      <x:c r="G186" s="74"/>
      <x:c r="H186" s="74" t="n">
        <x:f>IF(OR(B186="Opening Float",B186="Cash Top-up",B186="Adjustment In"),G186,IF(OR(B186="Expense Paid",B186="Cash Returned",B186="Adjustment Out"),-G186,0))</x:f>
        <x:v>0</x:v>
      </x:c>
    </x:row>
    <x:row r="187">
      <x:c r="A187" s="77"/>
      <x:c r="G187" s="74"/>
      <x:c r="H187" s="74" t="n">
        <x:f>IF(OR(B187="Opening Float",B187="Cash Top-up",B187="Adjustment In"),G187,IF(OR(B187="Expense Paid",B187="Cash Returned",B187="Adjustment Out"),-G187,0))</x:f>
        <x:v>0</x:v>
      </x:c>
    </x:row>
    <x:row r="188">
      <x:c r="A188" s="77"/>
      <x:c r="G188" s="74"/>
      <x:c r="H188" s="74" t="n">
        <x:f>IF(OR(B188="Opening Float",B188="Cash Top-up",B188="Adjustment In"),G188,IF(OR(B188="Expense Paid",B188="Cash Returned",B188="Adjustment Out"),-G188,0))</x:f>
        <x:v>0</x:v>
      </x:c>
    </x:row>
    <x:row r="189">
      <x:c r="A189" s="77"/>
      <x:c r="G189" s="74"/>
      <x:c r="H189" s="74" t="n">
        <x:f>IF(OR(B189="Opening Float",B189="Cash Top-up",B189="Adjustment In"),G189,IF(OR(B189="Expense Paid",B189="Cash Returned",B189="Adjustment Out"),-G189,0))</x:f>
        <x:v>0</x:v>
      </x:c>
    </x:row>
    <x:row r="190">
      <x:c r="A190" s="77"/>
      <x:c r="G190" s="74"/>
      <x:c r="H190" s="74" t="n">
        <x:f>IF(OR(B190="Opening Float",B190="Cash Top-up",B190="Adjustment In"),G190,IF(OR(B190="Expense Paid",B190="Cash Returned",B190="Adjustment Out"),-G190,0))</x:f>
        <x:v>0</x:v>
      </x:c>
    </x:row>
    <x:row r="191">
      <x:c r="A191" s="77"/>
      <x:c r="G191" s="74"/>
      <x:c r="H191" s="74" t="n">
        <x:f>IF(OR(B191="Opening Float",B191="Cash Top-up",B191="Adjustment In"),G191,IF(OR(B191="Expense Paid",B191="Cash Returned",B191="Adjustment Out"),-G191,0))</x:f>
        <x:v>0</x:v>
      </x:c>
    </x:row>
    <x:row r="192">
      <x:c r="A192" s="77"/>
      <x:c r="G192" s="74"/>
      <x:c r="H192" s="74" t="n">
        <x:f>IF(OR(B192="Opening Float",B192="Cash Top-up",B192="Adjustment In"),G192,IF(OR(B192="Expense Paid",B192="Cash Returned",B192="Adjustment Out"),-G192,0))</x:f>
        <x:v>0</x:v>
      </x:c>
    </x:row>
    <x:row r="193">
      <x:c r="A193" s="77"/>
      <x:c r="G193" s="74"/>
      <x:c r="H193" s="74" t="n">
        <x:f>IF(OR(B193="Opening Float",B193="Cash Top-up",B193="Adjustment In"),G193,IF(OR(B193="Expense Paid",B193="Cash Returned",B193="Adjustment Out"),-G193,0))</x:f>
        <x:v>0</x:v>
      </x:c>
    </x:row>
    <x:row r="194">
      <x:c r="A194" s="77"/>
      <x:c r="G194" s="74"/>
      <x:c r="H194" s="74" t="n">
        <x:f>IF(OR(B194="Opening Float",B194="Cash Top-up",B194="Adjustment In"),G194,IF(OR(B194="Expense Paid",B194="Cash Returned",B194="Adjustment Out"),-G194,0))</x:f>
        <x:v>0</x:v>
      </x:c>
    </x:row>
    <x:row r="195">
      <x:c r="A195" s="77"/>
      <x:c r="G195" s="74"/>
      <x:c r="H195" s="74" t="n">
        <x:f>IF(OR(B195="Opening Float",B195="Cash Top-up",B195="Adjustment In"),G195,IF(OR(B195="Expense Paid",B195="Cash Returned",B195="Adjustment Out"),-G195,0))</x:f>
        <x:v>0</x:v>
      </x:c>
    </x:row>
    <x:row r="196">
      <x:c r="A196" s="77"/>
      <x:c r="G196" s="74"/>
      <x:c r="H196" s="74" t="n">
        <x:f>IF(OR(B196="Opening Float",B196="Cash Top-up",B196="Adjustment In"),G196,IF(OR(B196="Expense Paid",B196="Cash Returned",B196="Adjustment Out"),-G196,0))</x:f>
        <x:v>0</x:v>
      </x:c>
    </x:row>
    <x:row r="197">
      <x:c r="A197" s="77"/>
      <x:c r="G197" s="74"/>
      <x:c r="H197" s="74" t="n">
        <x:f>IF(OR(B197="Opening Float",B197="Cash Top-up",B197="Adjustment In"),G197,IF(OR(B197="Expense Paid",B197="Cash Returned",B197="Adjustment Out"),-G197,0))</x:f>
        <x:v>0</x:v>
      </x:c>
    </x:row>
    <x:row r="198">
      <x:c r="A198" s="77"/>
      <x:c r="G198" s="74"/>
      <x:c r="H198" s="74" t="n">
        <x:f>IF(OR(B198="Opening Float",B198="Cash Top-up",B198="Adjustment In"),G198,IF(OR(B198="Expense Paid",B198="Cash Returned",B198="Adjustment Out"),-G198,0))</x:f>
        <x:v>0</x:v>
      </x:c>
    </x:row>
    <x:row r="199">
      <x:c r="A199" s="77"/>
      <x:c r="G199" s="74"/>
      <x:c r="H199" s="74" t="n">
        <x:f>IF(OR(B199="Opening Float",B199="Cash Top-up",B199="Adjustment In"),G199,IF(OR(B199="Expense Paid",B199="Cash Returned",B199="Adjustment Out"),-G199,0))</x:f>
        <x:v>0</x:v>
      </x:c>
    </x:row>
    <x:row r="200">
      <x:c r="A200" s="77"/>
      <x:c r="G200" s="74"/>
      <x:c r="H200" s="74" t="n">
        <x:f>IF(OR(B200="Opening Float",B200="Cash Top-up",B200="Adjustment In"),G200,IF(OR(B200="Expense Paid",B200="Cash Returned",B200="Adjustment Out"),-G200,0))</x:f>
        <x:v>0</x:v>
      </x:c>
    </x:row>
    <x:row r="201">
      <x:c r="A201" s="77"/>
      <x:c r="G201" s="74"/>
      <x:c r="H201" s="74" t="n">
        <x:f>IF(OR(B201="Opening Float",B201="Cash Top-up",B201="Adjustment In"),G201,IF(OR(B201="Expense Paid",B201="Cash Returned",B201="Adjustment Out"),-G201,0))</x:f>
        <x:v>0</x:v>
      </x:c>
    </x:row>
    <x:row r="202">
      <x:c r="A202" s="77"/>
      <x:c r="G202" s="74"/>
      <x:c r="H202" s="74" t="n">
        <x:f>IF(OR(B202="Opening Float",B202="Cash Top-up",B202="Adjustment In"),G202,IF(OR(B202="Expense Paid",B202="Cash Returned",B202="Adjustment Out"),-G202,0))</x:f>
        <x:v>0</x:v>
      </x:c>
    </x:row>
    <x:row r="203">
      <x:c r="A203" s="77"/>
      <x:c r="G203" s="74"/>
      <x:c r="H203" s="74" t="n">
        <x:f>IF(OR(B203="Opening Float",B203="Cash Top-up",B203="Adjustment In"),G203,IF(OR(B203="Expense Paid",B203="Cash Returned",B203="Adjustment Out"),-G203,0))</x:f>
        <x:v>0</x:v>
      </x:c>
    </x:row>
    <x:row r="204">
      <x:c r="A204" s="77"/>
      <x:c r="G204" s="74"/>
      <x:c r="H204" s="74" t="n">
        <x:f>IF(OR(B204="Opening Float",B204="Cash Top-up",B204="Adjustment In"),G204,IF(OR(B204="Expense Paid",B204="Cash Returned",B204="Adjustment Out"),-G204,0))</x:f>
        <x:v>0</x:v>
      </x:c>
    </x:row>
    <x:row r="205">
      <x:c r="A205" s="77"/>
      <x:c r="G205" s="74"/>
      <x:c r="H205" s="74" t="n">
        <x:f>IF(OR(B205="Opening Float",B205="Cash Top-up",B205="Adjustment In"),G205,IF(OR(B205="Expense Paid",B205="Cash Returned",B205="Adjustment Out"),-G205,0))</x:f>
        <x:v>0</x:v>
      </x:c>
    </x:row>
    <x:row r="206">
      <x:c r="A206" s="77"/>
      <x:c r="G206" s="74"/>
      <x:c r="H206" s="74" t="n">
        <x:f>IF(OR(B206="Opening Float",B206="Cash Top-up",B206="Adjustment In"),G206,IF(OR(B206="Expense Paid",B206="Cash Returned",B206="Adjustment Out"),-G206,0))</x:f>
        <x:v>0</x:v>
      </x:c>
    </x:row>
    <x:row r="207">
      <x:c r="A207" s="77"/>
      <x:c r="G207" s="74"/>
      <x:c r="H207" s="74" t="n">
        <x:f>IF(OR(B207="Opening Float",B207="Cash Top-up",B207="Adjustment In"),G207,IF(OR(B207="Expense Paid",B207="Cash Returned",B207="Adjustment Out"),-G207,0))</x:f>
        <x:v>0</x:v>
      </x:c>
    </x:row>
    <x:row r="208">
      <x:c r="A208" s="77"/>
      <x:c r="G208" s="74"/>
      <x:c r="H208" s="74" t="n">
        <x:f>IF(OR(B208="Opening Float",B208="Cash Top-up",B208="Adjustment In"),G208,IF(OR(B208="Expense Paid",B208="Cash Returned",B208="Adjustment Out"),-G208,0))</x:f>
        <x:v>0</x:v>
      </x:c>
    </x:row>
    <x:row r="209">
      <x:c r="A209" s="77"/>
      <x:c r="G209" s="74"/>
      <x:c r="H209" s="74" t="n">
        <x:f>IF(OR(B209="Opening Float",B209="Cash Top-up",B209="Adjustment In"),G209,IF(OR(B209="Expense Paid",B209="Cash Returned",B209="Adjustment Out"),-G209,0))</x:f>
        <x:v>0</x:v>
      </x:c>
    </x:row>
    <x:row r="210">
      <x:c r="A210" s="77"/>
      <x:c r="G210" s="74"/>
      <x:c r="H210" s="74" t="n">
        <x:f>IF(OR(B210="Opening Float",B210="Cash Top-up",B210="Adjustment In"),G210,IF(OR(B210="Expense Paid",B210="Cash Returned",B210="Adjustment Out"),-G210,0))</x:f>
        <x:v>0</x:v>
      </x:c>
    </x:row>
    <x:row r="211">
      <x:c r="A211" s="77"/>
      <x:c r="G211" s="74"/>
      <x:c r="H211" s="74" t="n">
        <x:f>IF(OR(B211="Opening Float",B211="Cash Top-up",B211="Adjustment In"),G211,IF(OR(B211="Expense Paid",B211="Cash Returned",B211="Adjustment Out"),-G211,0))</x:f>
        <x:v>0</x:v>
      </x:c>
    </x:row>
    <x:row r="212">
      <x:c r="A212" s="77"/>
      <x:c r="G212" s="74"/>
      <x:c r="H212" s="74" t="n">
        <x:f>IF(OR(B212="Opening Float",B212="Cash Top-up",B212="Adjustment In"),G212,IF(OR(B212="Expense Paid",B212="Cash Returned",B212="Adjustment Out"),-G212,0))</x:f>
        <x:v>0</x:v>
      </x:c>
    </x:row>
    <x:row r="213">
      <x:c r="A213" s="77"/>
      <x:c r="G213" s="74"/>
      <x:c r="H213" s="74" t="n">
        <x:f>IF(OR(B213="Opening Float",B213="Cash Top-up",B213="Adjustment In"),G213,IF(OR(B213="Expense Paid",B213="Cash Returned",B213="Adjustment Out"),-G213,0))</x:f>
        <x:v>0</x:v>
      </x:c>
    </x:row>
    <x:row r="214">
      <x:c r="A214" s="77"/>
      <x:c r="G214" s="74"/>
      <x:c r="H214" s="74" t="n">
        <x:f>IF(OR(B214="Opening Float",B214="Cash Top-up",B214="Adjustment In"),G214,IF(OR(B214="Expense Paid",B214="Cash Returned",B214="Adjustment Out"),-G214,0))</x:f>
        <x:v>0</x:v>
      </x:c>
    </x:row>
    <x:row r="215">
      <x:c r="A215" s="77"/>
      <x:c r="G215" s="74"/>
      <x:c r="H215" s="74" t="n">
        <x:f>IF(OR(B215="Opening Float",B215="Cash Top-up",B215="Adjustment In"),G215,IF(OR(B215="Expense Paid",B215="Cash Returned",B215="Adjustment Out"),-G215,0))</x:f>
        <x:v>0</x:v>
      </x:c>
    </x:row>
    <x:row r="216">
      <x:c r="A216" s="77"/>
      <x:c r="G216" s="74"/>
      <x:c r="H216" s="74" t="n">
        <x:f>IF(OR(B216="Opening Float",B216="Cash Top-up",B216="Adjustment In"),G216,IF(OR(B216="Expense Paid",B216="Cash Returned",B216="Adjustment Out"),-G216,0))</x:f>
        <x:v>0</x:v>
      </x:c>
    </x:row>
    <x:row r="217">
      <x:c r="A217" s="77"/>
      <x:c r="G217" s="74"/>
      <x:c r="H217" s="74" t="n">
        <x:f>IF(OR(B217="Opening Float",B217="Cash Top-up",B217="Adjustment In"),G217,IF(OR(B217="Expense Paid",B217="Cash Returned",B217="Adjustment Out"),-G217,0))</x:f>
        <x:v>0</x:v>
      </x:c>
    </x:row>
    <x:row r="218">
      <x:c r="A218" s="77"/>
      <x:c r="G218" s="74"/>
      <x:c r="H218" s="74" t="n">
        <x:f>IF(OR(B218="Opening Float",B218="Cash Top-up",B218="Adjustment In"),G218,IF(OR(B218="Expense Paid",B218="Cash Returned",B218="Adjustment Out"),-G218,0))</x:f>
        <x:v>0</x:v>
      </x:c>
    </x:row>
    <x:row r="219">
      <x:c r="A219" s="77"/>
      <x:c r="G219" s="74"/>
      <x:c r="H219" s="74" t="n">
        <x:f>IF(OR(B219="Opening Float",B219="Cash Top-up",B219="Adjustment In"),G219,IF(OR(B219="Expense Paid",B219="Cash Returned",B219="Adjustment Out"),-G219,0))</x:f>
        <x:v>0</x:v>
      </x:c>
    </x:row>
    <x:row r="220">
      <x:c r="A220" s="77"/>
      <x:c r="G220" s="74"/>
      <x:c r="H220" s="74" t="n">
        <x:f>IF(OR(B220="Opening Float",B220="Cash Top-up",B220="Adjustment In"),G220,IF(OR(B220="Expense Paid",B220="Cash Returned",B220="Adjustment Out"),-G220,0))</x:f>
        <x:v>0</x:v>
      </x:c>
    </x:row>
    <x:row r="221">
      <x:c r="A221" s="77"/>
      <x:c r="G221" s="74"/>
      <x:c r="H221" s="74" t="n">
        <x:f>IF(OR(B221="Opening Float",B221="Cash Top-up",B221="Adjustment In"),G221,IF(OR(B221="Expense Paid",B221="Cash Returned",B221="Adjustment Out"),-G221,0))</x:f>
        <x:v>0</x:v>
      </x:c>
    </x:row>
    <x:row r="222">
      <x:c r="A222" s="77"/>
      <x:c r="G222" s="74"/>
      <x:c r="H222" s="74" t="n">
        <x:f>IF(OR(B222="Opening Float",B222="Cash Top-up",B222="Adjustment In"),G222,IF(OR(B222="Expense Paid",B222="Cash Returned",B222="Adjustment Out"),-G222,0))</x:f>
        <x:v>0</x:v>
      </x:c>
    </x:row>
    <x:row r="223">
      <x:c r="A223" s="77"/>
      <x:c r="G223" s="74"/>
      <x:c r="H223" s="74" t="n">
        <x:f>IF(OR(B223="Opening Float",B223="Cash Top-up",B223="Adjustment In"),G223,IF(OR(B223="Expense Paid",B223="Cash Returned",B223="Adjustment Out"),-G223,0))</x:f>
        <x:v>0</x:v>
      </x:c>
    </x:row>
    <x:row r="224">
      <x:c r="A224" s="77"/>
      <x:c r="G224" s="74"/>
      <x:c r="H224" s="74" t="n">
        <x:f>IF(OR(B224="Opening Float",B224="Cash Top-up",B224="Adjustment In"),G224,IF(OR(B224="Expense Paid",B224="Cash Returned",B224="Adjustment Out"),-G224,0))</x:f>
        <x:v>0</x:v>
      </x:c>
    </x:row>
    <x:row r="225">
      <x:c r="A225" s="77"/>
      <x:c r="G225" s="74"/>
      <x:c r="H225" s="74" t="n">
        <x:f>IF(OR(B225="Opening Float",B225="Cash Top-up",B225="Adjustment In"),G225,IF(OR(B225="Expense Paid",B225="Cash Returned",B225="Adjustment Out"),-G225,0))</x:f>
        <x:v>0</x:v>
      </x:c>
    </x:row>
    <x:row r="226">
      <x:c r="A226" s="77"/>
      <x:c r="G226" s="74"/>
      <x:c r="H226" s="74" t="n">
        <x:f>IF(OR(B226="Opening Float",B226="Cash Top-up",B226="Adjustment In"),G226,IF(OR(B226="Expense Paid",B226="Cash Returned",B226="Adjustment Out"),-G226,0))</x:f>
        <x:v>0</x:v>
      </x:c>
    </x:row>
    <x:row r="227">
      <x:c r="A227" s="77"/>
      <x:c r="G227" s="74"/>
      <x:c r="H227" s="74" t="n">
        <x:f>IF(OR(B227="Opening Float",B227="Cash Top-up",B227="Adjustment In"),G227,IF(OR(B227="Expense Paid",B227="Cash Returned",B227="Adjustment Out"),-G227,0))</x:f>
        <x:v>0</x:v>
      </x:c>
    </x:row>
    <x:row r="228">
      <x:c r="A228" s="77"/>
      <x:c r="G228" s="74"/>
      <x:c r="H228" s="74" t="n">
        <x:f>IF(OR(B228="Opening Float",B228="Cash Top-up",B228="Adjustment In"),G228,IF(OR(B228="Expense Paid",B228="Cash Returned",B228="Adjustment Out"),-G228,0))</x:f>
        <x:v>0</x:v>
      </x:c>
    </x:row>
    <x:row r="229">
      <x:c r="A229" s="77"/>
      <x:c r="G229" s="74"/>
      <x:c r="H229" s="74" t="n">
        <x:f>IF(OR(B229="Opening Float",B229="Cash Top-up",B229="Adjustment In"),G229,IF(OR(B229="Expense Paid",B229="Cash Returned",B229="Adjustment Out"),-G229,0))</x:f>
        <x:v>0</x:v>
      </x:c>
    </x:row>
    <x:row r="230">
      <x:c r="A230" s="77"/>
      <x:c r="G230" s="74"/>
      <x:c r="H230" s="74" t="n">
        <x:f>IF(OR(B230="Opening Float",B230="Cash Top-up",B230="Adjustment In"),G230,IF(OR(B230="Expense Paid",B230="Cash Returned",B230="Adjustment Out"),-G230,0))</x:f>
        <x:v>0</x:v>
      </x:c>
    </x:row>
    <x:row r="231">
      <x:c r="A231" s="77"/>
      <x:c r="G231" s="74"/>
      <x:c r="H231" s="74" t="n">
        <x:f>IF(OR(B231="Opening Float",B231="Cash Top-up",B231="Adjustment In"),G231,IF(OR(B231="Expense Paid",B231="Cash Returned",B231="Adjustment Out"),-G231,0))</x:f>
        <x:v>0</x:v>
      </x:c>
    </x:row>
    <x:row r="232">
      <x:c r="A232" s="77"/>
      <x:c r="G232" s="74"/>
      <x:c r="H232" s="74" t="n">
        <x:f>IF(OR(B232="Opening Float",B232="Cash Top-up",B232="Adjustment In"),G232,IF(OR(B232="Expense Paid",B232="Cash Returned",B232="Adjustment Out"),-G232,0))</x:f>
        <x:v>0</x:v>
      </x:c>
    </x:row>
    <x:row r="233">
      <x:c r="A233" s="77"/>
      <x:c r="G233" s="74"/>
      <x:c r="H233" s="74" t="n">
        <x:f>IF(OR(B233="Opening Float",B233="Cash Top-up",B233="Adjustment In"),G233,IF(OR(B233="Expense Paid",B233="Cash Returned",B233="Adjustment Out"),-G233,0))</x:f>
        <x:v>0</x:v>
      </x:c>
    </x:row>
    <x:row r="234">
      <x:c r="A234" s="77"/>
      <x:c r="G234" s="74"/>
      <x:c r="H234" s="74" t="n">
        <x:f>IF(OR(B234="Opening Float",B234="Cash Top-up",B234="Adjustment In"),G234,IF(OR(B234="Expense Paid",B234="Cash Returned",B234="Adjustment Out"),-G234,0))</x:f>
        <x:v>0</x:v>
      </x:c>
    </x:row>
    <x:row r="235">
      <x:c r="A235" s="77"/>
      <x:c r="G235" s="74"/>
      <x:c r="H235" s="74" t="n">
        <x:f>IF(OR(B235="Opening Float",B235="Cash Top-up",B235="Adjustment In"),G235,IF(OR(B235="Expense Paid",B235="Cash Returned",B235="Adjustment Out"),-G235,0))</x:f>
        <x:v>0</x:v>
      </x:c>
    </x:row>
    <x:row r="236">
      <x:c r="A236" s="77"/>
      <x:c r="G236" s="74"/>
      <x:c r="H236" s="74" t="n">
        <x:f>IF(OR(B236="Opening Float",B236="Cash Top-up",B236="Adjustment In"),G236,IF(OR(B236="Expense Paid",B236="Cash Returned",B236="Adjustment Out"),-G236,0))</x:f>
        <x:v>0</x:v>
      </x:c>
    </x:row>
    <x:row r="237">
      <x:c r="A237" s="77"/>
      <x:c r="G237" s="74"/>
      <x:c r="H237" s="74" t="n">
        <x:f>IF(OR(B237="Opening Float",B237="Cash Top-up",B237="Adjustment In"),G237,IF(OR(B237="Expense Paid",B237="Cash Returned",B237="Adjustment Out"),-G237,0))</x:f>
        <x:v>0</x:v>
      </x:c>
    </x:row>
    <x:row r="238">
      <x:c r="A238" s="77"/>
      <x:c r="G238" s="74"/>
      <x:c r="H238" s="74" t="n">
        <x:f>IF(OR(B238="Opening Float",B238="Cash Top-up",B238="Adjustment In"),G238,IF(OR(B238="Expense Paid",B238="Cash Returned",B238="Adjustment Out"),-G238,0))</x:f>
        <x:v>0</x:v>
      </x:c>
    </x:row>
    <x:row r="239">
      <x:c r="A239" s="77"/>
      <x:c r="G239" s="74"/>
      <x:c r="H239" s="74" t="n">
        <x:f>IF(OR(B239="Opening Float",B239="Cash Top-up",B239="Adjustment In"),G239,IF(OR(B239="Expense Paid",B239="Cash Returned",B239="Adjustment Out"),-G239,0))</x:f>
        <x:v>0</x:v>
      </x:c>
    </x:row>
    <x:row r="240">
      <x:c r="A240" s="77"/>
      <x:c r="G240" s="74"/>
      <x:c r="H240" s="74" t="n">
        <x:f>IF(OR(B240="Opening Float",B240="Cash Top-up",B240="Adjustment In"),G240,IF(OR(B240="Expense Paid",B240="Cash Returned",B240="Adjustment Out"),-G240,0))</x:f>
        <x:v>0</x:v>
      </x:c>
    </x:row>
    <x:row r="241">
      <x:c r="A241" s="77"/>
      <x:c r="G241" s="74"/>
      <x:c r="H241" s="74" t="n">
        <x:f>IF(OR(B241="Opening Float",B241="Cash Top-up",B241="Adjustment In"),G241,IF(OR(B241="Expense Paid",B241="Cash Returned",B241="Adjustment Out"),-G241,0))</x:f>
        <x:v>0</x:v>
      </x:c>
    </x:row>
    <x:row r="242">
      <x:c r="A242" s="77"/>
      <x:c r="G242" s="74"/>
      <x:c r="H242" s="74" t="n">
        <x:f>IF(OR(B242="Opening Float",B242="Cash Top-up",B242="Adjustment In"),G242,IF(OR(B242="Expense Paid",B242="Cash Returned",B242="Adjustment Out"),-G242,0))</x:f>
        <x:v>0</x:v>
      </x:c>
    </x:row>
    <x:row r="243">
      <x:c r="A243" s="77"/>
      <x:c r="G243" s="74"/>
      <x:c r="H243" s="74" t="n">
        <x:f>IF(OR(B243="Opening Float",B243="Cash Top-up",B243="Adjustment In"),G243,IF(OR(B243="Expense Paid",B243="Cash Returned",B243="Adjustment Out"),-G243,0))</x:f>
        <x:v>0</x:v>
      </x:c>
    </x:row>
    <x:row r="244">
      <x:c r="A244" s="77"/>
      <x:c r="G244" s="74"/>
      <x:c r="H244" s="74" t="n">
        <x:f>IF(OR(B244="Opening Float",B244="Cash Top-up",B244="Adjustment In"),G244,IF(OR(B244="Expense Paid",B244="Cash Returned",B244="Adjustment Out"),-G244,0))</x:f>
        <x:v>0</x:v>
      </x:c>
    </x:row>
    <x:row r="245">
      <x:c r="A245" s="77"/>
      <x:c r="G245" s="74"/>
      <x:c r="H245" s="74" t="n">
        <x:f>IF(OR(B245="Opening Float",B245="Cash Top-up",B245="Adjustment In"),G245,IF(OR(B245="Expense Paid",B245="Cash Returned",B245="Adjustment Out"),-G245,0))</x:f>
        <x:v>0</x:v>
      </x:c>
    </x:row>
    <x:row r="246">
      <x:c r="A246" s="77"/>
      <x:c r="G246" s="74"/>
      <x:c r="H246" s="74" t="n">
        <x:f>IF(OR(B246="Opening Float",B246="Cash Top-up",B246="Adjustment In"),G246,IF(OR(B246="Expense Paid",B246="Cash Returned",B246="Adjustment Out"),-G246,0))</x:f>
        <x:v>0</x:v>
      </x:c>
    </x:row>
    <x:row r="247">
      <x:c r="A247" s="77"/>
      <x:c r="G247" s="74"/>
      <x:c r="H247" s="74" t="n">
        <x:f>IF(OR(B247="Opening Float",B247="Cash Top-up",B247="Adjustment In"),G247,IF(OR(B247="Expense Paid",B247="Cash Returned",B247="Adjustment Out"),-G247,0))</x:f>
        <x:v>0</x:v>
      </x:c>
    </x:row>
    <x:row r="248">
      <x:c r="A248" s="77"/>
      <x:c r="G248" s="74"/>
      <x:c r="H248" s="74" t="n">
        <x:f>IF(OR(B248="Opening Float",B248="Cash Top-up",B248="Adjustment In"),G248,IF(OR(B248="Expense Paid",B248="Cash Returned",B248="Adjustment Out"),-G248,0))</x:f>
        <x:v>0</x:v>
      </x:c>
    </x:row>
    <x:row r="249">
      <x:c r="A249" s="77"/>
      <x:c r="G249" s="74"/>
      <x:c r="H249" s="74" t="n">
        <x:f>IF(OR(B249="Opening Float",B249="Cash Top-up",B249="Adjustment In"),G249,IF(OR(B249="Expense Paid",B249="Cash Returned",B249="Adjustment Out"),-G249,0))</x:f>
        <x:v>0</x:v>
      </x:c>
    </x:row>
    <x:row r="250">
      <x:c r="A250" s="77"/>
      <x:c r="G250" s="74"/>
      <x:c r="H250" s="74" t="n">
        <x:f>IF(OR(B250="Opening Float",B250="Cash Top-up",B250="Adjustment In"),G250,IF(OR(B250="Expense Paid",B250="Cash Returned",B250="Adjustment Out"),-G250,0))</x:f>
        <x:v>0</x:v>
      </x:c>
    </x:row>
    <x:row r="251">
      <x:c r="A251" s="77"/>
      <x:c r="G251" s="74"/>
      <x:c r="H251" s="74" t="n">
        <x:f>IF(OR(B251="Opening Float",B251="Cash Top-up",B251="Adjustment In"),G251,IF(OR(B251="Expense Paid",B251="Cash Returned",B251="Adjustment Out"),-G251,0))</x:f>
        <x:v>0</x:v>
      </x:c>
    </x:row>
    <x:row r="252">
      <x:c r="A252" s="77"/>
      <x:c r="G252" s="74"/>
      <x:c r="H252" s="74" t="n">
        <x:f>IF(OR(B252="Opening Float",B252="Cash Top-up",B252="Adjustment In"),G252,IF(OR(B252="Expense Paid",B252="Cash Returned",B252="Adjustment Out"),-G252,0))</x:f>
        <x:v>0</x:v>
      </x:c>
    </x:row>
    <x:row r="253">
      <x:c r="A253" s="77"/>
      <x:c r="G253" s="74"/>
      <x:c r="H253" s="74" t="n">
        <x:f>IF(OR(B253="Opening Float",B253="Cash Top-up",B253="Adjustment In"),G253,IF(OR(B253="Expense Paid",B253="Cash Returned",B253="Adjustment Out"),-G253,0))</x:f>
        <x:v>0</x:v>
      </x:c>
    </x:row>
    <x:row r="254">
      <x:c r="A254" s="77"/>
      <x:c r="G254" s="74"/>
      <x:c r="H254" s="74" t="n">
        <x:f>IF(OR(B254="Opening Float",B254="Cash Top-up",B254="Adjustment In"),G254,IF(OR(B254="Expense Paid",B254="Cash Returned",B254="Adjustment Out"),-G254,0))</x:f>
        <x:v>0</x:v>
      </x:c>
    </x:row>
    <x:row r="255">
      <x:c r="A255" s="77"/>
      <x:c r="G255" s="74"/>
      <x:c r="H255" s="74" t="n">
        <x:f>IF(OR(B255="Opening Float",B255="Cash Top-up",B255="Adjustment In"),G255,IF(OR(B255="Expense Paid",B255="Cash Returned",B255="Adjustment Out"),-G255,0))</x:f>
        <x:v>0</x:v>
      </x:c>
    </x:row>
    <x:row r="256">
      <x:c r="A256" s="77"/>
      <x:c r="G256" s="74"/>
      <x:c r="H256" s="74" t="n">
        <x:f>IF(OR(B256="Opening Float",B256="Cash Top-up",B256="Adjustment In"),G256,IF(OR(B256="Expense Paid",B256="Cash Returned",B256="Adjustment Out"),-G256,0))</x:f>
        <x:v>0</x:v>
      </x:c>
    </x:row>
    <x:row r="257">
      <x:c r="A257" s="77"/>
      <x:c r="G257" s="74"/>
      <x:c r="H257" s="74" t="n">
        <x:f>IF(OR(B257="Opening Float",B257="Cash Top-up",B257="Adjustment In"),G257,IF(OR(B257="Expense Paid",B257="Cash Returned",B257="Adjustment Out"),-G257,0))</x:f>
        <x:v>0</x:v>
      </x:c>
    </x:row>
    <x:row r="258">
      <x:c r="A258" s="77"/>
      <x:c r="G258" s="74"/>
      <x:c r="H258" s="74" t="n">
        <x:f>IF(OR(B258="Opening Float",B258="Cash Top-up",B258="Adjustment In"),G258,IF(OR(B258="Expense Paid",B258="Cash Returned",B258="Adjustment Out"),-G258,0))</x:f>
        <x:v>0</x:v>
      </x:c>
    </x:row>
    <x:row r="259">
      <x:c r="A259" s="77"/>
      <x:c r="G259" s="74"/>
      <x:c r="H259" s="74" t="n">
        <x:f>IF(OR(B259="Opening Float",B259="Cash Top-up",B259="Adjustment In"),G259,IF(OR(B259="Expense Paid",B259="Cash Returned",B259="Adjustment Out"),-G259,0))</x:f>
        <x:v>0</x:v>
      </x:c>
    </x:row>
    <x:row r="260">
      <x:c r="A260" s="77"/>
      <x:c r="G260" s="74"/>
      <x:c r="H260" s="74" t="n">
        <x:f>IF(OR(B260="Opening Float",B260="Cash Top-up",B260="Adjustment In"),G260,IF(OR(B260="Expense Paid",B260="Cash Returned",B260="Adjustment Out"),-G260,0))</x:f>
        <x:v>0</x:v>
      </x:c>
    </x:row>
    <x:row r="261">
      <x:c r="A261" s="77"/>
      <x:c r="G261" s="74"/>
      <x:c r="H261" s="74" t="n">
        <x:f>IF(OR(B261="Opening Float",B261="Cash Top-up",B261="Adjustment In"),G261,IF(OR(B261="Expense Paid",B261="Cash Returned",B261="Adjustment Out"),-G261,0))</x:f>
        <x:v>0</x:v>
      </x:c>
    </x:row>
    <x:row r="262">
      <x:c r="A262" s="77"/>
      <x:c r="G262" s="74"/>
      <x:c r="H262" s="74" t="n">
        <x:f>IF(OR(B262="Opening Float",B262="Cash Top-up",B262="Adjustment In"),G262,IF(OR(B262="Expense Paid",B262="Cash Returned",B262="Adjustment Out"),-G262,0))</x:f>
        <x:v>0</x:v>
      </x:c>
    </x:row>
    <x:row r="263">
      <x:c r="A263" s="77"/>
      <x:c r="G263" s="74"/>
      <x:c r="H263" s="74" t="n">
        <x:f>IF(OR(B263="Opening Float",B263="Cash Top-up",B263="Adjustment In"),G263,IF(OR(B263="Expense Paid",B263="Cash Returned",B263="Adjustment Out"),-G263,0))</x:f>
        <x:v>0</x:v>
      </x:c>
    </x:row>
    <x:row r="264">
      <x:c r="A264" s="77"/>
      <x:c r="G264" s="74"/>
      <x:c r="H264" s="74" t="n">
        <x:f>IF(OR(B264="Opening Float",B264="Cash Top-up",B264="Adjustment In"),G264,IF(OR(B264="Expense Paid",B264="Cash Returned",B264="Adjustment Out"),-G264,0))</x:f>
        <x:v>0</x:v>
      </x:c>
    </x:row>
    <x:row r="265">
      <x:c r="A265" s="77"/>
      <x:c r="G265" s="74"/>
      <x:c r="H265" s="74" t="n">
        <x:f>IF(OR(B265="Opening Float",B265="Cash Top-up",B265="Adjustment In"),G265,IF(OR(B265="Expense Paid",B265="Cash Returned",B265="Adjustment Out"),-G265,0))</x:f>
        <x:v>0</x:v>
      </x:c>
    </x:row>
    <x:row r="266">
      <x:c r="A266" s="77"/>
      <x:c r="G266" s="74"/>
      <x:c r="H266" s="74" t="n">
        <x:f>IF(OR(B266="Opening Float",B266="Cash Top-up",B266="Adjustment In"),G266,IF(OR(B266="Expense Paid",B266="Cash Returned",B266="Adjustment Out"),-G266,0))</x:f>
        <x:v>0</x:v>
      </x:c>
    </x:row>
    <x:row r="267">
      <x:c r="A267" s="77"/>
      <x:c r="G267" s="74"/>
      <x:c r="H267" s="74" t="n">
        <x:f>IF(OR(B267="Opening Float",B267="Cash Top-up",B267="Adjustment In"),G267,IF(OR(B267="Expense Paid",B267="Cash Returned",B267="Adjustment Out"),-G267,0))</x:f>
        <x:v>0</x:v>
      </x:c>
    </x:row>
    <x:row r="268">
      <x:c r="A268" s="77"/>
      <x:c r="G268" s="74"/>
      <x:c r="H268" s="74" t="n">
        <x:f>IF(OR(B268="Opening Float",B268="Cash Top-up",B268="Adjustment In"),G268,IF(OR(B268="Expense Paid",B268="Cash Returned",B268="Adjustment Out"),-G268,0))</x:f>
        <x:v>0</x:v>
      </x:c>
    </x:row>
    <x:row r="269">
      <x:c r="A269" s="77"/>
      <x:c r="G269" s="74"/>
      <x:c r="H269" s="74" t="n">
        <x:f>IF(OR(B269="Opening Float",B269="Cash Top-up",B269="Adjustment In"),G269,IF(OR(B269="Expense Paid",B269="Cash Returned",B269="Adjustment Out"),-G269,0))</x:f>
        <x:v>0</x:v>
      </x:c>
    </x:row>
    <x:row r="270">
      <x:c r="A270" s="77"/>
      <x:c r="G270" s="74"/>
      <x:c r="H270" s="74" t="n">
        <x:f>IF(OR(B270="Opening Float",B270="Cash Top-up",B270="Adjustment In"),G270,IF(OR(B270="Expense Paid",B270="Cash Returned",B270="Adjustment Out"),-G270,0))</x:f>
        <x:v>0</x:v>
      </x:c>
    </x:row>
    <x:row r="271">
      <x:c r="A271" s="77"/>
      <x:c r="G271" s="74"/>
      <x:c r="H271" s="74" t="n">
        <x:f>IF(OR(B271="Opening Float",B271="Cash Top-up",B271="Adjustment In"),G271,IF(OR(B271="Expense Paid",B271="Cash Returned",B271="Adjustment Out"),-G271,0))</x:f>
        <x:v>0</x:v>
      </x:c>
    </x:row>
    <x:row r="272">
      <x:c r="A272" s="77"/>
      <x:c r="G272" s="74"/>
      <x:c r="H272" s="74" t="n">
        <x:f>IF(OR(B272="Opening Float",B272="Cash Top-up",B272="Adjustment In"),G272,IF(OR(B272="Expense Paid",B272="Cash Returned",B272="Adjustment Out"),-G272,0))</x:f>
        <x:v>0</x:v>
      </x:c>
    </x:row>
    <x:row r="273">
      <x:c r="A273" s="77"/>
      <x:c r="G273" s="74"/>
      <x:c r="H273" s="74" t="n">
        <x:f>IF(OR(B273="Opening Float",B273="Cash Top-up",B273="Adjustment In"),G273,IF(OR(B273="Expense Paid",B273="Cash Returned",B273="Adjustment Out"),-G273,0))</x:f>
        <x:v>0</x:v>
      </x:c>
    </x:row>
    <x:row r="274">
      <x:c r="A274" s="77"/>
      <x:c r="G274" s="74"/>
      <x:c r="H274" s="74" t="n">
        <x:f>IF(OR(B274="Opening Float",B274="Cash Top-up",B274="Adjustment In"),G274,IF(OR(B274="Expense Paid",B274="Cash Returned",B274="Adjustment Out"),-G274,0))</x:f>
        <x:v>0</x:v>
      </x:c>
    </x:row>
    <x:row r="275">
      <x:c r="A275" s="77"/>
      <x:c r="G275" s="74"/>
      <x:c r="H275" s="74" t="n">
        <x:f>IF(OR(B275="Opening Float",B275="Cash Top-up",B275="Adjustment In"),G275,IF(OR(B275="Expense Paid",B275="Cash Returned",B275="Adjustment Out"),-G275,0))</x:f>
        <x:v>0</x:v>
      </x:c>
    </x:row>
    <x:row r="276">
      <x:c r="A276" s="77"/>
      <x:c r="G276" s="74"/>
      <x:c r="H276" s="74" t="n">
        <x:f>IF(OR(B276="Opening Float",B276="Cash Top-up",B276="Adjustment In"),G276,IF(OR(B276="Expense Paid",B276="Cash Returned",B276="Adjustment Out"),-G276,0))</x:f>
        <x:v>0</x:v>
      </x:c>
    </x:row>
    <x:row r="277">
      <x:c r="A277" s="77"/>
      <x:c r="G277" s="74"/>
      <x:c r="H277" s="74" t="n">
        <x:f>IF(OR(B277="Opening Float",B277="Cash Top-up",B277="Adjustment In"),G277,IF(OR(B277="Expense Paid",B277="Cash Returned",B277="Adjustment Out"),-G277,0))</x:f>
        <x:v>0</x:v>
      </x:c>
    </x:row>
    <x:row r="278">
      <x:c r="A278" s="77"/>
      <x:c r="G278" s="74"/>
      <x:c r="H278" s="74" t="n">
        <x:f>IF(OR(B278="Opening Float",B278="Cash Top-up",B278="Adjustment In"),G278,IF(OR(B278="Expense Paid",B278="Cash Returned",B278="Adjustment Out"),-G278,0))</x:f>
        <x:v>0</x:v>
      </x:c>
    </x:row>
    <x:row r="279">
      <x:c r="A279" s="77"/>
      <x:c r="G279" s="74"/>
      <x:c r="H279" s="74" t="n">
        <x:f>IF(OR(B279="Opening Float",B279="Cash Top-up",B279="Adjustment In"),G279,IF(OR(B279="Expense Paid",B279="Cash Returned",B279="Adjustment Out"),-G279,0))</x:f>
        <x:v>0</x:v>
      </x:c>
    </x:row>
    <x:row r="280">
      <x:c r="A280" s="77"/>
      <x:c r="G280" s="74"/>
      <x:c r="H280" s="74" t="n">
        <x:f>IF(OR(B280="Opening Float",B280="Cash Top-up",B280="Adjustment In"),G280,IF(OR(B280="Expense Paid",B280="Cash Returned",B280="Adjustment Out"),-G280,0))</x:f>
        <x:v>0</x:v>
      </x:c>
    </x:row>
    <x:row r="281">
      <x:c r="A281" s="77"/>
      <x:c r="G281" s="74"/>
      <x:c r="H281" s="74" t="n">
        <x:f>IF(OR(B281="Opening Float",B281="Cash Top-up",B281="Adjustment In"),G281,IF(OR(B281="Expense Paid",B281="Cash Returned",B281="Adjustment Out"),-G281,0))</x:f>
        <x:v>0</x:v>
      </x:c>
    </x:row>
    <x:row r="282">
      <x:c r="A282" s="77"/>
      <x:c r="G282" s="74"/>
      <x:c r="H282" s="74" t="n">
        <x:f>IF(OR(B282="Opening Float",B282="Cash Top-up",B282="Adjustment In"),G282,IF(OR(B282="Expense Paid",B282="Cash Returned",B282="Adjustment Out"),-G282,0))</x:f>
        <x:v>0</x:v>
      </x:c>
    </x:row>
    <x:row r="283">
      <x:c r="A283" s="77"/>
      <x:c r="G283" s="74"/>
      <x:c r="H283" s="74" t="n">
        <x:f>IF(OR(B283="Opening Float",B283="Cash Top-up",B283="Adjustment In"),G283,IF(OR(B283="Expense Paid",B283="Cash Returned",B283="Adjustment Out"),-G283,0))</x:f>
        <x:v>0</x:v>
      </x:c>
    </x:row>
    <x:row r="284">
      <x:c r="A284" s="77"/>
      <x:c r="G284" s="74"/>
      <x:c r="H284" s="74" t="n">
        <x:f>IF(OR(B284="Opening Float",B284="Cash Top-up",B284="Adjustment In"),G284,IF(OR(B284="Expense Paid",B284="Cash Returned",B284="Adjustment Out"),-G284,0))</x:f>
        <x:v>0</x:v>
      </x:c>
    </x:row>
    <x:row r="285">
      <x:c r="A285" s="77"/>
      <x:c r="G285" s="74"/>
      <x:c r="H285" s="74" t="n">
        <x:f>IF(OR(B285="Opening Float",B285="Cash Top-up",B285="Adjustment In"),G285,IF(OR(B285="Expense Paid",B285="Cash Returned",B285="Adjustment Out"),-G285,0))</x:f>
        <x:v>0</x:v>
      </x:c>
    </x:row>
    <x:row r="286">
      <x:c r="A286" s="77"/>
      <x:c r="G286" s="74"/>
      <x:c r="H286" s="74" t="n">
        <x:f>IF(OR(B286="Opening Float",B286="Cash Top-up",B286="Adjustment In"),G286,IF(OR(B286="Expense Paid",B286="Cash Returned",B286="Adjustment Out"),-G286,0))</x:f>
        <x:v>0</x:v>
      </x:c>
    </x:row>
    <x:row r="287">
      <x:c r="A287" s="77"/>
      <x:c r="G287" s="74"/>
      <x:c r="H287" s="74" t="n">
        <x:f>IF(OR(B287="Opening Float",B287="Cash Top-up",B287="Adjustment In"),G287,IF(OR(B287="Expense Paid",B287="Cash Returned",B287="Adjustment Out"),-G287,0))</x:f>
        <x:v>0</x:v>
      </x:c>
    </x:row>
    <x:row r="288">
      <x:c r="A288" s="77"/>
      <x:c r="G288" s="74"/>
      <x:c r="H288" s="74" t="n">
        <x:f>IF(OR(B288="Opening Float",B288="Cash Top-up",B288="Adjustment In"),G288,IF(OR(B288="Expense Paid",B288="Cash Returned",B288="Adjustment Out"),-G288,0))</x:f>
        <x:v>0</x:v>
      </x:c>
    </x:row>
    <x:row r="289">
      <x:c r="A289" s="77"/>
      <x:c r="G289" s="74"/>
      <x:c r="H289" s="74" t="n">
        <x:f>IF(OR(B289="Opening Float",B289="Cash Top-up",B289="Adjustment In"),G289,IF(OR(B289="Expense Paid",B289="Cash Returned",B289="Adjustment Out"),-G289,0))</x:f>
        <x:v>0</x:v>
      </x:c>
    </x:row>
    <x:row r="290">
      <x:c r="A290" s="77"/>
      <x:c r="G290" s="74"/>
      <x:c r="H290" s="74" t="n">
        <x:f>IF(OR(B290="Opening Float",B290="Cash Top-up",B290="Adjustment In"),G290,IF(OR(B290="Expense Paid",B290="Cash Returned",B290="Adjustment Out"),-G290,0))</x:f>
        <x:v>0</x:v>
      </x:c>
    </x:row>
    <x:row r="291">
      <x:c r="A291" s="77"/>
      <x:c r="G291" s="74"/>
      <x:c r="H291" s="74" t="n">
        <x:f>IF(OR(B291="Opening Float",B291="Cash Top-up",B291="Adjustment In"),G291,IF(OR(B291="Expense Paid",B291="Cash Returned",B291="Adjustment Out"),-G291,0))</x:f>
        <x:v>0</x:v>
      </x:c>
    </x:row>
    <x:row r="292">
      <x:c r="A292" s="77"/>
      <x:c r="G292" s="74"/>
      <x:c r="H292" s="74" t="n">
        <x:f>IF(OR(B292="Opening Float",B292="Cash Top-up",B292="Adjustment In"),G292,IF(OR(B292="Expense Paid",B292="Cash Returned",B292="Adjustment Out"),-G292,0))</x:f>
        <x:v>0</x:v>
      </x:c>
    </x:row>
    <x:row r="293">
      <x:c r="A293" s="77"/>
      <x:c r="G293" s="74"/>
      <x:c r="H293" s="74" t="n">
        <x:f>IF(OR(B293="Opening Float",B293="Cash Top-up",B293="Adjustment In"),G293,IF(OR(B293="Expense Paid",B293="Cash Returned",B293="Adjustment Out"),-G293,0))</x:f>
        <x:v>0</x:v>
      </x:c>
    </x:row>
    <x:row r="294">
      <x:c r="A294" s="77"/>
      <x:c r="G294" s="74"/>
      <x:c r="H294" s="74" t="n">
        <x:f>IF(OR(B294="Opening Float",B294="Cash Top-up",B294="Adjustment In"),G294,IF(OR(B294="Expense Paid",B294="Cash Returned",B294="Adjustment Out"),-G294,0))</x:f>
        <x:v>0</x:v>
      </x:c>
    </x:row>
    <x:row r="295">
      <x:c r="A295" s="77"/>
      <x:c r="G295" s="74"/>
      <x:c r="H295" s="74" t="n">
        <x:f>IF(OR(B295="Opening Float",B295="Cash Top-up",B295="Adjustment In"),G295,IF(OR(B295="Expense Paid",B295="Cash Returned",B295="Adjustment Out"),-G295,0))</x:f>
        <x:v>0</x:v>
      </x:c>
    </x:row>
    <x:row r="296">
      <x:c r="A296" s="77"/>
      <x:c r="G296" s="74"/>
      <x:c r="H296" s="74" t="n">
        <x:f>IF(OR(B296="Opening Float",B296="Cash Top-up",B296="Adjustment In"),G296,IF(OR(B296="Expense Paid",B296="Cash Returned",B296="Adjustment Out"),-G296,0))</x:f>
        <x:v>0</x:v>
      </x:c>
    </x:row>
    <x:row r="297">
      <x:c r="A297" s="77"/>
      <x:c r="G297" s="74"/>
      <x:c r="H297" s="74" t="n">
        <x:f>IF(OR(B297="Opening Float",B297="Cash Top-up",B297="Adjustment In"),G297,IF(OR(B297="Expense Paid",B297="Cash Returned",B297="Adjustment Out"),-G297,0))</x:f>
        <x:v>0</x:v>
      </x:c>
    </x:row>
    <x:row r="298">
      <x:c r="A298" s="77"/>
      <x:c r="G298" s="74"/>
      <x:c r="H298" s="74" t="n">
        <x:f>IF(OR(B298="Opening Float",B298="Cash Top-up",B298="Adjustment In"),G298,IF(OR(B298="Expense Paid",B298="Cash Returned",B298="Adjustment Out"),-G298,0))</x:f>
        <x:v>0</x:v>
      </x:c>
    </x:row>
    <x:row r="299">
      <x:c r="A299" s="77"/>
      <x:c r="G299" s="74"/>
      <x:c r="H299" s="74" t="n">
        <x:f>IF(OR(B299="Opening Float",B299="Cash Top-up",B299="Adjustment In"),G299,IF(OR(B299="Expense Paid",B299="Cash Returned",B299="Adjustment Out"),-G299,0))</x:f>
        <x:v>0</x:v>
      </x:c>
    </x:row>
    <x:row r="300">
      <x:c r="A300" s="77"/>
      <x:c r="G300" s="74"/>
      <x:c r="H300" s="74" t="n">
        <x:f>IF(OR(B300="Opening Float",B300="Cash Top-up",B300="Adjustment In"),G300,IF(OR(B300="Expense Paid",B300="Cash Returned",B300="Adjustment Out"),-G300,0))</x:f>
        <x:v>0</x:v>
      </x:c>
    </x:row>
  </x:sheetData>
  <x:dataValidations count="4">
    <x:dataValidation type="list" sqref="B2:B300">
      <x:formula1>'Lists'!$F$2:$F$7</x:formula1>
    </x:dataValidation>
    <x:dataValidation type="list" sqref="C2:C300">
      <x:formula1>'Lists'!$A$2:$A$12</x:formula1>
    </x:dataValidation>
    <x:dataValidation type="list" sqref="D2:D300">
      <x:formula1>'Lists'!$B$2:$B$46</x:formula1>
    </x:dataValidation>
    <x:dataValidation type="list" sqref="F2:F300">
      <x:formula1>'Lists'!$D$2:$D$4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.5600004196167" hidden="0" customWidth="1"/>
    <x:col min="2" max="2" width="11.5600004196167" hidden="0" customWidth="1"/>
    <x:col min="3" max="3" width="17.559999465942383" hidden="0" customWidth="1"/>
    <x:col min="4" max="4" width="5.110000133514404" hidden="0" customWidth="1"/>
  </x:cols>
  <x:sheetData>
    <x:row r="1">
      <x:c r="A1" s="6" t="str">
        <x:v>Budget Month</x:v>
      </x:c>
      <x:c r="B1" s="6" t="str">
        <x:v>Business Area</x:v>
      </x:c>
      <x:c r="C1" s="6" t="str">
        <x:v>Budget Amount (GHS)</x:v>
      </x:c>
      <x:c r="D1" s="6" t="str">
        <x:v>Notes</x:v>
      </x:c>
    </x:row>
    <x:row r="2">
      <x:c r="A2" s="76"/>
      <x:c r="C2" s="74"/>
    </x:row>
    <x:row r="3">
      <x:c r="A3" s="76"/>
      <x:c r="C3" s="74"/>
    </x:row>
    <x:row r="4">
      <x:c r="A4" s="76"/>
      <x:c r="C4" s="74"/>
    </x:row>
    <x:row r="5">
      <x:c r="A5" s="76"/>
      <x:c r="C5" s="74"/>
    </x:row>
    <x:row r="6">
      <x:c r="A6" s="76"/>
      <x:c r="C6" s="74"/>
    </x:row>
    <x:row r="7">
      <x:c r="A7" s="76"/>
      <x:c r="C7" s="74"/>
    </x:row>
    <x:row r="8">
      <x:c r="A8" s="76"/>
      <x:c r="C8" s="74"/>
    </x:row>
    <x:row r="9">
      <x:c r="A9" s="76"/>
      <x:c r="C9" s="74"/>
    </x:row>
    <x:row r="10">
      <x:c r="A10" s="76"/>
      <x:c r="C10" s="74"/>
    </x:row>
    <x:row r="11">
      <x:c r="A11" s="76"/>
      <x:c r="C11" s="74"/>
    </x:row>
    <x:row r="12">
      <x:c r="A12" s="76"/>
      <x:c r="C12" s="74"/>
    </x:row>
    <x:row r="13">
      <x:c r="A13" s="76"/>
      <x:c r="C13" s="74"/>
    </x:row>
    <x:row r="14">
      <x:c r="A14" s="76"/>
      <x:c r="C14" s="74"/>
    </x:row>
    <x:row r="15">
      <x:c r="A15" s="76"/>
      <x:c r="C15" s="74"/>
    </x:row>
    <x:row r="16">
      <x:c r="A16" s="76"/>
      <x:c r="C16" s="74"/>
    </x:row>
    <x:row r="17">
      <x:c r="A17" s="76"/>
      <x:c r="C17" s="74"/>
    </x:row>
    <x:row r="18">
      <x:c r="A18" s="76"/>
      <x:c r="C18" s="74"/>
    </x:row>
    <x:row r="19">
      <x:c r="A19" s="76"/>
      <x:c r="C19" s="74"/>
    </x:row>
    <x:row r="20">
      <x:c r="A20" s="76"/>
      <x:c r="C20" s="74"/>
    </x:row>
    <x:row r="21">
      <x:c r="A21" s="76"/>
      <x:c r="C21" s="74"/>
    </x:row>
    <x:row r="22">
      <x:c r="A22" s="76"/>
      <x:c r="C22" s="74"/>
    </x:row>
    <x:row r="23">
      <x:c r="A23" s="76"/>
      <x:c r="C23" s="74"/>
    </x:row>
    <x:row r="24">
      <x:c r="A24" s="76"/>
      <x:c r="C24" s="74"/>
    </x:row>
    <x:row r="25">
      <x:c r="A25" s="76"/>
      <x:c r="C25" s="74"/>
    </x:row>
    <x:row r="26">
      <x:c r="A26" s="76"/>
      <x:c r="C26" s="74"/>
    </x:row>
    <x:row r="27">
      <x:c r="A27" s="76"/>
      <x:c r="C27" s="74"/>
    </x:row>
    <x:row r="28">
      <x:c r="A28" s="76"/>
      <x:c r="C28" s="74"/>
    </x:row>
    <x:row r="29">
      <x:c r="A29" s="76"/>
      <x:c r="C29" s="74"/>
    </x:row>
    <x:row r="30">
      <x:c r="A30" s="76"/>
      <x:c r="C30" s="74"/>
    </x:row>
    <x:row r="31">
      <x:c r="A31" s="76"/>
      <x:c r="C31" s="74"/>
    </x:row>
    <x:row r="32">
      <x:c r="A32" s="76"/>
      <x:c r="C32" s="74"/>
    </x:row>
    <x:row r="33">
      <x:c r="A33" s="76"/>
      <x:c r="C33" s="74"/>
    </x:row>
    <x:row r="34">
      <x:c r="A34" s="76"/>
      <x:c r="C34" s="74"/>
    </x:row>
    <x:row r="35">
      <x:c r="A35" s="76"/>
      <x:c r="C35" s="74"/>
    </x:row>
    <x:row r="36">
      <x:c r="A36" s="76"/>
      <x:c r="C36" s="74"/>
    </x:row>
    <x:row r="37">
      <x:c r="A37" s="76"/>
      <x:c r="C37" s="74"/>
    </x:row>
    <x:row r="38">
      <x:c r="A38" s="76"/>
      <x:c r="C38" s="74"/>
    </x:row>
    <x:row r="39">
      <x:c r="A39" s="76"/>
      <x:c r="C39" s="74"/>
    </x:row>
    <x:row r="40">
      <x:c r="A40" s="76"/>
      <x:c r="C40" s="74"/>
    </x:row>
    <x:row r="41">
      <x:c r="A41" s="76"/>
      <x:c r="C41" s="74"/>
    </x:row>
    <x:row r="42">
      <x:c r="A42" s="76"/>
      <x:c r="C42" s="74"/>
    </x:row>
    <x:row r="43">
      <x:c r="A43" s="76"/>
      <x:c r="C43" s="74"/>
    </x:row>
    <x:row r="44">
      <x:c r="A44" s="76"/>
      <x:c r="C44" s="74"/>
    </x:row>
    <x:row r="45">
      <x:c r="A45" s="76"/>
      <x:c r="C45" s="74"/>
    </x:row>
    <x:row r="46">
      <x:c r="A46" s="76"/>
      <x:c r="C46" s="74"/>
    </x:row>
    <x:row r="47">
      <x:c r="A47" s="76"/>
      <x:c r="C47" s="74"/>
    </x:row>
    <x:row r="48">
      <x:c r="A48" s="76"/>
      <x:c r="C48" s="74"/>
    </x:row>
    <x:row r="49">
      <x:c r="A49" s="76"/>
      <x:c r="C49" s="74"/>
    </x:row>
    <x:row r="50">
      <x:c r="A50" s="76"/>
      <x:c r="C50" s="74"/>
    </x:row>
    <x:row r="51">
      <x:c r="A51" s="76"/>
      <x:c r="C51" s="74"/>
    </x:row>
    <x:row r="52">
      <x:c r="A52" s="76"/>
      <x:c r="C52" s="74"/>
    </x:row>
    <x:row r="53">
      <x:c r="A53" s="76"/>
      <x:c r="C53" s="74"/>
    </x:row>
    <x:row r="54">
      <x:c r="A54" s="76"/>
      <x:c r="C54" s="74"/>
    </x:row>
    <x:row r="55">
      <x:c r="A55" s="76"/>
      <x:c r="C55" s="74"/>
    </x:row>
    <x:row r="56">
      <x:c r="A56" s="76"/>
      <x:c r="C56" s="74"/>
    </x:row>
    <x:row r="57">
      <x:c r="A57" s="76"/>
      <x:c r="C57" s="74"/>
    </x:row>
    <x:row r="58">
      <x:c r="A58" s="76"/>
      <x:c r="C58" s="74"/>
    </x:row>
    <x:row r="59">
      <x:c r="A59" s="76"/>
      <x:c r="C59" s="74"/>
    </x:row>
    <x:row r="60">
      <x:c r="A60" s="76"/>
      <x:c r="C60" s="74"/>
    </x:row>
    <x:row r="61">
      <x:c r="A61" s="76"/>
      <x:c r="C61" s="74"/>
    </x:row>
    <x:row r="62">
      <x:c r="A62" s="76"/>
      <x:c r="C62" s="74"/>
    </x:row>
    <x:row r="63">
      <x:c r="A63" s="76"/>
      <x:c r="C63" s="74"/>
    </x:row>
    <x:row r="64">
      <x:c r="A64" s="76"/>
      <x:c r="C64" s="74"/>
    </x:row>
    <x:row r="65">
      <x:c r="A65" s="76"/>
      <x:c r="C65" s="74"/>
    </x:row>
    <x:row r="66">
      <x:c r="A66" s="76"/>
      <x:c r="C66" s="74"/>
    </x:row>
    <x:row r="67">
      <x:c r="A67" s="76"/>
      <x:c r="C67" s="74"/>
    </x:row>
    <x:row r="68">
      <x:c r="A68" s="76"/>
      <x:c r="C68" s="74"/>
    </x:row>
    <x:row r="69">
      <x:c r="A69" s="76"/>
      <x:c r="C69" s="74"/>
    </x:row>
    <x:row r="70">
      <x:c r="A70" s="76"/>
      <x:c r="C70" s="74"/>
    </x:row>
    <x:row r="71">
      <x:c r="A71" s="76"/>
      <x:c r="C71" s="74"/>
    </x:row>
    <x:row r="72">
      <x:c r="A72" s="76"/>
      <x:c r="C72" s="74"/>
    </x:row>
    <x:row r="73">
      <x:c r="A73" s="76"/>
      <x:c r="C73" s="74"/>
    </x:row>
    <x:row r="74">
      <x:c r="A74" s="76"/>
      <x:c r="C74" s="74"/>
    </x:row>
    <x:row r="75">
      <x:c r="A75" s="76"/>
      <x:c r="C75" s="74"/>
    </x:row>
    <x:row r="76">
      <x:c r="A76" s="76"/>
      <x:c r="C76" s="74"/>
    </x:row>
    <x:row r="77">
      <x:c r="A77" s="76"/>
      <x:c r="C77" s="74"/>
    </x:row>
    <x:row r="78">
      <x:c r="A78" s="76"/>
      <x:c r="C78" s="74"/>
    </x:row>
    <x:row r="79">
      <x:c r="A79" s="76"/>
      <x:c r="C79" s="74"/>
    </x:row>
    <x:row r="80">
      <x:c r="A80" s="76"/>
      <x:c r="C80" s="74"/>
    </x:row>
    <x:row r="81">
      <x:c r="A81" s="76"/>
      <x:c r="C81" s="74"/>
    </x:row>
    <x:row r="82">
      <x:c r="A82" s="76"/>
      <x:c r="C82" s="74"/>
    </x:row>
    <x:row r="83">
      <x:c r="A83" s="76"/>
      <x:c r="C83" s="74"/>
    </x:row>
    <x:row r="84">
      <x:c r="A84" s="76"/>
      <x:c r="C84" s="74"/>
    </x:row>
    <x:row r="85">
      <x:c r="A85" s="76"/>
      <x:c r="C85" s="74"/>
    </x:row>
    <x:row r="86">
      <x:c r="A86" s="76"/>
      <x:c r="C86" s="74"/>
    </x:row>
    <x:row r="87">
      <x:c r="A87" s="76"/>
      <x:c r="C87" s="74"/>
    </x:row>
    <x:row r="88">
      <x:c r="A88" s="76"/>
      <x:c r="C88" s="74"/>
    </x:row>
    <x:row r="89">
      <x:c r="A89" s="76"/>
      <x:c r="C89" s="74"/>
    </x:row>
    <x:row r="90">
      <x:c r="A90" s="76"/>
      <x:c r="C90" s="74"/>
    </x:row>
    <x:row r="91">
      <x:c r="A91" s="76"/>
      <x:c r="C91" s="74"/>
    </x:row>
    <x:row r="92">
      <x:c r="A92" s="76"/>
      <x:c r="C92" s="74"/>
    </x:row>
    <x:row r="93">
      <x:c r="A93" s="76"/>
      <x:c r="C93" s="74"/>
    </x:row>
    <x:row r="94">
      <x:c r="A94" s="76"/>
      <x:c r="C94" s="74"/>
    </x:row>
    <x:row r="95">
      <x:c r="A95" s="76"/>
      <x:c r="C95" s="74"/>
    </x:row>
    <x:row r="96">
      <x:c r="A96" s="76"/>
      <x:c r="C96" s="74"/>
    </x:row>
    <x:row r="97">
      <x:c r="A97" s="76"/>
      <x:c r="C97" s="74"/>
    </x:row>
    <x:row r="98">
      <x:c r="A98" s="76"/>
      <x:c r="C98" s="74"/>
    </x:row>
    <x:row r="99">
      <x:c r="A99" s="76"/>
      <x:c r="C99" s="74"/>
    </x:row>
    <x:row r="100">
      <x:c r="A100" s="76"/>
      <x:c r="C100" s="74"/>
    </x:row>
    <x:row r="101">
      <x:c r="A101" s="76"/>
      <x:c r="C101" s="74"/>
    </x:row>
    <x:row r="102">
      <x:c r="A102" s="76"/>
      <x:c r="C102" s="74"/>
    </x:row>
    <x:row r="103">
      <x:c r="A103" s="76"/>
      <x:c r="C103" s="74"/>
    </x:row>
    <x:row r="104">
      <x:c r="A104" s="76"/>
      <x:c r="C104" s="74"/>
    </x:row>
    <x:row r="105">
      <x:c r="A105" s="76"/>
      <x:c r="C105" s="74"/>
    </x:row>
    <x:row r="106">
      <x:c r="A106" s="76"/>
      <x:c r="C106" s="74"/>
    </x:row>
    <x:row r="107">
      <x:c r="A107" s="76"/>
      <x:c r="C107" s="74"/>
    </x:row>
    <x:row r="108">
      <x:c r="A108" s="76"/>
      <x:c r="C108" s="74"/>
    </x:row>
    <x:row r="109">
      <x:c r="A109" s="76"/>
      <x:c r="C109" s="74"/>
    </x:row>
    <x:row r="110">
      <x:c r="A110" s="76"/>
      <x:c r="C110" s="74"/>
    </x:row>
    <x:row r="111">
      <x:c r="A111" s="76"/>
      <x:c r="C111" s="74"/>
    </x:row>
    <x:row r="112">
      <x:c r="A112" s="76"/>
      <x:c r="C112" s="74"/>
    </x:row>
    <x:row r="113">
      <x:c r="A113" s="76"/>
      <x:c r="C113" s="74"/>
    </x:row>
    <x:row r="114">
      <x:c r="A114" s="76"/>
      <x:c r="C114" s="74"/>
    </x:row>
    <x:row r="115">
      <x:c r="A115" s="76"/>
      <x:c r="C115" s="74"/>
    </x:row>
    <x:row r="116">
      <x:c r="A116" s="76"/>
      <x:c r="C116" s="74"/>
    </x:row>
    <x:row r="117">
      <x:c r="A117" s="76"/>
      <x:c r="C117" s="74"/>
    </x:row>
    <x:row r="118">
      <x:c r="A118" s="76"/>
      <x:c r="C118" s="74"/>
    </x:row>
    <x:row r="119">
      <x:c r="A119" s="76"/>
      <x:c r="C119" s="74"/>
    </x:row>
    <x:row r="120">
      <x:c r="A120" s="76"/>
      <x:c r="C120" s="74"/>
    </x:row>
    <x:row r="121">
      <x:c r="A121" s="76"/>
      <x:c r="C121" s="74"/>
    </x:row>
    <x:row r="122">
      <x:c r="A122" s="76"/>
      <x:c r="C122" s="74"/>
    </x:row>
    <x:row r="123">
      <x:c r="A123" s="76"/>
      <x:c r="C123" s="74"/>
    </x:row>
    <x:row r="124">
      <x:c r="A124" s="76"/>
      <x:c r="C124" s="74"/>
    </x:row>
    <x:row r="125">
      <x:c r="A125" s="76"/>
      <x:c r="C125" s="74"/>
    </x:row>
    <x:row r="126">
      <x:c r="A126" s="76"/>
      <x:c r="C126" s="74"/>
    </x:row>
    <x:row r="127">
      <x:c r="A127" s="76"/>
      <x:c r="C127" s="74"/>
    </x:row>
    <x:row r="128">
      <x:c r="A128" s="76"/>
      <x:c r="C128" s="74"/>
    </x:row>
    <x:row r="129">
      <x:c r="A129" s="76"/>
      <x:c r="C129" s="74"/>
    </x:row>
    <x:row r="130">
      <x:c r="A130" s="76"/>
      <x:c r="C130" s="74"/>
    </x:row>
    <x:row r="131">
      <x:c r="A131" s="76"/>
      <x:c r="C131" s="74"/>
    </x:row>
    <x:row r="132">
      <x:c r="A132" s="76"/>
      <x:c r="C132" s="74"/>
    </x:row>
    <x:row r="133">
      <x:c r="A133" s="76"/>
      <x:c r="C133" s="74"/>
    </x:row>
    <x:row r="134">
      <x:c r="A134" s="76"/>
      <x:c r="C134" s="74"/>
    </x:row>
    <x:row r="135">
      <x:c r="A135" s="76"/>
      <x:c r="C135" s="74"/>
    </x:row>
    <x:row r="136">
      <x:c r="A136" s="76"/>
      <x:c r="C136" s="74"/>
    </x:row>
    <x:row r="137">
      <x:c r="A137" s="76"/>
      <x:c r="C137" s="74"/>
    </x:row>
    <x:row r="138">
      <x:c r="A138" s="76"/>
      <x:c r="C138" s="74"/>
    </x:row>
    <x:row r="139">
      <x:c r="A139" s="76"/>
      <x:c r="C139" s="74"/>
    </x:row>
    <x:row r="140">
      <x:c r="A140" s="76"/>
      <x:c r="C140" s="74"/>
    </x:row>
    <x:row r="141">
      <x:c r="A141" s="76"/>
      <x:c r="C141" s="74"/>
    </x:row>
    <x:row r="142">
      <x:c r="A142" s="76"/>
      <x:c r="C142" s="74"/>
    </x:row>
    <x:row r="143">
      <x:c r="A143" s="76"/>
      <x:c r="C143" s="74"/>
    </x:row>
    <x:row r="144">
      <x:c r="A144" s="76"/>
      <x:c r="C144" s="74"/>
    </x:row>
    <x:row r="145">
      <x:c r="A145" s="76"/>
      <x:c r="C145" s="74"/>
    </x:row>
    <x:row r="146">
      <x:c r="A146" s="76"/>
      <x:c r="C146" s="74"/>
    </x:row>
    <x:row r="147">
      <x:c r="A147" s="76"/>
      <x:c r="C147" s="74"/>
    </x:row>
    <x:row r="148">
      <x:c r="A148" s="76"/>
      <x:c r="C148" s="74"/>
    </x:row>
    <x:row r="149">
      <x:c r="A149" s="76"/>
      <x:c r="C149" s="74"/>
    </x:row>
    <x:row r="150">
      <x:c r="A150" s="76"/>
      <x:c r="C150" s="74"/>
    </x:row>
    <x:row r="151">
      <x:c r="A151" s="76"/>
      <x:c r="C151" s="74"/>
    </x:row>
    <x:row r="152">
      <x:c r="A152" s="76"/>
      <x:c r="C152" s="74"/>
    </x:row>
    <x:row r="153">
      <x:c r="A153" s="76"/>
      <x:c r="C153" s="74"/>
    </x:row>
    <x:row r="154">
      <x:c r="A154" s="76"/>
      <x:c r="C154" s="74"/>
    </x:row>
    <x:row r="155">
      <x:c r="A155" s="76"/>
      <x:c r="C155" s="74"/>
    </x:row>
    <x:row r="156">
      <x:c r="A156" s="76"/>
      <x:c r="C156" s="74"/>
    </x:row>
    <x:row r="157">
      <x:c r="A157" s="76"/>
      <x:c r="C157" s="74"/>
    </x:row>
    <x:row r="158">
      <x:c r="A158" s="76"/>
      <x:c r="C158" s="74"/>
    </x:row>
    <x:row r="159">
      <x:c r="A159" s="76"/>
      <x:c r="C159" s="74"/>
    </x:row>
    <x:row r="160">
      <x:c r="A160" s="76"/>
      <x:c r="C160" s="74"/>
    </x:row>
    <x:row r="161">
      <x:c r="A161" s="76"/>
      <x:c r="C161" s="74"/>
    </x:row>
    <x:row r="162">
      <x:c r="A162" s="76"/>
      <x:c r="C162" s="74"/>
    </x:row>
    <x:row r="163">
      <x:c r="A163" s="76"/>
      <x:c r="C163" s="74"/>
    </x:row>
    <x:row r="164">
      <x:c r="A164" s="76"/>
      <x:c r="C164" s="74"/>
    </x:row>
    <x:row r="165">
      <x:c r="A165" s="76"/>
      <x:c r="C165" s="74"/>
    </x:row>
    <x:row r="166">
      <x:c r="A166" s="76"/>
      <x:c r="C166" s="74"/>
    </x:row>
    <x:row r="167">
      <x:c r="A167" s="76"/>
      <x:c r="C167" s="74"/>
    </x:row>
    <x:row r="168">
      <x:c r="A168" s="76"/>
      <x:c r="C168" s="74"/>
    </x:row>
    <x:row r="169">
      <x:c r="A169" s="76"/>
      <x:c r="C169" s="74"/>
    </x:row>
    <x:row r="170">
      <x:c r="A170" s="76"/>
      <x:c r="C170" s="74"/>
    </x:row>
    <x:row r="171">
      <x:c r="A171" s="76"/>
      <x:c r="C171" s="74"/>
    </x:row>
    <x:row r="172">
      <x:c r="A172" s="76"/>
      <x:c r="C172" s="74"/>
    </x:row>
    <x:row r="173">
      <x:c r="A173" s="76"/>
      <x:c r="C173" s="74"/>
    </x:row>
    <x:row r="174">
      <x:c r="A174" s="76"/>
      <x:c r="C174" s="74"/>
    </x:row>
    <x:row r="175">
      <x:c r="A175" s="76"/>
      <x:c r="C175" s="74"/>
    </x:row>
    <x:row r="176">
      <x:c r="A176" s="76"/>
      <x:c r="C176" s="74"/>
    </x:row>
    <x:row r="177">
      <x:c r="A177" s="76"/>
      <x:c r="C177" s="74"/>
    </x:row>
    <x:row r="178">
      <x:c r="A178" s="76"/>
      <x:c r="C178" s="74"/>
    </x:row>
    <x:row r="179">
      <x:c r="A179" s="76"/>
      <x:c r="C179" s="74"/>
    </x:row>
    <x:row r="180">
      <x:c r="A180" s="76"/>
      <x:c r="C180" s="74"/>
    </x:row>
    <x:row r="181">
      <x:c r="A181" s="76"/>
      <x:c r="C181" s="74"/>
    </x:row>
    <x:row r="182">
      <x:c r="A182" s="76"/>
      <x:c r="C182" s="74"/>
    </x:row>
    <x:row r="183">
      <x:c r="A183" s="76"/>
      <x:c r="C183" s="74"/>
    </x:row>
    <x:row r="184">
      <x:c r="A184" s="76"/>
      <x:c r="C184" s="74"/>
    </x:row>
    <x:row r="185">
      <x:c r="A185" s="76"/>
      <x:c r="C185" s="74"/>
    </x:row>
    <x:row r="186">
      <x:c r="A186" s="76"/>
      <x:c r="C186" s="74"/>
    </x:row>
    <x:row r="187">
      <x:c r="A187" s="76"/>
      <x:c r="C187" s="74"/>
    </x:row>
    <x:row r="188">
      <x:c r="A188" s="76"/>
      <x:c r="C188" s="74"/>
    </x:row>
    <x:row r="189">
      <x:c r="A189" s="76"/>
      <x:c r="C189" s="74"/>
    </x:row>
    <x:row r="190">
      <x:c r="A190" s="76"/>
      <x:c r="C190" s="74"/>
    </x:row>
    <x:row r="191">
      <x:c r="A191" s="76"/>
      <x:c r="C191" s="74"/>
    </x:row>
    <x:row r="192">
      <x:c r="A192" s="76"/>
      <x:c r="C192" s="74"/>
    </x:row>
    <x:row r="193">
      <x:c r="A193" s="76"/>
      <x:c r="C193" s="74"/>
    </x:row>
    <x:row r="194">
      <x:c r="A194" s="76"/>
      <x:c r="C194" s="74"/>
    </x:row>
    <x:row r="195">
      <x:c r="A195" s="76"/>
      <x:c r="C195" s="74"/>
    </x:row>
    <x:row r="196">
      <x:c r="A196" s="76"/>
      <x:c r="C196" s="74"/>
    </x:row>
    <x:row r="197">
      <x:c r="A197" s="76"/>
      <x:c r="C197" s="74"/>
    </x:row>
    <x:row r="198">
      <x:c r="A198" s="76"/>
      <x:c r="C198" s="74"/>
    </x:row>
    <x:row r="199">
      <x:c r="A199" s="76"/>
      <x:c r="C199" s="74"/>
    </x:row>
    <x:row r="200">
      <x:c r="A200" s="76"/>
      <x:c r="C200" s="74"/>
    </x:row>
    <x:row r="201">
      <x:c r="A201" s="76"/>
      <x:c r="C201" s="74"/>
    </x:row>
    <x:row r="202">
      <x:c r="A202" s="76"/>
      <x:c r="C202" s="74"/>
    </x:row>
    <x:row r="203">
      <x:c r="A203" s="76"/>
      <x:c r="C203" s="74"/>
    </x:row>
    <x:row r="204">
      <x:c r="A204" s="76"/>
      <x:c r="C204" s="74"/>
    </x:row>
    <x:row r="205">
      <x:c r="A205" s="76"/>
      <x:c r="C205" s="74"/>
    </x:row>
    <x:row r="206">
      <x:c r="A206" s="76"/>
      <x:c r="C206" s="74"/>
    </x:row>
    <x:row r="207">
      <x:c r="A207" s="76"/>
      <x:c r="C207" s="74"/>
    </x:row>
    <x:row r="208">
      <x:c r="A208" s="76"/>
      <x:c r="C208" s="74"/>
    </x:row>
    <x:row r="209">
      <x:c r="A209" s="76"/>
      <x:c r="C209" s="74"/>
    </x:row>
    <x:row r="210">
      <x:c r="A210" s="76"/>
      <x:c r="C210" s="74"/>
    </x:row>
    <x:row r="211">
      <x:c r="A211" s="76"/>
      <x:c r="C211" s="74"/>
    </x:row>
    <x:row r="212">
      <x:c r="A212" s="76"/>
      <x:c r="C212" s="74"/>
    </x:row>
    <x:row r="213">
      <x:c r="A213" s="76"/>
      <x:c r="C213" s="74"/>
    </x:row>
    <x:row r="214">
      <x:c r="A214" s="76"/>
      <x:c r="C214" s="74"/>
    </x:row>
    <x:row r="215">
      <x:c r="A215" s="76"/>
      <x:c r="C215" s="74"/>
    </x:row>
    <x:row r="216">
      <x:c r="A216" s="76"/>
      <x:c r="C216" s="74"/>
    </x:row>
    <x:row r="217">
      <x:c r="A217" s="76"/>
      <x:c r="C217" s="74"/>
    </x:row>
    <x:row r="218">
      <x:c r="A218" s="76"/>
      <x:c r="C218" s="74"/>
    </x:row>
    <x:row r="219">
      <x:c r="A219" s="76"/>
      <x:c r="C219" s="74"/>
    </x:row>
    <x:row r="220">
      <x:c r="A220" s="76"/>
      <x:c r="C220" s="74"/>
    </x:row>
    <x:row r="221">
      <x:c r="A221" s="76"/>
      <x:c r="C221" s="74"/>
    </x:row>
    <x:row r="222">
      <x:c r="A222" s="76"/>
      <x:c r="C222" s="74"/>
    </x:row>
    <x:row r="223">
      <x:c r="A223" s="76"/>
      <x:c r="C223" s="74"/>
    </x:row>
    <x:row r="224">
      <x:c r="A224" s="76"/>
      <x:c r="C224" s="74"/>
    </x:row>
    <x:row r="225">
      <x:c r="A225" s="76"/>
      <x:c r="C225" s="74"/>
    </x:row>
    <x:row r="226">
      <x:c r="A226" s="76"/>
      <x:c r="C226" s="74"/>
    </x:row>
    <x:row r="227">
      <x:c r="A227" s="76"/>
      <x:c r="C227" s="74"/>
    </x:row>
    <x:row r="228">
      <x:c r="A228" s="76"/>
      <x:c r="C228" s="74"/>
    </x:row>
    <x:row r="229">
      <x:c r="A229" s="76"/>
      <x:c r="C229" s="74"/>
    </x:row>
    <x:row r="230">
      <x:c r="A230" s="76"/>
      <x:c r="C230" s="74"/>
    </x:row>
    <x:row r="231">
      <x:c r="A231" s="76"/>
      <x:c r="C231" s="74"/>
    </x:row>
    <x:row r="232">
      <x:c r="A232" s="76"/>
      <x:c r="C232" s="74"/>
    </x:row>
    <x:row r="233">
      <x:c r="A233" s="76"/>
      <x:c r="C233" s="74"/>
    </x:row>
    <x:row r="234">
      <x:c r="A234" s="76"/>
      <x:c r="C234" s="74"/>
    </x:row>
    <x:row r="235">
      <x:c r="A235" s="76"/>
      <x:c r="C235" s="74"/>
    </x:row>
    <x:row r="236">
      <x:c r="A236" s="76"/>
      <x:c r="C236" s="74"/>
    </x:row>
    <x:row r="237">
      <x:c r="A237" s="76"/>
      <x:c r="C237" s="74"/>
    </x:row>
    <x:row r="238">
      <x:c r="A238" s="76"/>
      <x:c r="C238" s="74"/>
    </x:row>
    <x:row r="239">
      <x:c r="A239" s="76"/>
      <x:c r="C239" s="74"/>
    </x:row>
    <x:row r="240">
      <x:c r="A240" s="76"/>
      <x:c r="C240" s="74"/>
    </x:row>
    <x:row r="241">
      <x:c r="A241" s="76"/>
      <x:c r="C241" s="74"/>
    </x:row>
    <x:row r="242">
      <x:c r="A242" s="76"/>
      <x:c r="C242" s="74"/>
    </x:row>
    <x:row r="243">
      <x:c r="A243" s="76"/>
      <x:c r="C243" s="74"/>
    </x:row>
    <x:row r="244">
      <x:c r="A244" s="76"/>
      <x:c r="C244" s="74"/>
    </x:row>
    <x:row r="245">
      <x:c r="A245" s="76"/>
      <x:c r="C245" s="74"/>
    </x:row>
    <x:row r="246">
      <x:c r="A246" s="76"/>
      <x:c r="C246" s="74"/>
    </x:row>
    <x:row r="247">
      <x:c r="A247" s="76"/>
      <x:c r="C247" s="74"/>
    </x:row>
    <x:row r="248">
      <x:c r="A248" s="76"/>
      <x:c r="C248" s="74"/>
    </x:row>
    <x:row r="249">
      <x:c r="A249" s="76"/>
      <x:c r="C249" s="74"/>
    </x:row>
    <x:row r="250">
      <x:c r="A250" s="76"/>
      <x:c r="C250" s="74"/>
    </x:row>
    <x:row r="251">
      <x:c r="A251" s="76"/>
      <x:c r="C251" s="74"/>
    </x:row>
    <x:row r="252">
      <x:c r="A252" s="76"/>
      <x:c r="C252" s="74"/>
    </x:row>
    <x:row r="253">
      <x:c r="A253" s="76"/>
      <x:c r="C253" s="74"/>
    </x:row>
    <x:row r="254">
      <x:c r="A254" s="76"/>
      <x:c r="C254" s="74"/>
    </x:row>
    <x:row r="255">
      <x:c r="A255" s="76"/>
      <x:c r="C255" s="74"/>
    </x:row>
    <x:row r="256">
      <x:c r="A256" s="76"/>
      <x:c r="C256" s="74"/>
    </x:row>
    <x:row r="257">
      <x:c r="A257" s="76"/>
      <x:c r="C257" s="74"/>
    </x:row>
    <x:row r="258">
      <x:c r="A258" s="76"/>
      <x:c r="C258" s="74"/>
    </x:row>
    <x:row r="259">
      <x:c r="A259" s="76"/>
      <x:c r="C259" s="74"/>
    </x:row>
    <x:row r="260">
      <x:c r="A260" s="76"/>
      <x:c r="C260" s="74"/>
    </x:row>
    <x:row r="261">
      <x:c r="A261" s="76"/>
      <x:c r="C261" s="74"/>
    </x:row>
    <x:row r="262">
      <x:c r="A262" s="76"/>
      <x:c r="C262" s="74"/>
    </x:row>
    <x:row r="263">
      <x:c r="A263" s="76"/>
      <x:c r="C263" s="74"/>
    </x:row>
    <x:row r="264">
      <x:c r="A264" s="76"/>
      <x:c r="C264" s="74"/>
    </x:row>
    <x:row r="265">
      <x:c r="A265" s="76"/>
      <x:c r="C265" s="74"/>
    </x:row>
    <x:row r="266">
      <x:c r="A266" s="76"/>
      <x:c r="C266" s="74"/>
    </x:row>
    <x:row r="267">
      <x:c r="A267" s="76"/>
      <x:c r="C267" s="74"/>
    </x:row>
    <x:row r="268">
      <x:c r="A268" s="76"/>
      <x:c r="C268" s="74"/>
    </x:row>
    <x:row r="269">
      <x:c r="A269" s="76"/>
      <x:c r="C269" s="74"/>
    </x:row>
    <x:row r="270">
      <x:c r="A270" s="76"/>
      <x:c r="C270" s="74"/>
    </x:row>
    <x:row r="271">
      <x:c r="A271" s="76"/>
      <x:c r="C271" s="74"/>
    </x:row>
    <x:row r="272">
      <x:c r="A272" s="76"/>
      <x:c r="C272" s="74"/>
    </x:row>
    <x:row r="273">
      <x:c r="A273" s="76"/>
      <x:c r="C273" s="74"/>
    </x:row>
    <x:row r="274">
      <x:c r="A274" s="76"/>
      <x:c r="C274" s="74"/>
    </x:row>
    <x:row r="275">
      <x:c r="A275" s="76"/>
      <x:c r="C275" s="74"/>
    </x:row>
    <x:row r="276">
      <x:c r="A276" s="76"/>
      <x:c r="C276" s="74"/>
    </x:row>
    <x:row r="277">
      <x:c r="A277" s="76"/>
      <x:c r="C277" s="74"/>
    </x:row>
    <x:row r="278">
      <x:c r="A278" s="76"/>
      <x:c r="C278" s="74"/>
    </x:row>
    <x:row r="279">
      <x:c r="A279" s="76"/>
      <x:c r="C279" s="74"/>
    </x:row>
    <x:row r="280">
      <x:c r="A280" s="76"/>
      <x:c r="C280" s="74"/>
    </x:row>
    <x:row r="281">
      <x:c r="A281" s="76"/>
      <x:c r="C281" s="74"/>
    </x:row>
    <x:row r="282">
      <x:c r="A282" s="76"/>
      <x:c r="C282" s="74"/>
    </x:row>
    <x:row r="283">
      <x:c r="A283" s="76"/>
      <x:c r="C283" s="74"/>
    </x:row>
    <x:row r="284">
      <x:c r="A284" s="76"/>
      <x:c r="C284" s="74"/>
    </x:row>
    <x:row r="285">
      <x:c r="A285" s="76"/>
      <x:c r="C285" s="74"/>
    </x:row>
    <x:row r="286">
      <x:c r="A286" s="76"/>
      <x:c r="C286" s="74"/>
    </x:row>
    <x:row r="287">
      <x:c r="A287" s="76"/>
      <x:c r="C287" s="74"/>
    </x:row>
    <x:row r="288">
      <x:c r="A288" s="76"/>
      <x:c r="C288" s="74"/>
    </x:row>
    <x:row r="289">
      <x:c r="A289" s="76"/>
      <x:c r="C289" s="74"/>
    </x:row>
    <x:row r="290">
      <x:c r="A290" s="76"/>
      <x:c r="C290" s="74"/>
    </x:row>
    <x:row r="291">
      <x:c r="A291" s="76"/>
      <x:c r="C291" s="74"/>
    </x:row>
    <x:row r="292">
      <x:c r="A292" s="76"/>
      <x:c r="C292" s="74"/>
    </x:row>
    <x:row r="293">
      <x:c r="A293" s="76"/>
      <x:c r="C293" s="74"/>
    </x:row>
    <x:row r="294">
      <x:c r="A294" s="76"/>
      <x:c r="C294" s="74"/>
    </x:row>
    <x:row r="295">
      <x:c r="A295" s="76"/>
      <x:c r="C295" s="74"/>
    </x:row>
    <x:row r="296">
      <x:c r="A296" s="76"/>
      <x:c r="C296" s="74"/>
    </x:row>
    <x:row r="297">
      <x:c r="A297" s="76"/>
      <x:c r="C297" s="74"/>
    </x:row>
    <x:row r="298">
      <x:c r="A298" s="76"/>
      <x:c r="C298" s="74"/>
    </x:row>
    <x:row r="299">
      <x:c r="A299" s="76"/>
      <x:c r="C299" s="74"/>
    </x:row>
    <x:row r="300">
      <x:c r="A300" s="76"/>
      <x:c r="C300" s="74"/>
    </x:row>
  </x:sheetData>
  <x:dataValidations count="1">
    <x:dataValidation type="list" sqref="B2:B300">
      <x:formula1>'Lists'!$A$2:$A$12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1.220000267028809" hidden="0" customWidth="1"/>
    <x:col min="2" max="2" width="11.5600004196167" hidden="0" customWidth="1"/>
    <x:col min="3" max="3" width="9.109999656677246" hidden="0" customWidth="1"/>
    <x:col min="4" max="4" width="11.890000343322754" hidden="0" customWidth="1"/>
    <x:col min="5" max="5" width="9.329999923706055" hidden="0" customWidth="1"/>
    <x:col min="6" max="6" width="16.559999465942383" hidden="0" customWidth="1"/>
    <x:col min="7" max="7" width="14.329999923706055" hidden="0" customWidth="1"/>
    <x:col min="8" max="8" width="17" hidden="0" customWidth="1"/>
    <x:col min="9" max="9" width="15.4399995803833" hidden="0" customWidth="1"/>
    <x:col min="10" max="10" width="15.220000267028809" hidden="0" customWidth="1"/>
    <x:col min="11" max="11" width="7.670000076293945" hidden="0" customWidth="1"/>
    <x:col min="12" max="12" width="11.4399995803833" hidden="0" customWidth="1"/>
    <x:col min="13" max="13" width="13.670000076293945" hidden="0" customWidth="1"/>
    <x:col min="14" max="14" width="15.779999732971191" hidden="0" customWidth="1"/>
    <x:col min="15" max="15" width="5.440000057220459" hidden="0" customWidth="1"/>
    <x:col min="16" max="16" width="5.110000133514404" hidden="0" customWidth="1"/>
    <x:col min="17" max="17" width="8.670000076293945" hidden="0" customWidth="1"/>
    <x:col min="18" max="18" width="6.889999866485596" hidden="0" customWidth="1"/>
    <x:col min="19" max="19" width="8.5600004196167" hidden="0" customWidth="1"/>
    <x:col min="20" max="20" width="8.670000076293945" hidden="0" customWidth="1"/>
    <x:col min="21" max="21" width="15.890000343322754" hidden="0" customWidth="1"/>
  </x:cols>
  <x:sheetData>
    <x:row r="1">
      <x:c r="A1" s="6" t="str">
        <x:v>Payroll Month</x:v>
      </x:c>
      <x:c r="B1" s="6" t="str">
        <x:v>Business Area</x:v>
      </x:c>
      <x:c r="C1" s="6" t="str">
        <x:v>Staff Name</x:v>
      </x:c>
      <x:c r="D1" s="6" t="str">
        <x:v>Role / Position</x:v>
      </x:c>
      <x:c r="E1" s="6" t="str">
        <x:v>Salary Type</x:v>
      </x:c>
      <x:c r="F1" s="6" t="str">
        <x:v>Gross Amount (GHS)</x:v>
      </x:c>
      <x:c r="G1" s="6" t="str">
        <x:v>Deductions (GHS)</x:v>
      </x:c>
      <x:c r="H1" s="6" t="str">
        <x:v>Net Salary Due (GHS)</x:v>
      </x:c>
      <x:c r="I1" s="6" t="str">
        <x:v>Amount Paid (GHS)</x:v>
      </x:c>
      <x:c r="J1" s="6" t="str">
        <x:v>Balance Due (GHS)</x:v>
      </x:c>
      <x:c r="K1" s="6" t="str">
        <x:v>Due Date</x:v>
      </x:c>
      <x:c r="L1" s="6" t="str">
        <x:v>Payment Date</x:v>
      </x:c>
      <x:c r="M1" s="6" t="str">
        <x:v>Payment Method</x:v>
      </x:c>
      <x:c r="N1" s="6" t="str">
        <x:v>Payment Reference</x:v>
      </x:c>
      <x:c r="O1" s="6" t="str">
        <x:v>Status</x:v>
      </x:c>
      <x:c r="P1" s="6" t="str">
        <x:v>Notes</x:v>
      </x:c>
      <x:c r="Q1" s="6" t="str">
        <x:v>KPI Metric</x:v>
      </x:c>
      <x:c r="R1" s="6" t="str">
        <x:v>KPI Unit</x:v>
      </x:c>
      <x:c r="S1" s="6" t="str">
        <x:v>KPI Target</x:v>
      </x:c>
      <x:c r="T1" s="6" t="str">
        <x:v>KPI Actual</x:v>
      </x:c>
      <x:c r="U1" s="6" t="str">
        <x:v>KPI Achievement %</x:v>
      </x:c>
    </x:row>
    <x:row r="2">
      <x:c r="A2" s="76"/>
      <x:c r="F2" s="74"/>
      <x:c r="G2" s="74"/>
      <x:c r="H2" s="74" t="n">
        <x:f>MAX(F2-G2,0)</x:f>
        <x:v>0</x:v>
      </x:c>
      <x:c r="I2" s="74"/>
      <x:c r="J2" s="74" t="n">
        <x:f>MAX(H2-I2,0)</x:f>
        <x:v>0</x:v>
      </x:c>
      <x:c r="K2" s="77"/>
      <x:c r="L2" s="77"/>
      <x:c r="O2" t="str">
        <x:f>IF(A2="","",IF(J2=0,"Paid",IF(AND(K2&lt;&gt;"",TODAY()&gt;K2),"Overdue",IF(I2&gt;0,"Part Paid","Due"))))</x:f>
      </x:c>
      <x:c r="S2" s="79"/>
      <x:c r="T2" s="79"/>
      <x:c r="U2" s="80" t="str">
        <x:f>IF(OR(S2="",S2=0),"",T2/S2)</x:f>
      </x:c>
    </x:row>
    <x:row r="3">
      <x:c r="A3" s="76"/>
      <x:c r="F3" s="74"/>
      <x:c r="G3" s="74"/>
      <x:c r="H3" s="74" t="n">
        <x:f>MAX(F3-G3,0)</x:f>
        <x:v>0</x:v>
      </x:c>
      <x:c r="I3" s="74"/>
      <x:c r="J3" s="74" t="n">
        <x:f>MAX(H3-I3,0)</x:f>
        <x:v>0</x:v>
      </x:c>
      <x:c r="K3" s="77"/>
      <x:c r="L3" s="77"/>
      <x:c r="O3" t="str">
        <x:f>IF(A3="","",IF(J3=0,"Paid",IF(AND(K3&lt;&gt;"",TODAY()&gt;K3),"Overdue",IF(I3&gt;0,"Part Paid","Due"))))</x:f>
      </x:c>
      <x:c r="S3" s="79"/>
      <x:c r="T3" s="79"/>
      <x:c r="U3" s="80" t="str">
        <x:f>IF(OR(S3="",S3=0),"",T3/S3)</x:f>
      </x:c>
    </x:row>
    <x:row r="4">
      <x:c r="A4" s="76"/>
      <x:c r="F4" s="74"/>
      <x:c r="G4" s="74"/>
      <x:c r="H4" s="74" t="n">
        <x:f>MAX(F4-G4,0)</x:f>
        <x:v>0</x:v>
      </x:c>
      <x:c r="I4" s="74"/>
      <x:c r="J4" s="74" t="n">
        <x:f>MAX(H4-I4,0)</x:f>
        <x:v>0</x:v>
      </x:c>
      <x:c r="K4" s="77"/>
      <x:c r="L4" s="77"/>
      <x:c r="O4" t="str">
        <x:f>IF(A4="","",IF(J4=0,"Paid",IF(AND(K4&lt;&gt;"",TODAY()&gt;K4),"Overdue",IF(I4&gt;0,"Part Paid","Due"))))</x:f>
      </x:c>
      <x:c r="S4" s="79"/>
      <x:c r="T4" s="79"/>
      <x:c r="U4" s="80" t="str">
        <x:f>IF(OR(S4="",S4=0),"",T4/S4)</x:f>
      </x:c>
    </x:row>
    <x:row r="5">
      <x:c r="A5" s="76"/>
      <x:c r="F5" s="74"/>
      <x:c r="G5" s="74"/>
      <x:c r="H5" s="74" t="n">
        <x:f>MAX(F5-G5,0)</x:f>
        <x:v>0</x:v>
      </x:c>
      <x:c r="I5" s="74"/>
      <x:c r="J5" s="74" t="n">
        <x:f>MAX(H5-I5,0)</x:f>
        <x:v>0</x:v>
      </x:c>
      <x:c r="K5" s="77"/>
      <x:c r="L5" s="77"/>
      <x:c r="O5" t="str">
        <x:f>IF(A5="","",IF(J5=0,"Paid",IF(AND(K5&lt;&gt;"",TODAY()&gt;K5),"Overdue",IF(I5&gt;0,"Part Paid","Due"))))</x:f>
      </x:c>
      <x:c r="S5" s="79"/>
      <x:c r="T5" s="79"/>
      <x:c r="U5" s="80" t="str">
        <x:f>IF(OR(S5="",S5=0),"",T5/S5)</x:f>
      </x:c>
    </x:row>
    <x:row r="6">
      <x:c r="A6" s="76"/>
      <x:c r="F6" s="74"/>
      <x:c r="G6" s="74"/>
      <x:c r="H6" s="74" t="n">
        <x:f>MAX(F6-G6,0)</x:f>
        <x:v>0</x:v>
      </x:c>
      <x:c r="I6" s="74"/>
      <x:c r="J6" s="74" t="n">
        <x:f>MAX(H6-I6,0)</x:f>
        <x:v>0</x:v>
      </x:c>
      <x:c r="K6" s="77"/>
      <x:c r="L6" s="77"/>
      <x:c r="O6" t="str">
        <x:f>IF(A6="","",IF(J6=0,"Paid",IF(AND(K6&lt;&gt;"",TODAY()&gt;K6),"Overdue",IF(I6&gt;0,"Part Paid","Due"))))</x:f>
      </x:c>
      <x:c r="S6" s="79"/>
      <x:c r="T6" s="79"/>
      <x:c r="U6" s="80" t="str">
        <x:f>IF(OR(S6="",S6=0),"",T6/S6)</x:f>
      </x:c>
    </x:row>
    <x:row r="7">
      <x:c r="A7" s="76"/>
      <x:c r="F7" s="74"/>
      <x:c r="G7" s="74"/>
      <x:c r="H7" s="74" t="n">
        <x:f>MAX(F7-G7,0)</x:f>
        <x:v>0</x:v>
      </x:c>
      <x:c r="I7" s="74"/>
      <x:c r="J7" s="74" t="n">
        <x:f>MAX(H7-I7,0)</x:f>
        <x:v>0</x:v>
      </x:c>
      <x:c r="K7" s="77"/>
      <x:c r="L7" s="77"/>
      <x:c r="O7" t="str">
        <x:f>IF(A7="","",IF(J7=0,"Paid",IF(AND(K7&lt;&gt;"",TODAY()&gt;K7),"Overdue",IF(I7&gt;0,"Part Paid","Due"))))</x:f>
      </x:c>
      <x:c r="S7" s="79"/>
      <x:c r="T7" s="79"/>
      <x:c r="U7" s="80" t="str">
        <x:f>IF(OR(S7="",S7=0),"",T7/S7)</x:f>
      </x:c>
    </x:row>
    <x:row r="8">
      <x:c r="A8" s="76"/>
      <x:c r="F8" s="74"/>
      <x:c r="G8" s="74"/>
      <x:c r="H8" s="74" t="n">
        <x:f>MAX(F8-G8,0)</x:f>
        <x:v>0</x:v>
      </x:c>
      <x:c r="I8" s="74"/>
      <x:c r="J8" s="74" t="n">
        <x:f>MAX(H8-I8,0)</x:f>
        <x:v>0</x:v>
      </x:c>
      <x:c r="K8" s="77"/>
      <x:c r="L8" s="77"/>
      <x:c r="O8" t="str">
        <x:f>IF(A8="","",IF(J8=0,"Paid",IF(AND(K8&lt;&gt;"",TODAY()&gt;K8),"Overdue",IF(I8&gt;0,"Part Paid","Due"))))</x:f>
      </x:c>
      <x:c r="S8" s="79"/>
      <x:c r="T8" s="79"/>
      <x:c r="U8" s="80" t="str">
        <x:f>IF(OR(S8="",S8=0),"",T8/S8)</x:f>
      </x:c>
    </x:row>
    <x:row r="9">
      <x:c r="A9" s="76"/>
      <x:c r="F9" s="74"/>
      <x:c r="G9" s="74"/>
      <x:c r="H9" s="74" t="n">
        <x:f>MAX(F9-G9,0)</x:f>
        <x:v>0</x:v>
      </x:c>
      <x:c r="I9" s="74"/>
      <x:c r="J9" s="74" t="n">
        <x:f>MAX(H9-I9,0)</x:f>
        <x:v>0</x:v>
      </x:c>
      <x:c r="K9" s="77"/>
      <x:c r="L9" s="77"/>
      <x:c r="O9" t="str">
        <x:f>IF(A9="","",IF(J9=0,"Paid",IF(AND(K9&lt;&gt;"",TODAY()&gt;K9),"Overdue",IF(I9&gt;0,"Part Paid","Due"))))</x:f>
      </x:c>
      <x:c r="S9" s="79"/>
      <x:c r="T9" s="79"/>
      <x:c r="U9" s="80" t="str">
        <x:f>IF(OR(S9="",S9=0),"",T9/S9)</x:f>
      </x:c>
    </x:row>
    <x:row r="10">
      <x:c r="A10" s="76"/>
      <x:c r="F10" s="74"/>
      <x:c r="G10" s="74"/>
      <x:c r="H10" s="74" t="n">
        <x:f>MAX(F10-G10,0)</x:f>
        <x:v>0</x:v>
      </x:c>
      <x:c r="I10" s="74"/>
      <x:c r="J10" s="74" t="n">
        <x:f>MAX(H10-I10,0)</x:f>
        <x:v>0</x:v>
      </x:c>
      <x:c r="K10" s="77"/>
      <x:c r="L10" s="77"/>
      <x:c r="O10" t="str">
        <x:f>IF(A10="","",IF(J10=0,"Paid",IF(AND(K10&lt;&gt;"",TODAY()&gt;K10),"Overdue",IF(I10&gt;0,"Part Paid","Due"))))</x:f>
      </x:c>
      <x:c r="S10" s="79"/>
      <x:c r="T10" s="79"/>
      <x:c r="U10" s="80" t="str">
        <x:f>IF(OR(S10="",S10=0),"",T10/S10)</x:f>
      </x:c>
    </x:row>
    <x:row r="11">
      <x:c r="A11" s="76"/>
      <x:c r="F11" s="74"/>
      <x:c r="G11" s="74"/>
      <x:c r="H11" s="74" t="n">
        <x:f>MAX(F11-G11,0)</x:f>
        <x:v>0</x:v>
      </x:c>
      <x:c r="I11" s="74"/>
      <x:c r="J11" s="74" t="n">
        <x:f>MAX(H11-I11,0)</x:f>
        <x:v>0</x:v>
      </x:c>
      <x:c r="K11" s="77"/>
      <x:c r="L11" s="77"/>
      <x:c r="O11" t="str">
        <x:f>IF(A11="","",IF(J11=0,"Paid",IF(AND(K11&lt;&gt;"",TODAY()&gt;K11),"Overdue",IF(I11&gt;0,"Part Paid","Due"))))</x:f>
      </x:c>
      <x:c r="S11" s="79"/>
      <x:c r="T11" s="79"/>
      <x:c r="U11" s="80" t="str">
        <x:f>IF(OR(S11="",S11=0),"",T11/S11)</x:f>
      </x:c>
    </x:row>
    <x:row r="12">
      <x:c r="A12" s="76"/>
      <x:c r="F12" s="74"/>
      <x:c r="G12" s="74"/>
      <x:c r="H12" s="74" t="n">
        <x:f>MAX(F12-G12,0)</x:f>
        <x:v>0</x:v>
      </x:c>
      <x:c r="I12" s="74"/>
      <x:c r="J12" s="74" t="n">
        <x:f>MAX(H12-I12,0)</x:f>
        <x:v>0</x:v>
      </x:c>
      <x:c r="K12" s="77"/>
      <x:c r="L12" s="77"/>
      <x:c r="O12" t="str">
        <x:f>IF(A12="","",IF(J12=0,"Paid",IF(AND(K12&lt;&gt;"",TODAY()&gt;K12),"Overdue",IF(I12&gt;0,"Part Paid","Due"))))</x:f>
      </x:c>
      <x:c r="S12" s="79"/>
      <x:c r="T12" s="79"/>
      <x:c r="U12" s="80" t="str">
        <x:f>IF(OR(S12="",S12=0),"",T12/S12)</x:f>
      </x:c>
    </x:row>
    <x:row r="13">
      <x:c r="A13" s="76"/>
      <x:c r="F13" s="74"/>
      <x:c r="G13" s="74"/>
      <x:c r="H13" s="74" t="n">
        <x:f>MAX(F13-G13,0)</x:f>
        <x:v>0</x:v>
      </x:c>
      <x:c r="I13" s="74"/>
      <x:c r="J13" s="74" t="n">
        <x:f>MAX(H13-I13,0)</x:f>
        <x:v>0</x:v>
      </x:c>
      <x:c r="K13" s="77"/>
      <x:c r="L13" s="77"/>
      <x:c r="O13" t="str">
        <x:f>IF(A13="","",IF(J13=0,"Paid",IF(AND(K13&lt;&gt;"",TODAY()&gt;K13),"Overdue",IF(I13&gt;0,"Part Paid","Due"))))</x:f>
      </x:c>
      <x:c r="S13" s="79"/>
      <x:c r="T13" s="79"/>
      <x:c r="U13" s="80" t="str">
        <x:f>IF(OR(S13="",S13=0),"",T13/S13)</x:f>
      </x:c>
    </x:row>
    <x:row r="14">
      <x:c r="A14" s="76"/>
      <x:c r="F14" s="74"/>
      <x:c r="G14" s="74"/>
      <x:c r="H14" s="74" t="n">
        <x:f>MAX(F14-G14,0)</x:f>
        <x:v>0</x:v>
      </x:c>
      <x:c r="I14" s="74"/>
      <x:c r="J14" s="74" t="n">
        <x:f>MAX(H14-I14,0)</x:f>
        <x:v>0</x:v>
      </x:c>
      <x:c r="K14" s="77"/>
      <x:c r="L14" s="77"/>
      <x:c r="O14" t="str">
        <x:f>IF(A14="","",IF(J14=0,"Paid",IF(AND(K14&lt;&gt;"",TODAY()&gt;K14),"Overdue",IF(I14&gt;0,"Part Paid","Due"))))</x:f>
      </x:c>
      <x:c r="S14" s="79"/>
      <x:c r="T14" s="79"/>
      <x:c r="U14" s="80" t="str">
        <x:f>IF(OR(S14="",S14=0),"",T14/S14)</x:f>
      </x:c>
    </x:row>
    <x:row r="15">
      <x:c r="A15" s="76"/>
      <x:c r="F15" s="74"/>
      <x:c r="G15" s="74"/>
      <x:c r="H15" s="74" t="n">
        <x:f>MAX(F15-G15,0)</x:f>
        <x:v>0</x:v>
      </x:c>
      <x:c r="I15" s="74"/>
      <x:c r="J15" s="74" t="n">
        <x:f>MAX(H15-I15,0)</x:f>
        <x:v>0</x:v>
      </x:c>
      <x:c r="K15" s="77"/>
      <x:c r="L15" s="77"/>
      <x:c r="O15" t="str">
        <x:f>IF(A15="","",IF(J15=0,"Paid",IF(AND(K15&lt;&gt;"",TODAY()&gt;K15),"Overdue",IF(I15&gt;0,"Part Paid","Due"))))</x:f>
      </x:c>
      <x:c r="S15" s="79"/>
      <x:c r="T15" s="79"/>
      <x:c r="U15" s="80" t="str">
        <x:f>IF(OR(S15="",S15=0),"",T15/S15)</x:f>
      </x:c>
    </x:row>
    <x:row r="16">
      <x:c r="A16" s="76"/>
      <x:c r="F16" s="74"/>
      <x:c r="G16" s="74"/>
      <x:c r="H16" s="74" t="n">
        <x:f>MAX(F16-G16,0)</x:f>
        <x:v>0</x:v>
      </x:c>
      <x:c r="I16" s="74"/>
      <x:c r="J16" s="74" t="n">
        <x:f>MAX(H16-I16,0)</x:f>
        <x:v>0</x:v>
      </x:c>
      <x:c r="K16" s="77"/>
      <x:c r="L16" s="77"/>
      <x:c r="O16" t="str">
        <x:f>IF(A16="","",IF(J16=0,"Paid",IF(AND(K16&lt;&gt;"",TODAY()&gt;K16),"Overdue",IF(I16&gt;0,"Part Paid","Due"))))</x:f>
      </x:c>
      <x:c r="S16" s="79"/>
      <x:c r="T16" s="79"/>
      <x:c r="U16" s="80" t="str">
        <x:f>IF(OR(S16="",S16=0),"",T16/S16)</x:f>
      </x:c>
    </x:row>
    <x:row r="17">
      <x:c r="A17" s="76"/>
      <x:c r="F17" s="74"/>
      <x:c r="G17" s="74"/>
      <x:c r="H17" s="74" t="n">
        <x:f>MAX(F17-G17,0)</x:f>
        <x:v>0</x:v>
      </x:c>
      <x:c r="I17" s="74"/>
      <x:c r="J17" s="74" t="n">
        <x:f>MAX(H17-I17,0)</x:f>
        <x:v>0</x:v>
      </x:c>
      <x:c r="K17" s="77"/>
      <x:c r="L17" s="77"/>
      <x:c r="O17" t="str">
        <x:f>IF(A17="","",IF(J17=0,"Paid",IF(AND(K17&lt;&gt;"",TODAY()&gt;K17),"Overdue",IF(I17&gt;0,"Part Paid","Due"))))</x:f>
      </x:c>
      <x:c r="S17" s="79"/>
      <x:c r="T17" s="79"/>
      <x:c r="U17" s="80" t="str">
        <x:f>IF(OR(S17="",S17=0),"",T17/S17)</x:f>
      </x:c>
    </x:row>
    <x:row r="18">
      <x:c r="A18" s="76"/>
      <x:c r="F18" s="74"/>
      <x:c r="G18" s="74"/>
      <x:c r="H18" s="74" t="n">
        <x:f>MAX(F18-G18,0)</x:f>
        <x:v>0</x:v>
      </x:c>
      <x:c r="I18" s="74"/>
      <x:c r="J18" s="74" t="n">
        <x:f>MAX(H18-I18,0)</x:f>
        <x:v>0</x:v>
      </x:c>
      <x:c r="K18" s="77"/>
      <x:c r="L18" s="77"/>
      <x:c r="O18" t="str">
        <x:f>IF(A18="","",IF(J18=0,"Paid",IF(AND(K18&lt;&gt;"",TODAY()&gt;K18),"Overdue",IF(I18&gt;0,"Part Paid","Due"))))</x:f>
      </x:c>
      <x:c r="S18" s="79"/>
      <x:c r="T18" s="79"/>
      <x:c r="U18" s="80" t="str">
        <x:f>IF(OR(S18="",S18=0),"",T18/S18)</x:f>
      </x:c>
    </x:row>
    <x:row r="19">
      <x:c r="A19" s="76"/>
      <x:c r="F19" s="74"/>
      <x:c r="G19" s="74"/>
      <x:c r="H19" s="74" t="n">
        <x:f>MAX(F19-G19,0)</x:f>
        <x:v>0</x:v>
      </x:c>
      <x:c r="I19" s="74"/>
      <x:c r="J19" s="74" t="n">
        <x:f>MAX(H19-I19,0)</x:f>
        <x:v>0</x:v>
      </x:c>
      <x:c r="K19" s="77"/>
      <x:c r="L19" s="77"/>
      <x:c r="O19" t="str">
        <x:f>IF(A19="","",IF(J19=0,"Paid",IF(AND(K19&lt;&gt;"",TODAY()&gt;K19),"Overdue",IF(I19&gt;0,"Part Paid","Due"))))</x:f>
      </x:c>
      <x:c r="S19" s="79"/>
      <x:c r="T19" s="79"/>
      <x:c r="U19" s="80" t="str">
        <x:f>IF(OR(S19="",S19=0),"",T19/S19)</x:f>
      </x:c>
    </x:row>
    <x:row r="20">
      <x:c r="A20" s="76"/>
      <x:c r="F20" s="74"/>
      <x:c r="G20" s="74"/>
      <x:c r="H20" s="74" t="n">
        <x:f>MAX(F20-G20,0)</x:f>
        <x:v>0</x:v>
      </x:c>
      <x:c r="I20" s="74"/>
      <x:c r="J20" s="74" t="n">
        <x:f>MAX(H20-I20,0)</x:f>
        <x:v>0</x:v>
      </x:c>
      <x:c r="K20" s="77"/>
      <x:c r="L20" s="77"/>
      <x:c r="O20" t="str">
        <x:f>IF(A20="","",IF(J20=0,"Paid",IF(AND(K20&lt;&gt;"",TODAY()&gt;K20),"Overdue",IF(I20&gt;0,"Part Paid","Due"))))</x:f>
      </x:c>
      <x:c r="S20" s="79"/>
      <x:c r="T20" s="79"/>
      <x:c r="U20" s="80" t="str">
        <x:f>IF(OR(S20="",S20=0),"",T20/S20)</x:f>
      </x:c>
    </x:row>
    <x:row r="21">
      <x:c r="A21" s="76"/>
      <x:c r="F21" s="74"/>
      <x:c r="G21" s="74"/>
      <x:c r="H21" s="74" t="n">
        <x:f>MAX(F21-G21,0)</x:f>
        <x:v>0</x:v>
      </x:c>
      <x:c r="I21" s="74"/>
      <x:c r="J21" s="74" t="n">
        <x:f>MAX(H21-I21,0)</x:f>
        <x:v>0</x:v>
      </x:c>
      <x:c r="K21" s="77"/>
      <x:c r="L21" s="77"/>
      <x:c r="O21" t="str">
        <x:f>IF(A21="","",IF(J21=0,"Paid",IF(AND(K21&lt;&gt;"",TODAY()&gt;K21),"Overdue",IF(I21&gt;0,"Part Paid","Due"))))</x:f>
      </x:c>
      <x:c r="S21" s="79"/>
      <x:c r="T21" s="79"/>
      <x:c r="U21" s="80" t="str">
        <x:f>IF(OR(S21="",S21=0),"",T21/S21)</x:f>
      </x:c>
    </x:row>
    <x:row r="22">
      <x:c r="A22" s="76"/>
      <x:c r="F22" s="74"/>
      <x:c r="G22" s="74"/>
      <x:c r="H22" s="74" t="n">
        <x:f>MAX(F22-G22,0)</x:f>
        <x:v>0</x:v>
      </x:c>
      <x:c r="I22" s="74"/>
      <x:c r="J22" s="74" t="n">
        <x:f>MAX(H22-I22,0)</x:f>
        <x:v>0</x:v>
      </x:c>
      <x:c r="K22" s="77"/>
      <x:c r="L22" s="77"/>
      <x:c r="O22" t="str">
        <x:f>IF(A22="","",IF(J22=0,"Paid",IF(AND(K22&lt;&gt;"",TODAY()&gt;K22),"Overdue",IF(I22&gt;0,"Part Paid","Due"))))</x:f>
      </x:c>
      <x:c r="S22" s="79"/>
      <x:c r="T22" s="79"/>
      <x:c r="U22" s="80" t="str">
        <x:f>IF(OR(S22="",S22=0),"",T22/S22)</x:f>
      </x:c>
    </x:row>
    <x:row r="23">
      <x:c r="A23" s="76"/>
      <x:c r="F23" s="74"/>
      <x:c r="G23" s="74"/>
      <x:c r="H23" s="74" t="n">
        <x:f>MAX(F23-G23,0)</x:f>
        <x:v>0</x:v>
      </x:c>
      <x:c r="I23" s="74"/>
      <x:c r="J23" s="74" t="n">
        <x:f>MAX(H23-I23,0)</x:f>
        <x:v>0</x:v>
      </x:c>
      <x:c r="K23" s="77"/>
      <x:c r="L23" s="77"/>
      <x:c r="O23" t="str">
        <x:f>IF(A23="","",IF(J23=0,"Paid",IF(AND(K23&lt;&gt;"",TODAY()&gt;K23),"Overdue",IF(I23&gt;0,"Part Paid","Due"))))</x:f>
      </x:c>
      <x:c r="S23" s="79"/>
      <x:c r="T23" s="79"/>
      <x:c r="U23" s="80" t="str">
        <x:f>IF(OR(S23="",S23=0),"",T23/S23)</x:f>
      </x:c>
    </x:row>
    <x:row r="24">
      <x:c r="A24" s="76"/>
      <x:c r="F24" s="74"/>
      <x:c r="G24" s="74"/>
      <x:c r="H24" s="74" t="n">
        <x:f>MAX(F24-G24,0)</x:f>
        <x:v>0</x:v>
      </x:c>
      <x:c r="I24" s="74"/>
      <x:c r="J24" s="74" t="n">
        <x:f>MAX(H24-I24,0)</x:f>
        <x:v>0</x:v>
      </x:c>
      <x:c r="K24" s="77"/>
      <x:c r="L24" s="77"/>
      <x:c r="O24" t="str">
        <x:f>IF(A24="","",IF(J24=0,"Paid",IF(AND(K24&lt;&gt;"",TODAY()&gt;K24),"Overdue",IF(I24&gt;0,"Part Paid","Due"))))</x:f>
      </x:c>
      <x:c r="S24" s="79"/>
      <x:c r="T24" s="79"/>
      <x:c r="U24" s="80" t="str">
        <x:f>IF(OR(S24="",S24=0),"",T24/S24)</x:f>
      </x:c>
    </x:row>
    <x:row r="25">
      <x:c r="A25" s="76"/>
      <x:c r="F25" s="74"/>
      <x:c r="G25" s="74"/>
      <x:c r="H25" s="74" t="n">
        <x:f>MAX(F25-G25,0)</x:f>
        <x:v>0</x:v>
      </x:c>
      <x:c r="I25" s="74"/>
      <x:c r="J25" s="74" t="n">
        <x:f>MAX(H25-I25,0)</x:f>
        <x:v>0</x:v>
      </x:c>
      <x:c r="K25" s="77"/>
      <x:c r="L25" s="77"/>
      <x:c r="O25" t="str">
        <x:f>IF(A25="","",IF(J25=0,"Paid",IF(AND(K25&lt;&gt;"",TODAY()&gt;K25),"Overdue",IF(I25&gt;0,"Part Paid","Due"))))</x:f>
      </x:c>
      <x:c r="S25" s="79"/>
      <x:c r="T25" s="79"/>
      <x:c r="U25" s="80" t="str">
        <x:f>IF(OR(S25="",S25=0),"",T25/S25)</x:f>
      </x:c>
    </x:row>
    <x:row r="26">
      <x:c r="A26" s="76"/>
      <x:c r="F26" s="74"/>
      <x:c r="G26" s="74"/>
      <x:c r="H26" s="74" t="n">
        <x:f>MAX(F26-G26,0)</x:f>
        <x:v>0</x:v>
      </x:c>
      <x:c r="I26" s="74"/>
      <x:c r="J26" s="74" t="n">
        <x:f>MAX(H26-I26,0)</x:f>
        <x:v>0</x:v>
      </x:c>
      <x:c r="K26" s="77"/>
      <x:c r="L26" s="77"/>
      <x:c r="O26" t="str">
        <x:f>IF(A26="","",IF(J26=0,"Paid",IF(AND(K26&lt;&gt;"",TODAY()&gt;K26),"Overdue",IF(I26&gt;0,"Part Paid","Due"))))</x:f>
      </x:c>
      <x:c r="S26" s="79"/>
      <x:c r="T26" s="79"/>
      <x:c r="U26" s="80" t="str">
        <x:f>IF(OR(S26="",S26=0),"",T26/S26)</x:f>
      </x:c>
    </x:row>
    <x:row r="27">
      <x:c r="A27" s="76"/>
      <x:c r="F27" s="74"/>
      <x:c r="G27" s="74"/>
      <x:c r="H27" s="74" t="n">
        <x:f>MAX(F27-G27,0)</x:f>
        <x:v>0</x:v>
      </x:c>
      <x:c r="I27" s="74"/>
      <x:c r="J27" s="74" t="n">
        <x:f>MAX(H27-I27,0)</x:f>
        <x:v>0</x:v>
      </x:c>
      <x:c r="K27" s="77"/>
      <x:c r="L27" s="77"/>
      <x:c r="O27" t="str">
        <x:f>IF(A27="","",IF(J27=0,"Paid",IF(AND(K27&lt;&gt;"",TODAY()&gt;K27),"Overdue",IF(I27&gt;0,"Part Paid","Due"))))</x:f>
      </x:c>
      <x:c r="S27" s="79"/>
      <x:c r="T27" s="79"/>
      <x:c r="U27" s="80" t="str">
        <x:f>IF(OR(S27="",S27=0),"",T27/S27)</x:f>
      </x:c>
    </x:row>
    <x:row r="28">
      <x:c r="A28" s="76"/>
      <x:c r="F28" s="74"/>
      <x:c r="G28" s="74"/>
      <x:c r="H28" s="74" t="n">
        <x:f>MAX(F28-G28,0)</x:f>
        <x:v>0</x:v>
      </x:c>
      <x:c r="I28" s="74"/>
      <x:c r="J28" s="74" t="n">
        <x:f>MAX(H28-I28,0)</x:f>
        <x:v>0</x:v>
      </x:c>
      <x:c r="K28" s="77"/>
      <x:c r="L28" s="77"/>
      <x:c r="O28" t="str">
        <x:f>IF(A28="","",IF(J28=0,"Paid",IF(AND(K28&lt;&gt;"",TODAY()&gt;K28),"Overdue",IF(I28&gt;0,"Part Paid","Due"))))</x:f>
      </x:c>
      <x:c r="S28" s="79"/>
      <x:c r="T28" s="79"/>
      <x:c r="U28" s="80" t="str">
        <x:f>IF(OR(S28="",S28=0),"",T28/S28)</x:f>
      </x:c>
    </x:row>
    <x:row r="29">
      <x:c r="A29" s="76"/>
      <x:c r="F29" s="74"/>
      <x:c r="G29" s="74"/>
      <x:c r="H29" s="74" t="n">
        <x:f>MAX(F29-G29,0)</x:f>
        <x:v>0</x:v>
      </x:c>
      <x:c r="I29" s="74"/>
      <x:c r="J29" s="74" t="n">
        <x:f>MAX(H29-I29,0)</x:f>
        <x:v>0</x:v>
      </x:c>
      <x:c r="K29" s="77"/>
      <x:c r="L29" s="77"/>
      <x:c r="O29" t="str">
        <x:f>IF(A29="","",IF(J29=0,"Paid",IF(AND(K29&lt;&gt;"",TODAY()&gt;K29),"Overdue",IF(I29&gt;0,"Part Paid","Due"))))</x:f>
      </x:c>
      <x:c r="S29" s="79"/>
      <x:c r="T29" s="79"/>
      <x:c r="U29" s="80" t="str">
        <x:f>IF(OR(S29="",S29=0),"",T29/S29)</x:f>
      </x:c>
    </x:row>
    <x:row r="30">
      <x:c r="A30" s="76"/>
      <x:c r="F30" s="74"/>
      <x:c r="G30" s="74"/>
      <x:c r="H30" s="74" t="n">
        <x:f>MAX(F30-G30,0)</x:f>
        <x:v>0</x:v>
      </x:c>
      <x:c r="I30" s="74"/>
      <x:c r="J30" s="74" t="n">
        <x:f>MAX(H30-I30,0)</x:f>
        <x:v>0</x:v>
      </x:c>
      <x:c r="K30" s="77"/>
      <x:c r="L30" s="77"/>
      <x:c r="O30" t="str">
        <x:f>IF(A30="","",IF(J30=0,"Paid",IF(AND(K30&lt;&gt;"",TODAY()&gt;K30),"Overdue",IF(I30&gt;0,"Part Paid","Due"))))</x:f>
      </x:c>
      <x:c r="S30" s="79"/>
      <x:c r="T30" s="79"/>
      <x:c r="U30" s="80" t="str">
        <x:f>IF(OR(S30="",S30=0),"",T30/S30)</x:f>
      </x:c>
    </x:row>
    <x:row r="31">
      <x:c r="A31" s="76"/>
      <x:c r="F31" s="74"/>
      <x:c r="G31" s="74"/>
      <x:c r="H31" s="74" t="n">
        <x:f>MAX(F31-G31,0)</x:f>
        <x:v>0</x:v>
      </x:c>
      <x:c r="I31" s="74"/>
      <x:c r="J31" s="74" t="n">
        <x:f>MAX(H31-I31,0)</x:f>
        <x:v>0</x:v>
      </x:c>
      <x:c r="K31" s="77"/>
      <x:c r="L31" s="77"/>
      <x:c r="O31" t="str">
        <x:f>IF(A31="","",IF(J31=0,"Paid",IF(AND(K31&lt;&gt;"",TODAY()&gt;K31),"Overdue",IF(I31&gt;0,"Part Paid","Due"))))</x:f>
      </x:c>
      <x:c r="S31" s="79"/>
      <x:c r="T31" s="79"/>
      <x:c r="U31" s="80" t="str">
        <x:f>IF(OR(S31="",S31=0),"",T31/S31)</x:f>
      </x:c>
    </x:row>
    <x:row r="32">
      <x:c r="A32" s="76"/>
      <x:c r="F32" s="74"/>
      <x:c r="G32" s="74"/>
      <x:c r="H32" s="74" t="n">
        <x:f>MAX(F32-G32,0)</x:f>
        <x:v>0</x:v>
      </x:c>
      <x:c r="I32" s="74"/>
      <x:c r="J32" s="74" t="n">
        <x:f>MAX(H32-I32,0)</x:f>
        <x:v>0</x:v>
      </x:c>
      <x:c r="K32" s="77"/>
      <x:c r="L32" s="77"/>
      <x:c r="O32" t="str">
        <x:f>IF(A32="","",IF(J32=0,"Paid",IF(AND(K32&lt;&gt;"",TODAY()&gt;K32),"Overdue",IF(I32&gt;0,"Part Paid","Due"))))</x:f>
      </x:c>
      <x:c r="S32" s="79"/>
      <x:c r="T32" s="79"/>
      <x:c r="U32" s="80" t="str">
        <x:f>IF(OR(S32="",S32=0),"",T32/S32)</x:f>
      </x:c>
    </x:row>
    <x:row r="33">
      <x:c r="A33" s="76"/>
      <x:c r="F33" s="74"/>
      <x:c r="G33" s="74"/>
      <x:c r="H33" s="74" t="n">
        <x:f>MAX(F33-G33,0)</x:f>
        <x:v>0</x:v>
      </x:c>
      <x:c r="I33" s="74"/>
      <x:c r="J33" s="74" t="n">
        <x:f>MAX(H33-I33,0)</x:f>
        <x:v>0</x:v>
      </x:c>
      <x:c r="K33" s="77"/>
      <x:c r="L33" s="77"/>
      <x:c r="O33" t="str">
        <x:f>IF(A33="","",IF(J33=0,"Paid",IF(AND(K33&lt;&gt;"",TODAY()&gt;K33),"Overdue",IF(I33&gt;0,"Part Paid","Due"))))</x:f>
      </x:c>
      <x:c r="S33" s="79"/>
      <x:c r="T33" s="79"/>
      <x:c r="U33" s="80" t="str">
        <x:f>IF(OR(S33="",S33=0),"",T33/S33)</x:f>
      </x:c>
    </x:row>
    <x:row r="34">
      <x:c r="A34" s="76"/>
      <x:c r="F34" s="74"/>
      <x:c r="G34" s="74"/>
      <x:c r="H34" s="74" t="n">
        <x:f>MAX(F34-G34,0)</x:f>
        <x:v>0</x:v>
      </x:c>
      <x:c r="I34" s="74"/>
      <x:c r="J34" s="74" t="n">
        <x:f>MAX(H34-I34,0)</x:f>
        <x:v>0</x:v>
      </x:c>
      <x:c r="K34" s="77"/>
      <x:c r="L34" s="77"/>
      <x:c r="O34" t="str">
        <x:f>IF(A34="","",IF(J34=0,"Paid",IF(AND(K34&lt;&gt;"",TODAY()&gt;K34),"Overdue",IF(I34&gt;0,"Part Paid","Due"))))</x:f>
      </x:c>
      <x:c r="S34" s="79"/>
      <x:c r="T34" s="79"/>
      <x:c r="U34" s="80" t="str">
        <x:f>IF(OR(S34="",S34=0),"",T34/S34)</x:f>
      </x:c>
    </x:row>
    <x:row r="35">
      <x:c r="A35" s="76"/>
      <x:c r="F35" s="74"/>
      <x:c r="G35" s="74"/>
      <x:c r="H35" s="74" t="n">
        <x:f>MAX(F35-G35,0)</x:f>
        <x:v>0</x:v>
      </x:c>
      <x:c r="I35" s="74"/>
      <x:c r="J35" s="74" t="n">
        <x:f>MAX(H35-I35,0)</x:f>
        <x:v>0</x:v>
      </x:c>
      <x:c r="K35" s="77"/>
      <x:c r="L35" s="77"/>
      <x:c r="O35" t="str">
        <x:f>IF(A35="","",IF(J35=0,"Paid",IF(AND(K35&lt;&gt;"",TODAY()&gt;K35),"Overdue",IF(I35&gt;0,"Part Paid","Due"))))</x:f>
      </x:c>
      <x:c r="S35" s="79"/>
      <x:c r="T35" s="79"/>
      <x:c r="U35" s="80" t="str">
        <x:f>IF(OR(S35="",S35=0),"",T35/S35)</x:f>
      </x:c>
    </x:row>
    <x:row r="36">
      <x:c r="A36" s="76"/>
      <x:c r="F36" s="74"/>
      <x:c r="G36" s="74"/>
      <x:c r="H36" s="74" t="n">
        <x:f>MAX(F36-G36,0)</x:f>
        <x:v>0</x:v>
      </x:c>
      <x:c r="I36" s="74"/>
      <x:c r="J36" s="74" t="n">
        <x:f>MAX(H36-I36,0)</x:f>
        <x:v>0</x:v>
      </x:c>
      <x:c r="K36" s="77"/>
      <x:c r="L36" s="77"/>
      <x:c r="O36" t="str">
        <x:f>IF(A36="","",IF(J36=0,"Paid",IF(AND(K36&lt;&gt;"",TODAY()&gt;K36),"Overdue",IF(I36&gt;0,"Part Paid","Due"))))</x:f>
      </x:c>
      <x:c r="S36" s="79"/>
      <x:c r="T36" s="79"/>
      <x:c r="U36" s="80" t="str">
        <x:f>IF(OR(S36="",S36=0),"",T36/S36)</x:f>
      </x:c>
    </x:row>
    <x:row r="37">
      <x:c r="A37" s="76"/>
      <x:c r="F37" s="74"/>
      <x:c r="G37" s="74"/>
      <x:c r="H37" s="74" t="n">
        <x:f>MAX(F37-G37,0)</x:f>
        <x:v>0</x:v>
      </x:c>
      <x:c r="I37" s="74"/>
      <x:c r="J37" s="74" t="n">
        <x:f>MAX(H37-I37,0)</x:f>
        <x:v>0</x:v>
      </x:c>
      <x:c r="K37" s="77"/>
      <x:c r="L37" s="77"/>
      <x:c r="O37" t="str">
        <x:f>IF(A37="","",IF(J37=0,"Paid",IF(AND(K37&lt;&gt;"",TODAY()&gt;K37),"Overdue",IF(I37&gt;0,"Part Paid","Due"))))</x:f>
      </x:c>
      <x:c r="S37" s="79"/>
      <x:c r="T37" s="79"/>
      <x:c r="U37" s="80" t="str">
        <x:f>IF(OR(S37="",S37=0),"",T37/S37)</x:f>
      </x:c>
    </x:row>
    <x:row r="38">
      <x:c r="A38" s="76"/>
      <x:c r="F38" s="74"/>
      <x:c r="G38" s="74"/>
      <x:c r="H38" s="74" t="n">
        <x:f>MAX(F38-G38,0)</x:f>
        <x:v>0</x:v>
      </x:c>
      <x:c r="I38" s="74"/>
      <x:c r="J38" s="74" t="n">
        <x:f>MAX(H38-I38,0)</x:f>
        <x:v>0</x:v>
      </x:c>
      <x:c r="K38" s="77"/>
      <x:c r="L38" s="77"/>
      <x:c r="O38" t="str">
        <x:f>IF(A38="","",IF(J38=0,"Paid",IF(AND(K38&lt;&gt;"",TODAY()&gt;K38),"Overdue",IF(I38&gt;0,"Part Paid","Due"))))</x:f>
      </x:c>
      <x:c r="S38" s="79"/>
      <x:c r="T38" s="79"/>
      <x:c r="U38" s="80" t="str">
        <x:f>IF(OR(S38="",S38=0),"",T38/S38)</x:f>
      </x:c>
    </x:row>
    <x:row r="39">
      <x:c r="A39" s="76"/>
      <x:c r="F39" s="74"/>
      <x:c r="G39" s="74"/>
      <x:c r="H39" s="74" t="n">
        <x:f>MAX(F39-G39,0)</x:f>
        <x:v>0</x:v>
      </x:c>
      <x:c r="I39" s="74"/>
      <x:c r="J39" s="74" t="n">
        <x:f>MAX(H39-I39,0)</x:f>
        <x:v>0</x:v>
      </x:c>
      <x:c r="K39" s="77"/>
      <x:c r="L39" s="77"/>
      <x:c r="O39" t="str">
        <x:f>IF(A39="","",IF(J39=0,"Paid",IF(AND(K39&lt;&gt;"",TODAY()&gt;K39),"Overdue",IF(I39&gt;0,"Part Paid","Due"))))</x:f>
      </x:c>
      <x:c r="S39" s="79"/>
      <x:c r="T39" s="79"/>
      <x:c r="U39" s="80" t="str">
        <x:f>IF(OR(S39="",S39=0),"",T39/S39)</x:f>
      </x:c>
    </x:row>
    <x:row r="40">
      <x:c r="A40" s="76"/>
      <x:c r="F40" s="74"/>
      <x:c r="G40" s="74"/>
      <x:c r="H40" s="74" t="n">
        <x:f>MAX(F40-G40,0)</x:f>
        <x:v>0</x:v>
      </x:c>
      <x:c r="I40" s="74"/>
      <x:c r="J40" s="74" t="n">
        <x:f>MAX(H40-I40,0)</x:f>
        <x:v>0</x:v>
      </x:c>
      <x:c r="K40" s="77"/>
      <x:c r="L40" s="77"/>
      <x:c r="O40" t="str">
        <x:f>IF(A40="","",IF(J40=0,"Paid",IF(AND(K40&lt;&gt;"",TODAY()&gt;K40),"Overdue",IF(I40&gt;0,"Part Paid","Due"))))</x:f>
      </x:c>
      <x:c r="S40" s="79"/>
      <x:c r="T40" s="79"/>
      <x:c r="U40" s="80" t="str">
        <x:f>IF(OR(S40="",S40=0),"",T40/S40)</x:f>
      </x:c>
    </x:row>
    <x:row r="41">
      <x:c r="A41" s="76"/>
      <x:c r="F41" s="74"/>
      <x:c r="G41" s="74"/>
      <x:c r="H41" s="74" t="n">
        <x:f>MAX(F41-G41,0)</x:f>
        <x:v>0</x:v>
      </x:c>
      <x:c r="I41" s="74"/>
      <x:c r="J41" s="74" t="n">
        <x:f>MAX(H41-I41,0)</x:f>
        <x:v>0</x:v>
      </x:c>
      <x:c r="K41" s="77"/>
      <x:c r="L41" s="77"/>
      <x:c r="O41" t="str">
        <x:f>IF(A41="","",IF(J41=0,"Paid",IF(AND(K41&lt;&gt;"",TODAY()&gt;K41),"Overdue",IF(I41&gt;0,"Part Paid","Due"))))</x:f>
      </x:c>
      <x:c r="S41" s="79"/>
      <x:c r="T41" s="79"/>
      <x:c r="U41" s="80" t="str">
        <x:f>IF(OR(S41="",S41=0),"",T41/S41)</x:f>
      </x:c>
    </x:row>
    <x:row r="42">
      <x:c r="A42" s="76"/>
      <x:c r="F42" s="74"/>
      <x:c r="G42" s="74"/>
      <x:c r="H42" s="74" t="n">
        <x:f>MAX(F42-G42,0)</x:f>
        <x:v>0</x:v>
      </x:c>
      <x:c r="I42" s="74"/>
      <x:c r="J42" s="74" t="n">
        <x:f>MAX(H42-I42,0)</x:f>
        <x:v>0</x:v>
      </x:c>
      <x:c r="K42" s="77"/>
      <x:c r="L42" s="77"/>
      <x:c r="O42" t="str">
        <x:f>IF(A42="","",IF(J42=0,"Paid",IF(AND(K42&lt;&gt;"",TODAY()&gt;K42),"Overdue",IF(I42&gt;0,"Part Paid","Due"))))</x:f>
      </x:c>
      <x:c r="S42" s="79"/>
      <x:c r="T42" s="79"/>
      <x:c r="U42" s="80" t="str">
        <x:f>IF(OR(S42="",S42=0),"",T42/S42)</x:f>
      </x:c>
    </x:row>
    <x:row r="43">
      <x:c r="A43" s="76"/>
      <x:c r="F43" s="74"/>
      <x:c r="G43" s="74"/>
      <x:c r="H43" s="74" t="n">
        <x:f>MAX(F43-G43,0)</x:f>
        <x:v>0</x:v>
      </x:c>
      <x:c r="I43" s="74"/>
      <x:c r="J43" s="74" t="n">
        <x:f>MAX(H43-I43,0)</x:f>
        <x:v>0</x:v>
      </x:c>
      <x:c r="K43" s="77"/>
      <x:c r="L43" s="77"/>
      <x:c r="O43" t="str">
        <x:f>IF(A43="","",IF(J43=0,"Paid",IF(AND(K43&lt;&gt;"",TODAY()&gt;K43),"Overdue",IF(I43&gt;0,"Part Paid","Due"))))</x:f>
      </x:c>
      <x:c r="S43" s="79"/>
      <x:c r="T43" s="79"/>
      <x:c r="U43" s="80" t="str">
        <x:f>IF(OR(S43="",S43=0),"",T43/S43)</x:f>
      </x:c>
    </x:row>
    <x:row r="44">
      <x:c r="A44" s="76"/>
      <x:c r="F44" s="74"/>
      <x:c r="G44" s="74"/>
      <x:c r="H44" s="74" t="n">
        <x:f>MAX(F44-G44,0)</x:f>
        <x:v>0</x:v>
      </x:c>
      <x:c r="I44" s="74"/>
      <x:c r="J44" s="74" t="n">
        <x:f>MAX(H44-I44,0)</x:f>
        <x:v>0</x:v>
      </x:c>
      <x:c r="K44" s="77"/>
      <x:c r="L44" s="77"/>
      <x:c r="O44" t="str">
        <x:f>IF(A44="","",IF(J44=0,"Paid",IF(AND(K44&lt;&gt;"",TODAY()&gt;K44),"Overdue",IF(I44&gt;0,"Part Paid","Due"))))</x:f>
      </x:c>
      <x:c r="S44" s="79"/>
      <x:c r="T44" s="79"/>
      <x:c r="U44" s="80" t="str">
        <x:f>IF(OR(S44="",S44=0),"",T44/S44)</x:f>
      </x:c>
    </x:row>
    <x:row r="45">
      <x:c r="A45" s="76"/>
      <x:c r="F45" s="74"/>
      <x:c r="G45" s="74"/>
      <x:c r="H45" s="74" t="n">
        <x:f>MAX(F45-G45,0)</x:f>
        <x:v>0</x:v>
      </x:c>
      <x:c r="I45" s="74"/>
      <x:c r="J45" s="74" t="n">
        <x:f>MAX(H45-I45,0)</x:f>
        <x:v>0</x:v>
      </x:c>
      <x:c r="K45" s="77"/>
      <x:c r="L45" s="77"/>
      <x:c r="O45" t="str">
        <x:f>IF(A45="","",IF(J45=0,"Paid",IF(AND(K45&lt;&gt;"",TODAY()&gt;K45),"Overdue",IF(I45&gt;0,"Part Paid","Due"))))</x:f>
      </x:c>
      <x:c r="S45" s="79"/>
      <x:c r="T45" s="79"/>
      <x:c r="U45" s="80" t="str">
        <x:f>IF(OR(S45="",S45=0),"",T45/S45)</x:f>
      </x:c>
    </x:row>
    <x:row r="46">
      <x:c r="A46" s="76"/>
      <x:c r="F46" s="74"/>
      <x:c r="G46" s="74"/>
      <x:c r="H46" s="74" t="n">
        <x:f>MAX(F46-G46,0)</x:f>
        <x:v>0</x:v>
      </x:c>
      <x:c r="I46" s="74"/>
      <x:c r="J46" s="74" t="n">
        <x:f>MAX(H46-I46,0)</x:f>
        <x:v>0</x:v>
      </x:c>
      <x:c r="K46" s="77"/>
      <x:c r="L46" s="77"/>
      <x:c r="O46" t="str">
        <x:f>IF(A46="","",IF(J46=0,"Paid",IF(AND(K46&lt;&gt;"",TODAY()&gt;K46),"Overdue",IF(I46&gt;0,"Part Paid","Due"))))</x:f>
      </x:c>
      <x:c r="S46" s="79"/>
      <x:c r="T46" s="79"/>
      <x:c r="U46" s="80" t="str">
        <x:f>IF(OR(S46="",S46=0),"",T46/S46)</x:f>
      </x:c>
    </x:row>
    <x:row r="47">
      <x:c r="A47" s="76"/>
      <x:c r="F47" s="74"/>
      <x:c r="G47" s="74"/>
      <x:c r="H47" s="74" t="n">
        <x:f>MAX(F47-G47,0)</x:f>
        <x:v>0</x:v>
      </x:c>
      <x:c r="I47" s="74"/>
      <x:c r="J47" s="74" t="n">
        <x:f>MAX(H47-I47,0)</x:f>
        <x:v>0</x:v>
      </x:c>
      <x:c r="K47" s="77"/>
      <x:c r="L47" s="77"/>
      <x:c r="O47" t="str">
        <x:f>IF(A47="","",IF(J47=0,"Paid",IF(AND(K47&lt;&gt;"",TODAY()&gt;K47),"Overdue",IF(I47&gt;0,"Part Paid","Due"))))</x:f>
      </x:c>
      <x:c r="S47" s="79"/>
      <x:c r="T47" s="79"/>
      <x:c r="U47" s="80" t="str">
        <x:f>IF(OR(S47="",S47=0),"",T47/S47)</x:f>
      </x:c>
    </x:row>
    <x:row r="48">
      <x:c r="A48" s="76"/>
      <x:c r="F48" s="74"/>
      <x:c r="G48" s="74"/>
      <x:c r="H48" s="74" t="n">
        <x:f>MAX(F48-G48,0)</x:f>
        <x:v>0</x:v>
      </x:c>
      <x:c r="I48" s="74"/>
      <x:c r="J48" s="74" t="n">
        <x:f>MAX(H48-I48,0)</x:f>
        <x:v>0</x:v>
      </x:c>
      <x:c r="K48" s="77"/>
      <x:c r="L48" s="77"/>
      <x:c r="O48" t="str">
        <x:f>IF(A48="","",IF(J48=0,"Paid",IF(AND(K48&lt;&gt;"",TODAY()&gt;K48),"Overdue",IF(I48&gt;0,"Part Paid","Due"))))</x:f>
      </x:c>
      <x:c r="S48" s="79"/>
      <x:c r="T48" s="79"/>
      <x:c r="U48" s="80" t="str">
        <x:f>IF(OR(S48="",S48=0),"",T48/S48)</x:f>
      </x:c>
    </x:row>
    <x:row r="49">
      <x:c r="A49" s="76"/>
      <x:c r="F49" s="74"/>
      <x:c r="G49" s="74"/>
      <x:c r="H49" s="74" t="n">
        <x:f>MAX(F49-G49,0)</x:f>
        <x:v>0</x:v>
      </x:c>
      <x:c r="I49" s="74"/>
      <x:c r="J49" s="74" t="n">
        <x:f>MAX(H49-I49,0)</x:f>
        <x:v>0</x:v>
      </x:c>
      <x:c r="K49" s="77"/>
      <x:c r="L49" s="77"/>
      <x:c r="O49" t="str">
        <x:f>IF(A49="","",IF(J49=0,"Paid",IF(AND(K49&lt;&gt;"",TODAY()&gt;K49),"Overdue",IF(I49&gt;0,"Part Paid","Due"))))</x:f>
      </x:c>
      <x:c r="S49" s="79"/>
      <x:c r="T49" s="79"/>
      <x:c r="U49" s="80" t="str">
        <x:f>IF(OR(S49="",S49=0),"",T49/S49)</x:f>
      </x:c>
    </x:row>
    <x:row r="50">
      <x:c r="A50" s="76"/>
      <x:c r="F50" s="74"/>
      <x:c r="G50" s="74"/>
      <x:c r="H50" s="74" t="n">
        <x:f>MAX(F50-G50,0)</x:f>
        <x:v>0</x:v>
      </x:c>
      <x:c r="I50" s="74"/>
      <x:c r="J50" s="74" t="n">
        <x:f>MAX(H50-I50,0)</x:f>
        <x:v>0</x:v>
      </x:c>
      <x:c r="K50" s="77"/>
      <x:c r="L50" s="77"/>
      <x:c r="O50" t="str">
        <x:f>IF(A50="","",IF(J50=0,"Paid",IF(AND(K50&lt;&gt;"",TODAY()&gt;K50),"Overdue",IF(I50&gt;0,"Part Paid","Due"))))</x:f>
      </x:c>
      <x:c r="S50" s="79"/>
      <x:c r="T50" s="79"/>
      <x:c r="U50" s="80" t="str">
        <x:f>IF(OR(S50="",S50=0),"",T50/S50)</x:f>
      </x:c>
    </x:row>
    <x:row r="51">
      <x:c r="A51" s="76"/>
      <x:c r="F51" s="74"/>
      <x:c r="G51" s="74"/>
      <x:c r="H51" s="74" t="n">
        <x:f>MAX(F51-G51,0)</x:f>
        <x:v>0</x:v>
      </x:c>
      <x:c r="I51" s="74"/>
      <x:c r="J51" s="74" t="n">
        <x:f>MAX(H51-I51,0)</x:f>
        <x:v>0</x:v>
      </x:c>
      <x:c r="K51" s="77"/>
      <x:c r="L51" s="77"/>
      <x:c r="O51" t="str">
        <x:f>IF(A51="","",IF(J51=0,"Paid",IF(AND(K51&lt;&gt;"",TODAY()&gt;K51),"Overdue",IF(I51&gt;0,"Part Paid","Due"))))</x:f>
      </x:c>
      <x:c r="S51" s="79"/>
      <x:c r="T51" s="79"/>
      <x:c r="U51" s="80" t="str">
        <x:f>IF(OR(S51="",S51=0),"",T51/S51)</x:f>
      </x:c>
    </x:row>
    <x:row r="52">
      <x:c r="A52" s="76"/>
      <x:c r="F52" s="74"/>
      <x:c r="G52" s="74"/>
      <x:c r="H52" s="74" t="n">
        <x:f>MAX(F52-G52,0)</x:f>
        <x:v>0</x:v>
      </x:c>
      <x:c r="I52" s="74"/>
      <x:c r="J52" s="74" t="n">
        <x:f>MAX(H52-I52,0)</x:f>
        <x:v>0</x:v>
      </x:c>
      <x:c r="K52" s="77"/>
      <x:c r="L52" s="77"/>
      <x:c r="O52" t="str">
        <x:f>IF(A52="","",IF(J52=0,"Paid",IF(AND(K52&lt;&gt;"",TODAY()&gt;K52),"Overdue",IF(I52&gt;0,"Part Paid","Due"))))</x:f>
      </x:c>
      <x:c r="S52" s="79"/>
      <x:c r="T52" s="79"/>
      <x:c r="U52" s="80" t="str">
        <x:f>IF(OR(S52="",S52=0),"",T52/S52)</x:f>
      </x:c>
    </x:row>
    <x:row r="53">
      <x:c r="A53" s="76"/>
      <x:c r="F53" s="74"/>
      <x:c r="G53" s="74"/>
      <x:c r="H53" s="74" t="n">
        <x:f>MAX(F53-G53,0)</x:f>
        <x:v>0</x:v>
      </x:c>
      <x:c r="I53" s="74"/>
      <x:c r="J53" s="74" t="n">
        <x:f>MAX(H53-I53,0)</x:f>
        <x:v>0</x:v>
      </x:c>
      <x:c r="K53" s="77"/>
      <x:c r="L53" s="77"/>
      <x:c r="O53" t="str">
        <x:f>IF(A53="","",IF(J53=0,"Paid",IF(AND(K53&lt;&gt;"",TODAY()&gt;K53),"Overdue",IF(I53&gt;0,"Part Paid","Due"))))</x:f>
      </x:c>
      <x:c r="S53" s="79"/>
      <x:c r="T53" s="79"/>
      <x:c r="U53" s="80" t="str">
        <x:f>IF(OR(S53="",S53=0),"",T53/S53)</x:f>
      </x:c>
    </x:row>
    <x:row r="54">
      <x:c r="A54" s="76"/>
      <x:c r="F54" s="74"/>
      <x:c r="G54" s="74"/>
      <x:c r="H54" s="74" t="n">
        <x:f>MAX(F54-G54,0)</x:f>
        <x:v>0</x:v>
      </x:c>
      <x:c r="I54" s="74"/>
      <x:c r="J54" s="74" t="n">
        <x:f>MAX(H54-I54,0)</x:f>
        <x:v>0</x:v>
      </x:c>
      <x:c r="K54" s="77"/>
      <x:c r="L54" s="77"/>
      <x:c r="O54" t="str">
        <x:f>IF(A54="","",IF(J54=0,"Paid",IF(AND(K54&lt;&gt;"",TODAY()&gt;K54),"Overdue",IF(I54&gt;0,"Part Paid","Due"))))</x:f>
      </x:c>
      <x:c r="S54" s="79"/>
      <x:c r="T54" s="79"/>
      <x:c r="U54" s="80" t="str">
        <x:f>IF(OR(S54="",S54=0),"",T54/S54)</x:f>
      </x:c>
    </x:row>
    <x:row r="55">
      <x:c r="A55" s="76"/>
      <x:c r="F55" s="74"/>
      <x:c r="G55" s="74"/>
      <x:c r="H55" s="74" t="n">
        <x:f>MAX(F55-G55,0)</x:f>
        <x:v>0</x:v>
      </x:c>
      <x:c r="I55" s="74"/>
      <x:c r="J55" s="74" t="n">
        <x:f>MAX(H55-I55,0)</x:f>
        <x:v>0</x:v>
      </x:c>
      <x:c r="K55" s="77"/>
      <x:c r="L55" s="77"/>
      <x:c r="O55" t="str">
        <x:f>IF(A55="","",IF(J55=0,"Paid",IF(AND(K55&lt;&gt;"",TODAY()&gt;K55),"Overdue",IF(I55&gt;0,"Part Paid","Due"))))</x:f>
      </x:c>
      <x:c r="S55" s="79"/>
      <x:c r="T55" s="79"/>
      <x:c r="U55" s="80" t="str">
        <x:f>IF(OR(S55="",S55=0),"",T55/S55)</x:f>
      </x:c>
    </x:row>
    <x:row r="56">
      <x:c r="A56" s="76"/>
      <x:c r="F56" s="74"/>
      <x:c r="G56" s="74"/>
      <x:c r="H56" s="74" t="n">
        <x:f>MAX(F56-G56,0)</x:f>
        <x:v>0</x:v>
      </x:c>
      <x:c r="I56" s="74"/>
      <x:c r="J56" s="74" t="n">
        <x:f>MAX(H56-I56,0)</x:f>
        <x:v>0</x:v>
      </x:c>
      <x:c r="K56" s="77"/>
      <x:c r="L56" s="77"/>
      <x:c r="O56" t="str">
        <x:f>IF(A56="","",IF(J56=0,"Paid",IF(AND(K56&lt;&gt;"",TODAY()&gt;K56),"Overdue",IF(I56&gt;0,"Part Paid","Due"))))</x:f>
      </x:c>
      <x:c r="S56" s="79"/>
      <x:c r="T56" s="79"/>
      <x:c r="U56" s="80" t="str">
        <x:f>IF(OR(S56="",S56=0),"",T56/S56)</x:f>
      </x:c>
    </x:row>
    <x:row r="57">
      <x:c r="A57" s="76"/>
      <x:c r="F57" s="74"/>
      <x:c r="G57" s="74"/>
      <x:c r="H57" s="74" t="n">
        <x:f>MAX(F57-G57,0)</x:f>
        <x:v>0</x:v>
      </x:c>
      <x:c r="I57" s="74"/>
      <x:c r="J57" s="74" t="n">
        <x:f>MAX(H57-I57,0)</x:f>
        <x:v>0</x:v>
      </x:c>
      <x:c r="K57" s="77"/>
      <x:c r="L57" s="77"/>
      <x:c r="O57" t="str">
        <x:f>IF(A57="","",IF(J57=0,"Paid",IF(AND(K57&lt;&gt;"",TODAY()&gt;K57),"Overdue",IF(I57&gt;0,"Part Paid","Due"))))</x:f>
      </x:c>
      <x:c r="S57" s="79"/>
      <x:c r="T57" s="79"/>
      <x:c r="U57" s="80" t="str">
        <x:f>IF(OR(S57="",S57=0),"",T57/S57)</x:f>
      </x:c>
    </x:row>
    <x:row r="58">
      <x:c r="A58" s="76"/>
      <x:c r="F58" s="74"/>
      <x:c r="G58" s="74"/>
      <x:c r="H58" s="74" t="n">
        <x:f>MAX(F58-G58,0)</x:f>
        <x:v>0</x:v>
      </x:c>
      <x:c r="I58" s="74"/>
      <x:c r="J58" s="74" t="n">
        <x:f>MAX(H58-I58,0)</x:f>
        <x:v>0</x:v>
      </x:c>
      <x:c r="K58" s="77"/>
      <x:c r="L58" s="77"/>
      <x:c r="O58" t="str">
        <x:f>IF(A58="","",IF(J58=0,"Paid",IF(AND(K58&lt;&gt;"",TODAY()&gt;K58),"Overdue",IF(I58&gt;0,"Part Paid","Due"))))</x:f>
      </x:c>
      <x:c r="S58" s="79"/>
      <x:c r="T58" s="79"/>
      <x:c r="U58" s="80" t="str">
        <x:f>IF(OR(S58="",S58=0),"",T58/S58)</x:f>
      </x:c>
    </x:row>
    <x:row r="59">
      <x:c r="A59" s="76"/>
      <x:c r="F59" s="74"/>
      <x:c r="G59" s="74"/>
      <x:c r="H59" s="74" t="n">
        <x:f>MAX(F59-G59,0)</x:f>
        <x:v>0</x:v>
      </x:c>
      <x:c r="I59" s="74"/>
      <x:c r="J59" s="74" t="n">
        <x:f>MAX(H59-I59,0)</x:f>
        <x:v>0</x:v>
      </x:c>
      <x:c r="K59" s="77"/>
      <x:c r="L59" s="77"/>
      <x:c r="O59" t="str">
        <x:f>IF(A59="","",IF(J59=0,"Paid",IF(AND(K59&lt;&gt;"",TODAY()&gt;K59),"Overdue",IF(I59&gt;0,"Part Paid","Due"))))</x:f>
      </x:c>
      <x:c r="S59" s="79"/>
      <x:c r="T59" s="79"/>
      <x:c r="U59" s="80" t="str">
        <x:f>IF(OR(S59="",S59=0),"",T59/S59)</x:f>
      </x:c>
    </x:row>
    <x:row r="60">
      <x:c r="A60" s="76"/>
      <x:c r="F60" s="74"/>
      <x:c r="G60" s="74"/>
      <x:c r="H60" s="74" t="n">
        <x:f>MAX(F60-G60,0)</x:f>
        <x:v>0</x:v>
      </x:c>
      <x:c r="I60" s="74"/>
      <x:c r="J60" s="74" t="n">
        <x:f>MAX(H60-I60,0)</x:f>
        <x:v>0</x:v>
      </x:c>
      <x:c r="K60" s="77"/>
      <x:c r="L60" s="77"/>
      <x:c r="O60" t="str">
        <x:f>IF(A60="","",IF(J60=0,"Paid",IF(AND(K60&lt;&gt;"",TODAY()&gt;K60),"Overdue",IF(I60&gt;0,"Part Paid","Due"))))</x:f>
      </x:c>
      <x:c r="S60" s="79"/>
      <x:c r="T60" s="79"/>
      <x:c r="U60" s="80" t="str">
        <x:f>IF(OR(S60="",S60=0),"",T60/S60)</x:f>
      </x:c>
    </x:row>
    <x:row r="61">
      <x:c r="A61" s="76"/>
      <x:c r="F61" s="74"/>
      <x:c r="G61" s="74"/>
      <x:c r="H61" s="74" t="n">
        <x:f>MAX(F61-G61,0)</x:f>
        <x:v>0</x:v>
      </x:c>
      <x:c r="I61" s="74"/>
      <x:c r="J61" s="74" t="n">
        <x:f>MAX(H61-I61,0)</x:f>
        <x:v>0</x:v>
      </x:c>
      <x:c r="K61" s="77"/>
      <x:c r="L61" s="77"/>
      <x:c r="O61" t="str">
        <x:f>IF(A61="","",IF(J61=0,"Paid",IF(AND(K61&lt;&gt;"",TODAY()&gt;K61),"Overdue",IF(I61&gt;0,"Part Paid","Due"))))</x:f>
      </x:c>
      <x:c r="S61" s="79"/>
      <x:c r="T61" s="79"/>
      <x:c r="U61" s="80" t="str">
        <x:f>IF(OR(S61="",S61=0),"",T61/S61)</x:f>
      </x:c>
    </x:row>
    <x:row r="62">
      <x:c r="A62" s="76"/>
      <x:c r="F62" s="74"/>
      <x:c r="G62" s="74"/>
      <x:c r="H62" s="74" t="n">
        <x:f>MAX(F62-G62,0)</x:f>
        <x:v>0</x:v>
      </x:c>
      <x:c r="I62" s="74"/>
      <x:c r="J62" s="74" t="n">
        <x:f>MAX(H62-I62,0)</x:f>
        <x:v>0</x:v>
      </x:c>
      <x:c r="K62" s="77"/>
      <x:c r="L62" s="77"/>
      <x:c r="O62" t="str">
        <x:f>IF(A62="","",IF(J62=0,"Paid",IF(AND(K62&lt;&gt;"",TODAY()&gt;K62),"Overdue",IF(I62&gt;0,"Part Paid","Due"))))</x:f>
      </x:c>
      <x:c r="S62" s="79"/>
      <x:c r="T62" s="79"/>
      <x:c r="U62" s="80" t="str">
        <x:f>IF(OR(S62="",S62=0),"",T62/S62)</x:f>
      </x:c>
    </x:row>
    <x:row r="63">
      <x:c r="A63" s="76"/>
      <x:c r="F63" s="74"/>
      <x:c r="G63" s="74"/>
      <x:c r="H63" s="74" t="n">
        <x:f>MAX(F63-G63,0)</x:f>
        <x:v>0</x:v>
      </x:c>
      <x:c r="I63" s="74"/>
      <x:c r="J63" s="74" t="n">
        <x:f>MAX(H63-I63,0)</x:f>
        <x:v>0</x:v>
      </x:c>
      <x:c r="K63" s="77"/>
      <x:c r="L63" s="77"/>
      <x:c r="O63" t="str">
        <x:f>IF(A63="","",IF(J63=0,"Paid",IF(AND(K63&lt;&gt;"",TODAY()&gt;K63),"Overdue",IF(I63&gt;0,"Part Paid","Due"))))</x:f>
      </x:c>
      <x:c r="S63" s="79"/>
      <x:c r="T63" s="79"/>
      <x:c r="U63" s="80" t="str">
        <x:f>IF(OR(S63="",S63=0),"",T63/S63)</x:f>
      </x:c>
    </x:row>
    <x:row r="64">
      <x:c r="A64" s="76"/>
      <x:c r="F64" s="74"/>
      <x:c r="G64" s="74"/>
      <x:c r="H64" s="74" t="n">
        <x:f>MAX(F64-G64,0)</x:f>
        <x:v>0</x:v>
      </x:c>
      <x:c r="I64" s="74"/>
      <x:c r="J64" s="74" t="n">
        <x:f>MAX(H64-I64,0)</x:f>
        <x:v>0</x:v>
      </x:c>
      <x:c r="K64" s="77"/>
      <x:c r="L64" s="77"/>
      <x:c r="O64" t="str">
        <x:f>IF(A64="","",IF(J64=0,"Paid",IF(AND(K64&lt;&gt;"",TODAY()&gt;K64),"Overdue",IF(I64&gt;0,"Part Paid","Due"))))</x:f>
      </x:c>
      <x:c r="S64" s="79"/>
      <x:c r="T64" s="79"/>
      <x:c r="U64" s="80" t="str">
        <x:f>IF(OR(S64="",S64=0),"",T64/S64)</x:f>
      </x:c>
    </x:row>
    <x:row r="65">
      <x:c r="A65" s="76"/>
      <x:c r="F65" s="74"/>
      <x:c r="G65" s="74"/>
      <x:c r="H65" s="74" t="n">
        <x:f>MAX(F65-G65,0)</x:f>
        <x:v>0</x:v>
      </x:c>
      <x:c r="I65" s="74"/>
      <x:c r="J65" s="74" t="n">
        <x:f>MAX(H65-I65,0)</x:f>
        <x:v>0</x:v>
      </x:c>
      <x:c r="K65" s="77"/>
      <x:c r="L65" s="77"/>
      <x:c r="O65" t="str">
        <x:f>IF(A65="","",IF(J65=0,"Paid",IF(AND(K65&lt;&gt;"",TODAY()&gt;K65),"Overdue",IF(I65&gt;0,"Part Paid","Due"))))</x:f>
      </x:c>
      <x:c r="S65" s="79"/>
      <x:c r="T65" s="79"/>
      <x:c r="U65" s="80" t="str">
        <x:f>IF(OR(S65="",S65=0),"",T65/S65)</x:f>
      </x:c>
    </x:row>
    <x:row r="66">
      <x:c r="A66" s="76"/>
      <x:c r="F66" s="74"/>
      <x:c r="G66" s="74"/>
      <x:c r="H66" s="74" t="n">
        <x:f>MAX(F66-G66,0)</x:f>
        <x:v>0</x:v>
      </x:c>
      <x:c r="I66" s="74"/>
      <x:c r="J66" s="74" t="n">
        <x:f>MAX(H66-I66,0)</x:f>
        <x:v>0</x:v>
      </x:c>
      <x:c r="K66" s="77"/>
      <x:c r="L66" s="77"/>
      <x:c r="O66" t="str">
        <x:f>IF(A66="","",IF(J66=0,"Paid",IF(AND(K66&lt;&gt;"",TODAY()&gt;K66),"Overdue",IF(I66&gt;0,"Part Paid","Due"))))</x:f>
      </x:c>
      <x:c r="S66" s="79"/>
      <x:c r="T66" s="79"/>
      <x:c r="U66" s="80" t="str">
        <x:f>IF(OR(S66="",S66=0),"",T66/S66)</x:f>
      </x:c>
    </x:row>
    <x:row r="67">
      <x:c r="A67" s="76"/>
      <x:c r="F67" s="74"/>
      <x:c r="G67" s="74"/>
      <x:c r="H67" s="74" t="n">
        <x:f>MAX(F67-G67,0)</x:f>
        <x:v>0</x:v>
      </x:c>
      <x:c r="I67" s="74"/>
      <x:c r="J67" s="74" t="n">
        <x:f>MAX(H67-I67,0)</x:f>
        <x:v>0</x:v>
      </x:c>
      <x:c r="K67" s="77"/>
      <x:c r="L67" s="77"/>
      <x:c r="O67" t="str">
        <x:f>IF(A67="","",IF(J67=0,"Paid",IF(AND(K67&lt;&gt;"",TODAY()&gt;K67),"Overdue",IF(I67&gt;0,"Part Paid","Due"))))</x:f>
      </x:c>
      <x:c r="S67" s="79"/>
      <x:c r="T67" s="79"/>
      <x:c r="U67" s="80" t="str">
        <x:f>IF(OR(S67="",S67=0),"",T67/S67)</x:f>
      </x:c>
    </x:row>
    <x:row r="68">
      <x:c r="A68" s="76"/>
      <x:c r="F68" s="74"/>
      <x:c r="G68" s="74"/>
      <x:c r="H68" s="74" t="n">
        <x:f>MAX(F68-G68,0)</x:f>
        <x:v>0</x:v>
      </x:c>
      <x:c r="I68" s="74"/>
      <x:c r="J68" s="74" t="n">
        <x:f>MAX(H68-I68,0)</x:f>
        <x:v>0</x:v>
      </x:c>
      <x:c r="K68" s="77"/>
      <x:c r="L68" s="77"/>
      <x:c r="O68" t="str">
        <x:f>IF(A68="","",IF(J68=0,"Paid",IF(AND(K68&lt;&gt;"",TODAY()&gt;K68),"Overdue",IF(I68&gt;0,"Part Paid","Due"))))</x:f>
      </x:c>
      <x:c r="S68" s="79"/>
      <x:c r="T68" s="79"/>
      <x:c r="U68" s="80" t="str">
        <x:f>IF(OR(S68="",S68=0),"",T68/S68)</x:f>
      </x:c>
    </x:row>
    <x:row r="69">
      <x:c r="A69" s="76"/>
      <x:c r="F69" s="74"/>
      <x:c r="G69" s="74"/>
      <x:c r="H69" s="74" t="n">
        <x:f>MAX(F69-G69,0)</x:f>
        <x:v>0</x:v>
      </x:c>
      <x:c r="I69" s="74"/>
      <x:c r="J69" s="74" t="n">
        <x:f>MAX(H69-I69,0)</x:f>
        <x:v>0</x:v>
      </x:c>
      <x:c r="K69" s="77"/>
      <x:c r="L69" s="77"/>
      <x:c r="O69" t="str">
        <x:f>IF(A69="","",IF(J69=0,"Paid",IF(AND(K69&lt;&gt;"",TODAY()&gt;K69),"Overdue",IF(I69&gt;0,"Part Paid","Due"))))</x:f>
      </x:c>
      <x:c r="S69" s="79"/>
      <x:c r="T69" s="79"/>
      <x:c r="U69" s="80" t="str">
        <x:f>IF(OR(S69="",S69=0),"",T69/S69)</x:f>
      </x:c>
    </x:row>
    <x:row r="70">
      <x:c r="A70" s="76"/>
      <x:c r="F70" s="74"/>
      <x:c r="G70" s="74"/>
      <x:c r="H70" s="74" t="n">
        <x:f>MAX(F70-G70,0)</x:f>
        <x:v>0</x:v>
      </x:c>
      <x:c r="I70" s="74"/>
      <x:c r="J70" s="74" t="n">
        <x:f>MAX(H70-I70,0)</x:f>
        <x:v>0</x:v>
      </x:c>
      <x:c r="K70" s="77"/>
      <x:c r="L70" s="77"/>
      <x:c r="O70" t="str">
        <x:f>IF(A70="","",IF(J70=0,"Paid",IF(AND(K70&lt;&gt;"",TODAY()&gt;K70),"Overdue",IF(I70&gt;0,"Part Paid","Due"))))</x:f>
      </x:c>
      <x:c r="S70" s="79"/>
      <x:c r="T70" s="79"/>
      <x:c r="U70" s="80" t="str">
        <x:f>IF(OR(S70="",S70=0),"",T70/S70)</x:f>
      </x:c>
    </x:row>
    <x:row r="71">
      <x:c r="A71" s="76"/>
      <x:c r="F71" s="74"/>
      <x:c r="G71" s="74"/>
      <x:c r="H71" s="74" t="n">
        <x:f>MAX(F71-G71,0)</x:f>
        <x:v>0</x:v>
      </x:c>
      <x:c r="I71" s="74"/>
      <x:c r="J71" s="74" t="n">
        <x:f>MAX(H71-I71,0)</x:f>
        <x:v>0</x:v>
      </x:c>
      <x:c r="K71" s="77"/>
      <x:c r="L71" s="77"/>
      <x:c r="O71" t="str">
        <x:f>IF(A71="","",IF(J71=0,"Paid",IF(AND(K71&lt;&gt;"",TODAY()&gt;K71),"Overdue",IF(I71&gt;0,"Part Paid","Due"))))</x:f>
      </x:c>
      <x:c r="S71" s="79"/>
      <x:c r="T71" s="79"/>
      <x:c r="U71" s="80" t="str">
        <x:f>IF(OR(S71="",S71=0),"",T71/S71)</x:f>
      </x:c>
    </x:row>
    <x:row r="72">
      <x:c r="A72" s="76"/>
      <x:c r="F72" s="74"/>
      <x:c r="G72" s="74"/>
      <x:c r="H72" s="74" t="n">
        <x:f>MAX(F72-G72,0)</x:f>
        <x:v>0</x:v>
      </x:c>
      <x:c r="I72" s="74"/>
      <x:c r="J72" s="74" t="n">
        <x:f>MAX(H72-I72,0)</x:f>
        <x:v>0</x:v>
      </x:c>
      <x:c r="K72" s="77"/>
      <x:c r="L72" s="77"/>
      <x:c r="O72" t="str">
        <x:f>IF(A72="","",IF(J72=0,"Paid",IF(AND(K72&lt;&gt;"",TODAY()&gt;K72),"Overdue",IF(I72&gt;0,"Part Paid","Due"))))</x:f>
      </x:c>
      <x:c r="S72" s="79"/>
      <x:c r="T72" s="79"/>
      <x:c r="U72" s="80" t="str">
        <x:f>IF(OR(S72="",S72=0),"",T72/S72)</x:f>
      </x:c>
    </x:row>
    <x:row r="73">
      <x:c r="A73" s="76"/>
      <x:c r="F73" s="74"/>
      <x:c r="G73" s="74"/>
      <x:c r="H73" s="74" t="n">
        <x:f>MAX(F73-G73,0)</x:f>
        <x:v>0</x:v>
      </x:c>
      <x:c r="I73" s="74"/>
      <x:c r="J73" s="74" t="n">
        <x:f>MAX(H73-I73,0)</x:f>
        <x:v>0</x:v>
      </x:c>
      <x:c r="K73" s="77"/>
      <x:c r="L73" s="77"/>
      <x:c r="O73" t="str">
        <x:f>IF(A73="","",IF(J73=0,"Paid",IF(AND(K73&lt;&gt;"",TODAY()&gt;K73),"Overdue",IF(I73&gt;0,"Part Paid","Due"))))</x:f>
      </x:c>
      <x:c r="S73" s="79"/>
      <x:c r="T73" s="79"/>
      <x:c r="U73" s="80" t="str">
        <x:f>IF(OR(S73="",S73=0),"",T73/S73)</x:f>
      </x:c>
    </x:row>
    <x:row r="74">
      <x:c r="A74" s="76"/>
      <x:c r="F74" s="74"/>
      <x:c r="G74" s="74"/>
      <x:c r="H74" s="74" t="n">
        <x:f>MAX(F74-G74,0)</x:f>
        <x:v>0</x:v>
      </x:c>
      <x:c r="I74" s="74"/>
      <x:c r="J74" s="74" t="n">
        <x:f>MAX(H74-I74,0)</x:f>
        <x:v>0</x:v>
      </x:c>
      <x:c r="K74" s="77"/>
      <x:c r="L74" s="77"/>
      <x:c r="O74" t="str">
        <x:f>IF(A74="","",IF(J74=0,"Paid",IF(AND(K74&lt;&gt;"",TODAY()&gt;K74),"Overdue",IF(I74&gt;0,"Part Paid","Due"))))</x:f>
      </x:c>
      <x:c r="S74" s="79"/>
      <x:c r="T74" s="79"/>
      <x:c r="U74" s="80" t="str">
        <x:f>IF(OR(S74="",S74=0),"",T74/S74)</x:f>
      </x:c>
    </x:row>
    <x:row r="75">
      <x:c r="A75" s="76"/>
      <x:c r="F75" s="74"/>
      <x:c r="G75" s="74"/>
      <x:c r="H75" s="74" t="n">
        <x:f>MAX(F75-G75,0)</x:f>
        <x:v>0</x:v>
      </x:c>
      <x:c r="I75" s="74"/>
      <x:c r="J75" s="74" t="n">
        <x:f>MAX(H75-I75,0)</x:f>
        <x:v>0</x:v>
      </x:c>
      <x:c r="K75" s="77"/>
      <x:c r="L75" s="77"/>
      <x:c r="O75" t="str">
        <x:f>IF(A75="","",IF(J75=0,"Paid",IF(AND(K75&lt;&gt;"",TODAY()&gt;K75),"Overdue",IF(I75&gt;0,"Part Paid","Due"))))</x:f>
      </x:c>
      <x:c r="S75" s="79"/>
      <x:c r="T75" s="79"/>
      <x:c r="U75" s="80" t="str">
        <x:f>IF(OR(S75="",S75=0),"",T75/S75)</x:f>
      </x:c>
    </x:row>
    <x:row r="76">
      <x:c r="A76" s="76"/>
      <x:c r="F76" s="74"/>
      <x:c r="G76" s="74"/>
      <x:c r="H76" s="74" t="n">
        <x:f>MAX(F76-G76,0)</x:f>
        <x:v>0</x:v>
      </x:c>
      <x:c r="I76" s="74"/>
      <x:c r="J76" s="74" t="n">
        <x:f>MAX(H76-I76,0)</x:f>
        <x:v>0</x:v>
      </x:c>
      <x:c r="K76" s="77"/>
      <x:c r="L76" s="77"/>
      <x:c r="O76" t="str">
        <x:f>IF(A76="","",IF(J76=0,"Paid",IF(AND(K76&lt;&gt;"",TODAY()&gt;K76),"Overdue",IF(I76&gt;0,"Part Paid","Due"))))</x:f>
      </x:c>
      <x:c r="S76" s="79"/>
      <x:c r="T76" s="79"/>
      <x:c r="U76" s="80" t="str">
        <x:f>IF(OR(S76="",S76=0),"",T76/S76)</x:f>
      </x:c>
    </x:row>
    <x:row r="77">
      <x:c r="A77" s="76"/>
      <x:c r="F77" s="74"/>
      <x:c r="G77" s="74"/>
      <x:c r="H77" s="74" t="n">
        <x:f>MAX(F77-G77,0)</x:f>
        <x:v>0</x:v>
      </x:c>
      <x:c r="I77" s="74"/>
      <x:c r="J77" s="74" t="n">
        <x:f>MAX(H77-I77,0)</x:f>
        <x:v>0</x:v>
      </x:c>
      <x:c r="K77" s="77"/>
      <x:c r="L77" s="77"/>
      <x:c r="O77" t="str">
        <x:f>IF(A77="","",IF(J77=0,"Paid",IF(AND(K77&lt;&gt;"",TODAY()&gt;K77),"Overdue",IF(I77&gt;0,"Part Paid","Due"))))</x:f>
      </x:c>
      <x:c r="S77" s="79"/>
      <x:c r="T77" s="79"/>
      <x:c r="U77" s="80" t="str">
        <x:f>IF(OR(S77="",S77=0),"",T77/S77)</x:f>
      </x:c>
    </x:row>
    <x:row r="78">
      <x:c r="A78" s="76"/>
      <x:c r="F78" s="74"/>
      <x:c r="G78" s="74"/>
      <x:c r="H78" s="74" t="n">
        <x:f>MAX(F78-G78,0)</x:f>
        <x:v>0</x:v>
      </x:c>
      <x:c r="I78" s="74"/>
      <x:c r="J78" s="74" t="n">
        <x:f>MAX(H78-I78,0)</x:f>
        <x:v>0</x:v>
      </x:c>
      <x:c r="K78" s="77"/>
      <x:c r="L78" s="77"/>
      <x:c r="O78" t="str">
        <x:f>IF(A78="","",IF(J78=0,"Paid",IF(AND(K78&lt;&gt;"",TODAY()&gt;K78),"Overdue",IF(I78&gt;0,"Part Paid","Due"))))</x:f>
      </x:c>
      <x:c r="S78" s="79"/>
      <x:c r="T78" s="79"/>
      <x:c r="U78" s="80" t="str">
        <x:f>IF(OR(S78="",S78=0),"",T78/S78)</x:f>
      </x:c>
    </x:row>
    <x:row r="79">
      <x:c r="A79" s="76"/>
      <x:c r="F79" s="74"/>
      <x:c r="G79" s="74"/>
      <x:c r="H79" s="74" t="n">
        <x:f>MAX(F79-G79,0)</x:f>
        <x:v>0</x:v>
      </x:c>
      <x:c r="I79" s="74"/>
      <x:c r="J79" s="74" t="n">
        <x:f>MAX(H79-I79,0)</x:f>
        <x:v>0</x:v>
      </x:c>
      <x:c r="K79" s="77"/>
      <x:c r="L79" s="77"/>
      <x:c r="O79" t="str">
        <x:f>IF(A79="","",IF(J79=0,"Paid",IF(AND(K79&lt;&gt;"",TODAY()&gt;K79),"Overdue",IF(I79&gt;0,"Part Paid","Due"))))</x:f>
      </x:c>
      <x:c r="S79" s="79"/>
      <x:c r="T79" s="79"/>
      <x:c r="U79" s="80" t="str">
        <x:f>IF(OR(S79="",S79=0),"",T79/S79)</x:f>
      </x:c>
    </x:row>
    <x:row r="80">
      <x:c r="A80" s="76"/>
      <x:c r="F80" s="74"/>
      <x:c r="G80" s="74"/>
      <x:c r="H80" s="74" t="n">
        <x:f>MAX(F80-G80,0)</x:f>
        <x:v>0</x:v>
      </x:c>
      <x:c r="I80" s="74"/>
      <x:c r="J80" s="74" t="n">
        <x:f>MAX(H80-I80,0)</x:f>
        <x:v>0</x:v>
      </x:c>
      <x:c r="K80" s="77"/>
      <x:c r="L80" s="77"/>
      <x:c r="O80" t="str">
        <x:f>IF(A80="","",IF(J80=0,"Paid",IF(AND(K80&lt;&gt;"",TODAY()&gt;K80),"Overdue",IF(I80&gt;0,"Part Paid","Due"))))</x:f>
      </x:c>
      <x:c r="S80" s="79"/>
      <x:c r="T80" s="79"/>
      <x:c r="U80" s="80" t="str">
        <x:f>IF(OR(S80="",S80=0),"",T80/S80)</x:f>
      </x:c>
    </x:row>
    <x:row r="81">
      <x:c r="A81" s="76"/>
      <x:c r="F81" s="74"/>
      <x:c r="G81" s="74"/>
      <x:c r="H81" s="74" t="n">
        <x:f>MAX(F81-G81,0)</x:f>
        <x:v>0</x:v>
      </x:c>
      <x:c r="I81" s="74"/>
      <x:c r="J81" s="74" t="n">
        <x:f>MAX(H81-I81,0)</x:f>
        <x:v>0</x:v>
      </x:c>
      <x:c r="K81" s="77"/>
      <x:c r="L81" s="77"/>
      <x:c r="O81" t="str">
        <x:f>IF(A81="","",IF(J81=0,"Paid",IF(AND(K81&lt;&gt;"",TODAY()&gt;K81),"Overdue",IF(I81&gt;0,"Part Paid","Due"))))</x:f>
      </x:c>
      <x:c r="S81" s="79"/>
      <x:c r="T81" s="79"/>
      <x:c r="U81" s="80" t="str">
        <x:f>IF(OR(S81="",S81=0),"",T81/S81)</x:f>
      </x:c>
    </x:row>
    <x:row r="82">
      <x:c r="A82" s="76"/>
      <x:c r="F82" s="74"/>
      <x:c r="G82" s="74"/>
      <x:c r="H82" s="74" t="n">
        <x:f>MAX(F82-G82,0)</x:f>
        <x:v>0</x:v>
      </x:c>
      <x:c r="I82" s="74"/>
      <x:c r="J82" s="74" t="n">
        <x:f>MAX(H82-I82,0)</x:f>
        <x:v>0</x:v>
      </x:c>
      <x:c r="K82" s="77"/>
      <x:c r="L82" s="77"/>
      <x:c r="O82" t="str">
        <x:f>IF(A82="","",IF(J82=0,"Paid",IF(AND(K82&lt;&gt;"",TODAY()&gt;K82),"Overdue",IF(I82&gt;0,"Part Paid","Due"))))</x:f>
      </x:c>
      <x:c r="S82" s="79"/>
      <x:c r="T82" s="79"/>
      <x:c r="U82" s="80" t="str">
        <x:f>IF(OR(S82="",S82=0),"",T82/S82)</x:f>
      </x:c>
    </x:row>
    <x:row r="83">
      <x:c r="A83" s="76"/>
      <x:c r="F83" s="74"/>
      <x:c r="G83" s="74"/>
      <x:c r="H83" s="74" t="n">
        <x:f>MAX(F83-G83,0)</x:f>
        <x:v>0</x:v>
      </x:c>
      <x:c r="I83" s="74"/>
      <x:c r="J83" s="74" t="n">
        <x:f>MAX(H83-I83,0)</x:f>
        <x:v>0</x:v>
      </x:c>
      <x:c r="K83" s="77"/>
      <x:c r="L83" s="77"/>
      <x:c r="O83" t="str">
        <x:f>IF(A83="","",IF(J83=0,"Paid",IF(AND(K83&lt;&gt;"",TODAY()&gt;K83),"Overdue",IF(I83&gt;0,"Part Paid","Due"))))</x:f>
      </x:c>
      <x:c r="S83" s="79"/>
      <x:c r="T83" s="79"/>
      <x:c r="U83" s="80" t="str">
        <x:f>IF(OR(S83="",S83=0),"",T83/S83)</x:f>
      </x:c>
    </x:row>
    <x:row r="84">
      <x:c r="A84" s="76"/>
      <x:c r="F84" s="74"/>
      <x:c r="G84" s="74"/>
      <x:c r="H84" s="74" t="n">
        <x:f>MAX(F84-G84,0)</x:f>
        <x:v>0</x:v>
      </x:c>
      <x:c r="I84" s="74"/>
      <x:c r="J84" s="74" t="n">
        <x:f>MAX(H84-I84,0)</x:f>
        <x:v>0</x:v>
      </x:c>
      <x:c r="K84" s="77"/>
      <x:c r="L84" s="77"/>
      <x:c r="O84" t="str">
        <x:f>IF(A84="","",IF(J84=0,"Paid",IF(AND(K84&lt;&gt;"",TODAY()&gt;K84),"Overdue",IF(I84&gt;0,"Part Paid","Due"))))</x:f>
      </x:c>
      <x:c r="S84" s="79"/>
      <x:c r="T84" s="79"/>
      <x:c r="U84" s="80" t="str">
        <x:f>IF(OR(S84="",S84=0),"",T84/S84)</x:f>
      </x:c>
    </x:row>
    <x:row r="85">
      <x:c r="A85" s="76"/>
      <x:c r="F85" s="74"/>
      <x:c r="G85" s="74"/>
      <x:c r="H85" s="74" t="n">
        <x:f>MAX(F85-G85,0)</x:f>
        <x:v>0</x:v>
      </x:c>
      <x:c r="I85" s="74"/>
      <x:c r="J85" s="74" t="n">
        <x:f>MAX(H85-I85,0)</x:f>
        <x:v>0</x:v>
      </x:c>
      <x:c r="K85" s="77"/>
      <x:c r="L85" s="77"/>
      <x:c r="O85" t="str">
        <x:f>IF(A85="","",IF(J85=0,"Paid",IF(AND(K85&lt;&gt;"",TODAY()&gt;K85),"Overdue",IF(I85&gt;0,"Part Paid","Due"))))</x:f>
      </x:c>
      <x:c r="S85" s="79"/>
      <x:c r="T85" s="79"/>
      <x:c r="U85" s="80" t="str">
        <x:f>IF(OR(S85="",S85=0),"",T85/S85)</x:f>
      </x:c>
    </x:row>
    <x:row r="86">
      <x:c r="A86" s="76"/>
      <x:c r="F86" s="74"/>
      <x:c r="G86" s="74"/>
      <x:c r="H86" s="74" t="n">
        <x:f>MAX(F86-G86,0)</x:f>
        <x:v>0</x:v>
      </x:c>
      <x:c r="I86" s="74"/>
      <x:c r="J86" s="74" t="n">
        <x:f>MAX(H86-I86,0)</x:f>
        <x:v>0</x:v>
      </x:c>
      <x:c r="K86" s="77"/>
      <x:c r="L86" s="77"/>
      <x:c r="O86" t="str">
        <x:f>IF(A86="","",IF(J86=0,"Paid",IF(AND(K86&lt;&gt;"",TODAY()&gt;K86),"Overdue",IF(I86&gt;0,"Part Paid","Due"))))</x:f>
      </x:c>
      <x:c r="S86" s="79"/>
      <x:c r="T86" s="79"/>
      <x:c r="U86" s="80" t="str">
        <x:f>IF(OR(S86="",S86=0),"",T86/S86)</x:f>
      </x:c>
    </x:row>
    <x:row r="87">
      <x:c r="A87" s="76"/>
      <x:c r="F87" s="74"/>
      <x:c r="G87" s="74"/>
      <x:c r="H87" s="74" t="n">
        <x:f>MAX(F87-G87,0)</x:f>
        <x:v>0</x:v>
      </x:c>
      <x:c r="I87" s="74"/>
      <x:c r="J87" s="74" t="n">
        <x:f>MAX(H87-I87,0)</x:f>
        <x:v>0</x:v>
      </x:c>
      <x:c r="K87" s="77"/>
      <x:c r="L87" s="77"/>
      <x:c r="O87" t="str">
        <x:f>IF(A87="","",IF(J87=0,"Paid",IF(AND(K87&lt;&gt;"",TODAY()&gt;K87),"Overdue",IF(I87&gt;0,"Part Paid","Due"))))</x:f>
      </x:c>
      <x:c r="S87" s="79"/>
      <x:c r="T87" s="79"/>
      <x:c r="U87" s="80" t="str">
        <x:f>IF(OR(S87="",S87=0),"",T87/S87)</x:f>
      </x:c>
    </x:row>
    <x:row r="88">
      <x:c r="A88" s="76"/>
      <x:c r="F88" s="74"/>
      <x:c r="G88" s="74"/>
      <x:c r="H88" s="74" t="n">
        <x:f>MAX(F88-G88,0)</x:f>
        <x:v>0</x:v>
      </x:c>
      <x:c r="I88" s="74"/>
      <x:c r="J88" s="74" t="n">
        <x:f>MAX(H88-I88,0)</x:f>
        <x:v>0</x:v>
      </x:c>
      <x:c r="K88" s="77"/>
      <x:c r="L88" s="77"/>
      <x:c r="O88" t="str">
        <x:f>IF(A88="","",IF(J88=0,"Paid",IF(AND(K88&lt;&gt;"",TODAY()&gt;K88),"Overdue",IF(I88&gt;0,"Part Paid","Due"))))</x:f>
      </x:c>
      <x:c r="S88" s="79"/>
      <x:c r="T88" s="79"/>
      <x:c r="U88" s="80" t="str">
        <x:f>IF(OR(S88="",S88=0),"",T88/S88)</x:f>
      </x:c>
    </x:row>
    <x:row r="89">
      <x:c r="A89" s="76"/>
      <x:c r="F89" s="74"/>
      <x:c r="G89" s="74"/>
      <x:c r="H89" s="74" t="n">
        <x:f>MAX(F89-G89,0)</x:f>
        <x:v>0</x:v>
      </x:c>
      <x:c r="I89" s="74"/>
      <x:c r="J89" s="74" t="n">
        <x:f>MAX(H89-I89,0)</x:f>
        <x:v>0</x:v>
      </x:c>
      <x:c r="K89" s="77"/>
      <x:c r="L89" s="77"/>
      <x:c r="O89" t="str">
        <x:f>IF(A89="","",IF(J89=0,"Paid",IF(AND(K89&lt;&gt;"",TODAY()&gt;K89),"Overdue",IF(I89&gt;0,"Part Paid","Due"))))</x:f>
      </x:c>
      <x:c r="S89" s="79"/>
      <x:c r="T89" s="79"/>
      <x:c r="U89" s="80" t="str">
        <x:f>IF(OR(S89="",S89=0),"",T89/S89)</x:f>
      </x:c>
    </x:row>
    <x:row r="90">
      <x:c r="A90" s="76"/>
      <x:c r="F90" s="74"/>
      <x:c r="G90" s="74"/>
      <x:c r="H90" s="74" t="n">
        <x:f>MAX(F90-G90,0)</x:f>
        <x:v>0</x:v>
      </x:c>
      <x:c r="I90" s="74"/>
      <x:c r="J90" s="74" t="n">
        <x:f>MAX(H90-I90,0)</x:f>
        <x:v>0</x:v>
      </x:c>
      <x:c r="K90" s="77"/>
      <x:c r="L90" s="77"/>
      <x:c r="O90" t="str">
        <x:f>IF(A90="","",IF(J90=0,"Paid",IF(AND(K90&lt;&gt;"",TODAY()&gt;K90),"Overdue",IF(I90&gt;0,"Part Paid","Due"))))</x:f>
      </x:c>
      <x:c r="S90" s="79"/>
      <x:c r="T90" s="79"/>
      <x:c r="U90" s="80" t="str">
        <x:f>IF(OR(S90="",S90=0),"",T90/S90)</x:f>
      </x:c>
    </x:row>
    <x:row r="91">
      <x:c r="A91" s="76"/>
      <x:c r="F91" s="74"/>
      <x:c r="G91" s="74"/>
      <x:c r="H91" s="74" t="n">
        <x:f>MAX(F91-G91,0)</x:f>
        <x:v>0</x:v>
      </x:c>
      <x:c r="I91" s="74"/>
      <x:c r="J91" s="74" t="n">
        <x:f>MAX(H91-I91,0)</x:f>
        <x:v>0</x:v>
      </x:c>
      <x:c r="K91" s="77"/>
      <x:c r="L91" s="77"/>
      <x:c r="O91" t="str">
        <x:f>IF(A91="","",IF(J91=0,"Paid",IF(AND(K91&lt;&gt;"",TODAY()&gt;K91),"Overdue",IF(I91&gt;0,"Part Paid","Due"))))</x:f>
      </x:c>
      <x:c r="S91" s="79"/>
      <x:c r="T91" s="79"/>
      <x:c r="U91" s="80" t="str">
        <x:f>IF(OR(S91="",S91=0),"",T91/S91)</x:f>
      </x:c>
    </x:row>
    <x:row r="92">
      <x:c r="A92" s="76"/>
      <x:c r="F92" s="74"/>
      <x:c r="G92" s="74"/>
      <x:c r="H92" s="74" t="n">
        <x:f>MAX(F92-G92,0)</x:f>
        <x:v>0</x:v>
      </x:c>
      <x:c r="I92" s="74"/>
      <x:c r="J92" s="74" t="n">
        <x:f>MAX(H92-I92,0)</x:f>
        <x:v>0</x:v>
      </x:c>
      <x:c r="K92" s="77"/>
      <x:c r="L92" s="77"/>
      <x:c r="O92" t="str">
        <x:f>IF(A92="","",IF(J92=0,"Paid",IF(AND(K92&lt;&gt;"",TODAY()&gt;K92),"Overdue",IF(I92&gt;0,"Part Paid","Due"))))</x:f>
      </x:c>
      <x:c r="S92" s="79"/>
      <x:c r="T92" s="79"/>
      <x:c r="U92" s="80" t="str">
        <x:f>IF(OR(S92="",S92=0),"",T92/S92)</x:f>
      </x:c>
    </x:row>
    <x:row r="93">
      <x:c r="A93" s="76"/>
      <x:c r="F93" s="74"/>
      <x:c r="G93" s="74"/>
      <x:c r="H93" s="74" t="n">
        <x:f>MAX(F93-G93,0)</x:f>
        <x:v>0</x:v>
      </x:c>
      <x:c r="I93" s="74"/>
      <x:c r="J93" s="74" t="n">
        <x:f>MAX(H93-I93,0)</x:f>
        <x:v>0</x:v>
      </x:c>
      <x:c r="K93" s="77"/>
      <x:c r="L93" s="77"/>
      <x:c r="O93" t="str">
        <x:f>IF(A93="","",IF(J93=0,"Paid",IF(AND(K93&lt;&gt;"",TODAY()&gt;K93),"Overdue",IF(I93&gt;0,"Part Paid","Due"))))</x:f>
      </x:c>
      <x:c r="S93" s="79"/>
      <x:c r="T93" s="79"/>
      <x:c r="U93" s="80" t="str">
        <x:f>IF(OR(S93="",S93=0),"",T93/S93)</x:f>
      </x:c>
    </x:row>
    <x:row r="94">
      <x:c r="A94" s="76"/>
      <x:c r="F94" s="74"/>
      <x:c r="G94" s="74"/>
      <x:c r="H94" s="74" t="n">
        <x:f>MAX(F94-G94,0)</x:f>
        <x:v>0</x:v>
      </x:c>
      <x:c r="I94" s="74"/>
      <x:c r="J94" s="74" t="n">
        <x:f>MAX(H94-I94,0)</x:f>
        <x:v>0</x:v>
      </x:c>
      <x:c r="K94" s="77"/>
      <x:c r="L94" s="77"/>
      <x:c r="O94" t="str">
        <x:f>IF(A94="","",IF(J94=0,"Paid",IF(AND(K94&lt;&gt;"",TODAY()&gt;K94),"Overdue",IF(I94&gt;0,"Part Paid","Due"))))</x:f>
      </x:c>
      <x:c r="S94" s="79"/>
      <x:c r="T94" s="79"/>
      <x:c r="U94" s="80" t="str">
        <x:f>IF(OR(S94="",S94=0),"",T94/S94)</x:f>
      </x:c>
    </x:row>
    <x:row r="95">
      <x:c r="A95" s="76"/>
      <x:c r="F95" s="74"/>
      <x:c r="G95" s="74"/>
      <x:c r="H95" s="74" t="n">
        <x:f>MAX(F95-G95,0)</x:f>
        <x:v>0</x:v>
      </x:c>
      <x:c r="I95" s="74"/>
      <x:c r="J95" s="74" t="n">
        <x:f>MAX(H95-I95,0)</x:f>
        <x:v>0</x:v>
      </x:c>
      <x:c r="K95" s="77"/>
      <x:c r="L95" s="77"/>
      <x:c r="O95" t="str">
        <x:f>IF(A95="","",IF(J95=0,"Paid",IF(AND(K95&lt;&gt;"",TODAY()&gt;K95),"Overdue",IF(I95&gt;0,"Part Paid","Due"))))</x:f>
      </x:c>
      <x:c r="S95" s="79"/>
      <x:c r="T95" s="79"/>
      <x:c r="U95" s="80" t="str">
        <x:f>IF(OR(S95="",S95=0),"",T95/S95)</x:f>
      </x:c>
    </x:row>
    <x:row r="96">
      <x:c r="A96" s="76"/>
      <x:c r="F96" s="74"/>
      <x:c r="G96" s="74"/>
      <x:c r="H96" s="74" t="n">
        <x:f>MAX(F96-G96,0)</x:f>
        <x:v>0</x:v>
      </x:c>
      <x:c r="I96" s="74"/>
      <x:c r="J96" s="74" t="n">
        <x:f>MAX(H96-I96,0)</x:f>
        <x:v>0</x:v>
      </x:c>
      <x:c r="K96" s="77"/>
      <x:c r="L96" s="77"/>
      <x:c r="O96" t="str">
        <x:f>IF(A96="","",IF(J96=0,"Paid",IF(AND(K96&lt;&gt;"",TODAY()&gt;K96),"Overdue",IF(I96&gt;0,"Part Paid","Due"))))</x:f>
      </x:c>
      <x:c r="S96" s="79"/>
      <x:c r="T96" s="79"/>
      <x:c r="U96" s="80" t="str">
        <x:f>IF(OR(S96="",S96=0),"",T96/S96)</x:f>
      </x:c>
    </x:row>
    <x:row r="97">
      <x:c r="A97" s="76"/>
      <x:c r="F97" s="74"/>
      <x:c r="G97" s="74"/>
      <x:c r="H97" s="74" t="n">
        <x:f>MAX(F97-G97,0)</x:f>
        <x:v>0</x:v>
      </x:c>
      <x:c r="I97" s="74"/>
      <x:c r="J97" s="74" t="n">
        <x:f>MAX(H97-I97,0)</x:f>
        <x:v>0</x:v>
      </x:c>
      <x:c r="K97" s="77"/>
      <x:c r="L97" s="77"/>
      <x:c r="O97" t="str">
        <x:f>IF(A97="","",IF(J97=0,"Paid",IF(AND(K97&lt;&gt;"",TODAY()&gt;K97),"Overdue",IF(I97&gt;0,"Part Paid","Due"))))</x:f>
      </x:c>
      <x:c r="S97" s="79"/>
      <x:c r="T97" s="79"/>
      <x:c r="U97" s="80" t="str">
        <x:f>IF(OR(S97="",S97=0),"",T97/S97)</x:f>
      </x:c>
    </x:row>
    <x:row r="98">
      <x:c r="A98" s="76"/>
      <x:c r="F98" s="74"/>
      <x:c r="G98" s="74"/>
      <x:c r="H98" s="74" t="n">
        <x:f>MAX(F98-G98,0)</x:f>
        <x:v>0</x:v>
      </x:c>
      <x:c r="I98" s="74"/>
      <x:c r="J98" s="74" t="n">
        <x:f>MAX(H98-I98,0)</x:f>
        <x:v>0</x:v>
      </x:c>
      <x:c r="K98" s="77"/>
      <x:c r="L98" s="77"/>
      <x:c r="O98" t="str">
        <x:f>IF(A98="","",IF(J98=0,"Paid",IF(AND(K98&lt;&gt;"",TODAY()&gt;K98),"Overdue",IF(I98&gt;0,"Part Paid","Due"))))</x:f>
      </x:c>
      <x:c r="S98" s="79"/>
      <x:c r="T98" s="79"/>
      <x:c r="U98" s="80" t="str">
        <x:f>IF(OR(S98="",S98=0),"",T98/S98)</x:f>
      </x:c>
    </x:row>
    <x:row r="99">
      <x:c r="A99" s="76"/>
      <x:c r="F99" s="74"/>
      <x:c r="G99" s="74"/>
      <x:c r="H99" s="74" t="n">
        <x:f>MAX(F99-G99,0)</x:f>
        <x:v>0</x:v>
      </x:c>
      <x:c r="I99" s="74"/>
      <x:c r="J99" s="74" t="n">
        <x:f>MAX(H99-I99,0)</x:f>
        <x:v>0</x:v>
      </x:c>
      <x:c r="K99" s="77"/>
      <x:c r="L99" s="77"/>
      <x:c r="O99" t="str">
        <x:f>IF(A99="","",IF(J99=0,"Paid",IF(AND(K99&lt;&gt;"",TODAY()&gt;K99),"Overdue",IF(I99&gt;0,"Part Paid","Due"))))</x:f>
      </x:c>
      <x:c r="S99" s="79"/>
      <x:c r="T99" s="79"/>
      <x:c r="U99" s="80" t="str">
        <x:f>IF(OR(S99="",S99=0),"",T99/S99)</x:f>
      </x:c>
    </x:row>
    <x:row r="100">
      <x:c r="A100" s="76"/>
      <x:c r="F100" s="74"/>
      <x:c r="G100" s="74"/>
      <x:c r="H100" s="74" t="n">
        <x:f>MAX(F100-G100,0)</x:f>
        <x:v>0</x:v>
      </x:c>
      <x:c r="I100" s="74"/>
      <x:c r="J100" s="74" t="n">
        <x:f>MAX(H100-I100,0)</x:f>
        <x:v>0</x:v>
      </x:c>
      <x:c r="K100" s="77"/>
      <x:c r="L100" s="77"/>
      <x:c r="O100" t="str">
        <x:f>IF(A100="","",IF(J100=0,"Paid",IF(AND(K100&lt;&gt;"",TODAY()&gt;K100),"Overdue",IF(I100&gt;0,"Part Paid","Due"))))</x:f>
      </x:c>
      <x:c r="S100" s="79"/>
      <x:c r="T100" s="79"/>
      <x:c r="U100" s="80" t="str">
        <x:f>IF(OR(S100="",S100=0),"",T100/S100)</x:f>
      </x:c>
    </x:row>
    <x:row r="101">
      <x:c r="A101" s="76"/>
      <x:c r="F101" s="74"/>
      <x:c r="G101" s="74"/>
      <x:c r="H101" s="74" t="n">
        <x:f>MAX(F101-G101,0)</x:f>
        <x:v>0</x:v>
      </x:c>
      <x:c r="I101" s="74"/>
      <x:c r="J101" s="74" t="n">
        <x:f>MAX(H101-I101,0)</x:f>
        <x:v>0</x:v>
      </x:c>
      <x:c r="K101" s="77"/>
      <x:c r="L101" s="77"/>
      <x:c r="O101" t="str">
        <x:f>IF(A101="","",IF(J101=0,"Paid",IF(AND(K101&lt;&gt;"",TODAY()&gt;K101),"Overdue",IF(I101&gt;0,"Part Paid","Due"))))</x:f>
      </x:c>
      <x:c r="S101" s="79"/>
      <x:c r="T101" s="79"/>
      <x:c r="U101" s="80" t="str">
        <x:f>IF(OR(S101="",S101=0),"",T101/S101)</x:f>
      </x:c>
    </x:row>
    <x:row r="102">
      <x:c r="A102" s="76"/>
      <x:c r="F102" s="74"/>
      <x:c r="G102" s="74"/>
      <x:c r="H102" s="74" t="n">
        <x:f>MAX(F102-G102,0)</x:f>
        <x:v>0</x:v>
      </x:c>
      <x:c r="I102" s="74"/>
      <x:c r="J102" s="74" t="n">
        <x:f>MAX(H102-I102,0)</x:f>
        <x:v>0</x:v>
      </x:c>
      <x:c r="K102" s="77"/>
      <x:c r="L102" s="77"/>
      <x:c r="O102" t="str">
        <x:f>IF(A102="","",IF(J102=0,"Paid",IF(AND(K102&lt;&gt;"",TODAY()&gt;K102),"Overdue",IF(I102&gt;0,"Part Paid","Due"))))</x:f>
      </x:c>
      <x:c r="S102" s="79"/>
      <x:c r="T102" s="79"/>
      <x:c r="U102" s="80" t="str">
        <x:f>IF(OR(S102="",S102=0),"",T102/S102)</x:f>
      </x:c>
    </x:row>
    <x:row r="103">
      <x:c r="A103" s="76"/>
      <x:c r="F103" s="74"/>
      <x:c r="G103" s="74"/>
      <x:c r="H103" s="74" t="n">
        <x:f>MAX(F103-G103,0)</x:f>
        <x:v>0</x:v>
      </x:c>
      <x:c r="I103" s="74"/>
      <x:c r="J103" s="74" t="n">
        <x:f>MAX(H103-I103,0)</x:f>
        <x:v>0</x:v>
      </x:c>
      <x:c r="K103" s="77"/>
      <x:c r="L103" s="77"/>
      <x:c r="O103" t="str">
        <x:f>IF(A103="","",IF(J103=0,"Paid",IF(AND(K103&lt;&gt;"",TODAY()&gt;K103),"Overdue",IF(I103&gt;0,"Part Paid","Due"))))</x:f>
      </x:c>
      <x:c r="S103" s="79"/>
      <x:c r="T103" s="79"/>
      <x:c r="U103" s="80" t="str">
        <x:f>IF(OR(S103="",S103=0),"",T103/S103)</x:f>
      </x:c>
    </x:row>
    <x:row r="104">
      <x:c r="A104" s="76"/>
      <x:c r="F104" s="74"/>
      <x:c r="G104" s="74"/>
      <x:c r="H104" s="74" t="n">
        <x:f>MAX(F104-G104,0)</x:f>
        <x:v>0</x:v>
      </x:c>
      <x:c r="I104" s="74"/>
      <x:c r="J104" s="74" t="n">
        <x:f>MAX(H104-I104,0)</x:f>
        <x:v>0</x:v>
      </x:c>
      <x:c r="K104" s="77"/>
      <x:c r="L104" s="77"/>
      <x:c r="O104" t="str">
        <x:f>IF(A104="","",IF(J104=0,"Paid",IF(AND(K104&lt;&gt;"",TODAY()&gt;K104),"Overdue",IF(I104&gt;0,"Part Paid","Due"))))</x:f>
      </x:c>
      <x:c r="S104" s="79"/>
      <x:c r="T104" s="79"/>
      <x:c r="U104" s="80" t="str">
        <x:f>IF(OR(S104="",S104=0),"",T104/S104)</x:f>
      </x:c>
    </x:row>
    <x:row r="105">
      <x:c r="A105" s="76"/>
      <x:c r="F105" s="74"/>
      <x:c r="G105" s="74"/>
      <x:c r="H105" s="74" t="n">
        <x:f>MAX(F105-G105,0)</x:f>
        <x:v>0</x:v>
      </x:c>
      <x:c r="I105" s="74"/>
      <x:c r="J105" s="74" t="n">
        <x:f>MAX(H105-I105,0)</x:f>
        <x:v>0</x:v>
      </x:c>
      <x:c r="K105" s="77"/>
      <x:c r="L105" s="77"/>
      <x:c r="O105" t="str">
        <x:f>IF(A105="","",IF(J105=0,"Paid",IF(AND(K105&lt;&gt;"",TODAY()&gt;K105),"Overdue",IF(I105&gt;0,"Part Paid","Due"))))</x:f>
      </x:c>
      <x:c r="S105" s="79"/>
      <x:c r="T105" s="79"/>
      <x:c r="U105" s="80" t="str">
        <x:f>IF(OR(S105="",S105=0),"",T105/S105)</x:f>
      </x:c>
    </x:row>
    <x:row r="106">
      <x:c r="A106" s="76"/>
      <x:c r="F106" s="74"/>
      <x:c r="G106" s="74"/>
      <x:c r="H106" s="74" t="n">
        <x:f>MAX(F106-G106,0)</x:f>
        <x:v>0</x:v>
      </x:c>
      <x:c r="I106" s="74"/>
      <x:c r="J106" s="74" t="n">
        <x:f>MAX(H106-I106,0)</x:f>
        <x:v>0</x:v>
      </x:c>
      <x:c r="K106" s="77"/>
      <x:c r="L106" s="77"/>
      <x:c r="O106" t="str">
        <x:f>IF(A106="","",IF(J106=0,"Paid",IF(AND(K106&lt;&gt;"",TODAY()&gt;K106),"Overdue",IF(I106&gt;0,"Part Paid","Due"))))</x:f>
      </x:c>
      <x:c r="S106" s="79"/>
      <x:c r="T106" s="79"/>
      <x:c r="U106" s="80" t="str">
        <x:f>IF(OR(S106="",S106=0),"",T106/S106)</x:f>
      </x:c>
    </x:row>
    <x:row r="107">
      <x:c r="A107" s="76"/>
      <x:c r="F107" s="74"/>
      <x:c r="G107" s="74"/>
      <x:c r="H107" s="74" t="n">
        <x:f>MAX(F107-G107,0)</x:f>
        <x:v>0</x:v>
      </x:c>
      <x:c r="I107" s="74"/>
      <x:c r="J107" s="74" t="n">
        <x:f>MAX(H107-I107,0)</x:f>
        <x:v>0</x:v>
      </x:c>
      <x:c r="K107" s="77"/>
      <x:c r="L107" s="77"/>
      <x:c r="O107" t="str">
        <x:f>IF(A107="","",IF(J107=0,"Paid",IF(AND(K107&lt;&gt;"",TODAY()&gt;K107),"Overdue",IF(I107&gt;0,"Part Paid","Due"))))</x:f>
      </x:c>
      <x:c r="S107" s="79"/>
      <x:c r="T107" s="79"/>
      <x:c r="U107" s="80" t="str">
        <x:f>IF(OR(S107="",S107=0),"",T107/S107)</x:f>
      </x:c>
    </x:row>
    <x:row r="108">
      <x:c r="A108" s="76"/>
      <x:c r="F108" s="74"/>
      <x:c r="G108" s="74"/>
      <x:c r="H108" s="74" t="n">
        <x:f>MAX(F108-G108,0)</x:f>
        <x:v>0</x:v>
      </x:c>
      <x:c r="I108" s="74"/>
      <x:c r="J108" s="74" t="n">
        <x:f>MAX(H108-I108,0)</x:f>
        <x:v>0</x:v>
      </x:c>
      <x:c r="K108" s="77"/>
      <x:c r="L108" s="77"/>
      <x:c r="O108" t="str">
        <x:f>IF(A108="","",IF(J108=0,"Paid",IF(AND(K108&lt;&gt;"",TODAY()&gt;K108),"Overdue",IF(I108&gt;0,"Part Paid","Due"))))</x:f>
      </x:c>
      <x:c r="S108" s="79"/>
      <x:c r="T108" s="79"/>
      <x:c r="U108" s="80" t="str">
        <x:f>IF(OR(S108="",S108=0),"",T108/S108)</x:f>
      </x:c>
    </x:row>
    <x:row r="109">
      <x:c r="A109" s="76"/>
      <x:c r="F109" s="74"/>
      <x:c r="G109" s="74"/>
      <x:c r="H109" s="74" t="n">
        <x:f>MAX(F109-G109,0)</x:f>
        <x:v>0</x:v>
      </x:c>
      <x:c r="I109" s="74"/>
      <x:c r="J109" s="74" t="n">
        <x:f>MAX(H109-I109,0)</x:f>
        <x:v>0</x:v>
      </x:c>
      <x:c r="K109" s="77"/>
      <x:c r="L109" s="77"/>
      <x:c r="O109" t="str">
        <x:f>IF(A109="","",IF(J109=0,"Paid",IF(AND(K109&lt;&gt;"",TODAY()&gt;K109),"Overdue",IF(I109&gt;0,"Part Paid","Due"))))</x:f>
      </x:c>
      <x:c r="S109" s="79"/>
      <x:c r="T109" s="79"/>
      <x:c r="U109" s="80" t="str">
        <x:f>IF(OR(S109="",S109=0),"",T109/S109)</x:f>
      </x:c>
    </x:row>
    <x:row r="110">
      <x:c r="A110" s="76"/>
      <x:c r="F110" s="74"/>
      <x:c r="G110" s="74"/>
      <x:c r="H110" s="74" t="n">
        <x:f>MAX(F110-G110,0)</x:f>
        <x:v>0</x:v>
      </x:c>
      <x:c r="I110" s="74"/>
      <x:c r="J110" s="74" t="n">
        <x:f>MAX(H110-I110,0)</x:f>
        <x:v>0</x:v>
      </x:c>
      <x:c r="K110" s="77"/>
      <x:c r="L110" s="77"/>
      <x:c r="O110" t="str">
        <x:f>IF(A110="","",IF(J110=0,"Paid",IF(AND(K110&lt;&gt;"",TODAY()&gt;K110),"Overdue",IF(I110&gt;0,"Part Paid","Due"))))</x:f>
      </x:c>
      <x:c r="S110" s="79"/>
      <x:c r="T110" s="79"/>
      <x:c r="U110" s="80" t="str">
        <x:f>IF(OR(S110="",S110=0),"",T110/S110)</x:f>
      </x:c>
    </x:row>
    <x:row r="111">
      <x:c r="A111" s="76"/>
      <x:c r="F111" s="74"/>
      <x:c r="G111" s="74"/>
      <x:c r="H111" s="74" t="n">
        <x:f>MAX(F111-G111,0)</x:f>
        <x:v>0</x:v>
      </x:c>
      <x:c r="I111" s="74"/>
      <x:c r="J111" s="74" t="n">
        <x:f>MAX(H111-I111,0)</x:f>
        <x:v>0</x:v>
      </x:c>
      <x:c r="K111" s="77"/>
      <x:c r="L111" s="77"/>
      <x:c r="O111" t="str">
        <x:f>IF(A111="","",IF(J111=0,"Paid",IF(AND(K111&lt;&gt;"",TODAY()&gt;K111),"Overdue",IF(I111&gt;0,"Part Paid","Due"))))</x:f>
      </x:c>
      <x:c r="S111" s="79"/>
      <x:c r="T111" s="79"/>
      <x:c r="U111" s="80" t="str">
        <x:f>IF(OR(S111="",S111=0),"",T111/S111)</x:f>
      </x:c>
    </x:row>
    <x:row r="112">
      <x:c r="A112" s="76"/>
      <x:c r="F112" s="74"/>
      <x:c r="G112" s="74"/>
      <x:c r="H112" s="74" t="n">
        <x:f>MAX(F112-G112,0)</x:f>
        <x:v>0</x:v>
      </x:c>
      <x:c r="I112" s="74"/>
      <x:c r="J112" s="74" t="n">
        <x:f>MAX(H112-I112,0)</x:f>
        <x:v>0</x:v>
      </x:c>
      <x:c r="K112" s="77"/>
      <x:c r="L112" s="77"/>
      <x:c r="O112" t="str">
        <x:f>IF(A112="","",IF(J112=0,"Paid",IF(AND(K112&lt;&gt;"",TODAY()&gt;K112),"Overdue",IF(I112&gt;0,"Part Paid","Due"))))</x:f>
      </x:c>
      <x:c r="S112" s="79"/>
      <x:c r="T112" s="79"/>
      <x:c r="U112" s="80" t="str">
        <x:f>IF(OR(S112="",S112=0),"",T112/S112)</x:f>
      </x:c>
    </x:row>
    <x:row r="113">
      <x:c r="A113" s="76"/>
      <x:c r="F113" s="74"/>
      <x:c r="G113" s="74"/>
      <x:c r="H113" s="74" t="n">
        <x:f>MAX(F113-G113,0)</x:f>
        <x:v>0</x:v>
      </x:c>
      <x:c r="I113" s="74"/>
      <x:c r="J113" s="74" t="n">
        <x:f>MAX(H113-I113,0)</x:f>
        <x:v>0</x:v>
      </x:c>
      <x:c r="K113" s="77"/>
      <x:c r="L113" s="77"/>
      <x:c r="O113" t="str">
        <x:f>IF(A113="","",IF(J113=0,"Paid",IF(AND(K113&lt;&gt;"",TODAY()&gt;K113),"Overdue",IF(I113&gt;0,"Part Paid","Due"))))</x:f>
      </x:c>
      <x:c r="S113" s="79"/>
      <x:c r="T113" s="79"/>
      <x:c r="U113" s="80" t="str">
        <x:f>IF(OR(S113="",S113=0),"",T113/S113)</x:f>
      </x:c>
    </x:row>
    <x:row r="114">
      <x:c r="A114" s="76"/>
      <x:c r="F114" s="74"/>
      <x:c r="G114" s="74"/>
      <x:c r="H114" s="74" t="n">
        <x:f>MAX(F114-G114,0)</x:f>
        <x:v>0</x:v>
      </x:c>
      <x:c r="I114" s="74"/>
      <x:c r="J114" s="74" t="n">
        <x:f>MAX(H114-I114,0)</x:f>
        <x:v>0</x:v>
      </x:c>
      <x:c r="K114" s="77"/>
      <x:c r="L114" s="77"/>
      <x:c r="O114" t="str">
        <x:f>IF(A114="","",IF(J114=0,"Paid",IF(AND(K114&lt;&gt;"",TODAY()&gt;K114),"Overdue",IF(I114&gt;0,"Part Paid","Due"))))</x:f>
      </x:c>
      <x:c r="S114" s="79"/>
      <x:c r="T114" s="79"/>
      <x:c r="U114" s="80" t="str">
        <x:f>IF(OR(S114="",S114=0),"",T114/S114)</x:f>
      </x:c>
    </x:row>
    <x:row r="115">
      <x:c r="A115" s="76"/>
      <x:c r="F115" s="74"/>
      <x:c r="G115" s="74"/>
      <x:c r="H115" s="74" t="n">
        <x:f>MAX(F115-G115,0)</x:f>
        <x:v>0</x:v>
      </x:c>
      <x:c r="I115" s="74"/>
      <x:c r="J115" s="74" t="n">
        <x:f>MAX(H115-I115,0)</x:f>
        <x:v>0</x:v>
      </x:c>
      <x:c r="K115" s="77"/>
      <x:c r="L115" s="77"/>
      <x:c r="O115" t="str">
        <x:f>IF(A115="","",IF(J115=0,"Paid",IF(AND(K115&lt;&gt;"",TODAY()&gt;K115),"Overdue",IF(I115&gt;0,"Part Paid","Due"))))</x:f>
      </x:c>
      <x:c r="S115" s="79"/>
      <x:c r="T115" s="79"/>
      <x:c r="U115" s="80" t="str">
        <x:f>IF(OR(S115="",S115=0),"",T115/S115)</x:f>
      </x:c>
    </x:row>
    <x:row r="116">
      <x:c r="A116" s="76"/>
      <x:c r="F116" s="74"/>
      <x:c r="G116" s="74"/>
      <x:c r="H116" s="74" t="n">
        <x:f>MAX(F116-G116,0)</x:f>
        <x:v>0</x:v>
      </x:c>
      <x:c r="I116" s="74"/>
      <x:c r="J116" s="74" t="n">
        <x:f>MAX(H116-I116,0)</x:f>
        <x:v>0</x:v>
      </x:c>
      <x:c r="K116" s="77"/>
      <x:c r="L116" s="77"/>
      <x:c r="O116" t="str">
        <x:f>IF(A116="","",IF(J116=0,"Paid",IF(AND(K116&lt;&gt;"",TODAY()&gt;K116),"Overdue",IF(I116&gt;0,"Part Paid","Due"))))</x:f>
      </x:c>
      <x:c r="S116" s="79"/>
      <x:c r="T116" s="79"/>
      <x:c r="U116" s="80" t="str">
        <x:f>IF(OR(S116="",S116=0),"",T116/S116)</x:f>
      </x:c>
    </x:row>
    <x:row r="117">
      <x:c r="A117" s="76"/>
      <x:c r="F117" s="74"/>
      <x:c r="G117" s="74"/>
      <x:c r="H117" s="74" t="n">
        <x:f>MAX(F117-G117,0)</x:f>
        <x:v>0</x:v>
      </x:c>
      <x:c r="I117" s="74"/>
      <x:c r="J117" s="74" t="n">
        <x:f>MAX(H117-I117,0)</x:f>
        <x:v>0</x:v>
      </x:c>
      <x:c r="K117" s="77"/>
      <x:c r="L117" s="77"/>
      <x:c r="O117" t="str">
        <x:f>IF(A117="","",IF(J117=0,"Paid",IF(AND(K117&lt;&gt;"",TODAY()&gt;K117),"Overdue",IF(I117&gt;0,"Part Paid","Due"))))</x:f>
      </x:c>
      <x:c r="S117" s="79"/>
      <x:c r="T117" s="79"/>
      <x:c r="U117" s="80" t="str">
        <x:f>IF(OR(S117="",S117=0),"",T117/S117)</x:f>
      </x:c>
    </x:row>
    <x:row r="118">
      <x:c r="A118" s="76"/>
      <x:c r="F118" s="74"/>
      <x:c r="G118" s="74"/>
      <x:c r="H118" s="74" t="n">
        <x:f>MAX(F118-G118,0)</x:f>
        <x:v>0</x:v>
      </x:c>
      <x:c r="I118" s="74"/>
      <x:c r="J118" s="74" t="n">
        <x:f>MAX(H118-I118,0)</x:f>
        <x:v>0</x:v>
      </x:c>
      <x:c r="K118" s="77"/>
      <x:c r="L118" s="77"/>
      <x:c r="O118" t="str">
        <x:f>IF(A118="","",IF(J118=0,"Paid",IF(AND(K118&lt;&gt;"",TODAY()&gt;K118),"Overdue",IF(I118&gt;0,"Part Paid","Due"))))</x:f>
      </x:c>
      <x:c r="S118" s="79"/>
      <x:c r="T118" s="79"/>
      <x:c r="U118" s="80" t="str">
        <x:f>IF(OR(S118="",S118=0),"",T118/S118)</x:f>
      </x:c>
    </x:row>
    <x:row r="119">
      <x:c r="A119" s="76"/>
      <x:c r="F119" s="74"/>
      <x:c r="G119" s="74"/>
      <x:c r="H119" s="74" t="n">
        <x:f>MAX(F119-G119,0)</x:f>
        <x:v>0</x:v>
      </x:c>
      <x:c r="I119" s="74"/>
      <x:c r="J119" s="74" t="n">
        <x:f>MAX(H119-I119,0)</x:f>
        <x:v>0</x:v>
      </x:c>
      <x:c r="K119" s="77"/>
      <x:c r="L119" s="77"/>
      <x:c r="O119" t="str">
        <x:f>IF(A119="","",IF(J119=0,"Paid",IF(AND(K119&lt;&gt;"",TODAY()&gt;K119),"Overdue",IF(I119&gt;0,"Part Paid","Due"))))</x:f>
      </x:c>
      <x:c r="S119" s="79"/>
      <x:c r="T119" s="79"/>
      <x:c r="U119" s="80" t="str">
        <x:f>IF(OR(S119="",S119=0),"",T119/S119)</x:f>
      </x:c>
    </x:row>
    <x:row r="120">
      <x:c r="A120" s="76"/>
      <x:c r="F120" s="74"/>
      <x:c r="G120" s="74"/>
      <x:c r="H120" s="74" t="n">
        <x:f>MAX(F120-G120,0)</x:f>
        <x:v>0</x:v>
      </x:c>
      <x:c r="I120" s="74"/>
      <x:c r="J120" s="74" t="n">
        <x:f>MAX(H120-I120,0)</x:f>
        <x:v>0</x:v>
      </x:c>
      <x:c r="K120" s="77"/>
      <x:c r="L120" s="77"/>
      <x:c r="O120" t="str">
        <x:f>IF(A120="","",IF(J120=0,"Paid",IF(AND(K120&lt;&gt;"",TODAY()&gt;K120),"Overdue",IF(I120&gt;0,"Part Paid","Due"))))</x:f>
      </x:c>
      <x:c r="S120" s="79"/>
      <x:c r="T120" s="79"/>
      <x:c r="U120" s="80" t="str">
        <x:f>IF(OR(S120="",S120=0),"",T120/S120)</x:f>
      </x:c>
    </x:row>
    <x:row r="121">
      <x:c r="A121" s="76"/>
      <x:c r="F121" s="74"/>
      <x:c r="G121" s="74"/>
      <x:c r="H121" s="74" t="n">
        <x:f>MAX(F121-G121,0)</x:f>
        <x:v>0</x:v>
      </x:c>
      <x:c r="I121" s="74"/>
      <x:c r="J121" s="74" t="n">
        <x:f>MAX(H121-I121,0)</x:f>
        <x:v>0</x:v>
      </x:c>
      <x:c r="K121" s="77"/>
      <x:c r="L121" s="77"/>
      <x:c r="O121" t="str">
        <x:f>IF(A121="","",IF(J121=0,"Paid",IF(AND(K121&lt;&gt;"",TODAY()&gt;K121),"Overdue",IF(I121&gt;0,"Part Paid","Due"))))</x:f>
      </x:c>
      <x:c r="S121" s="79"/>
      <x:c r="T121" s="79"/>
      <x:c r="U121" s="80" t="str">
        <x:f>IF(OR(S121="",S121=0),"",T121/S121)</x:f>
      </x:c>
    </x:row>
    <x:row r="122">
      <x:c r="A122" s="76"/>
      <x:c r="F122" s="74"/>
      <x:c r="G122" s="74"/>
      <x:c r="H122" s="74" t="n">
        <x:f>MAX(F122-G122,0)</x:f>
        <x:v>0</x:v>
      </x:c>
      <x:c r="I122" s="74"/>
      <x:c r="J122" s="74" t="n">
        <x:f>MAX(H122-I122,0)</x:f>
        <x:v>0</x:v>
      </x:c>
      <x:c r="K122" s="77"/>
      <x:c r="L122" s="77"/>
      <x:c r="O122" t="str">
        <x:f>IF(A122="","",IF(J122=0,"Paid",IF(AND(K122&lt;&gt;"",TODAY()&gt;K122),"Overdue",IF(I122&gt;0,"Part Paid","Due"))))</x:f>
      </x:c>
      <x:c r="S122" s="79"/>
      <x:c r="T122" s="79"/>
      <x:c r="U122" s="80" t="str">
        <x:f>IF(OR(S122="",S122=0),"",T122/S122)</x:f>
      </x:c>
    </x:row>
    <x:row r="123">
      <x:c r="A123" s="76"/>
      <x:c r="F123" s="74"/>
      <x:c r="G123" s="74"/>
      <x:c r="H123" s="74" t="n">
        <x:f>MAX(F123-G123,0)</x:f>
        <x:v>0</x:v>
      </x:c>
      <x:c r="I123" s="74"/>
      <x:c r="J123" s="74" t="n">
        <x:f>MAX(H123-I123,0)</x:f>
        <x:v>0</x:v>
      </x:c>
      <x:c r="K123" s="77"/>
      <x:c r="L123" s="77"/>
      <x:c r="O123" t="str">
        <x:f>IF(A123="","",IF(J123=0,"Paid",IF(AND(K123&lt;&gt;"",TODAY()&gt;K123),"Overdue",IF(I123&gt;0,"Part Paid","Due"))))</x:f>
      </x:c>
      <x:c r="S123" s="79"/>
      <x:c r="T123" s="79"/>
      <x:c r="U123" s="80" t="str">
        <x:f>IF(OR(S123="",S123=0),"",T123/S123)</x:f>
      </x:c>
    </x:row>
    <x:row r="124">
      <x:c r="A124" s="76"/>
      <x:c r="F124" s="74"/>
      <x:c r="G124" s="74"/>
      <x:c r="H124" s="74" t="n">
        <x:f>MAX(F124-G124,0)</x:f>
        <x:v>0</x:v>
      </x:c>
      <x:c r="I124" s="74"/>
      <x:c r="J124" s="74" t="n">
        <x:f>MAX(H124-I124,0)</x:f>
        <x:v>0</x:v>
      </x:c>
      <x:c r="K124" s="77"/>
      <x:c r="L124" s="77"/>
      <x:c r="O124" t="str">
        <x:f>IF(A124="","",IF(J124=0,"Paid",IF(AND(K124&lt;&gt;"",TODAY()&gt;K124),"Overdue",IF(I124&gt;0,"Part Paid","Due"))))</x:f>
      </x:c>
      <x:c r="S124" s="79"/>
      <x:c r="T124" s="79"/>
      <x:c r="U124" s="80" t="str">
        <x:f>IF(OR(S124="",S124=0),"",T124/S124)</x:f>
      </x:c>
    </x:row>
    <x:row r="125">
      <x:c r="A125" s="76"/>
      <x:c r="F125" s="74"/>
      <x:c r="G125" s="74"/>
      <x:c r="H125" s="74" t="n">
        <x:f>MAX(F125-G125,0)</x:f>
        <x:v>0</x:v>
      </x:c>
      <x:c r="I125" s="74"/>
      <x:c r="J125" s="74" t="n">
        <x:f>MAX(H125-I125,0)</x:f>
        <x:v>0</x:v>
      </x:c>
      <x:c r="K125" s="77"/>
      <x:c r="L125" s="77"/>
      <x:c r="O125" t="str">
        <x:f>IF(A125="","",IF(J125=0,"Paid",IF(AND(K125&lt;&gt;"",TODAY()&gt;K125),"Overdue",IF(I125&gt;0,"Part Paid","Due"))))</x:f>
      </x:c>
      <x:c r="S125" s="79"/>
      <x:c r="T125" s="79"/>
      <x:c r="U125" s="80" t="str">
        <x:f>IF(OR(S125="",S125=0),"",T125/S125)</x:f>
      </x:c>
    </x:row>
    <x:row r="126">
      <x:c r="A126" s="76"/>
      <x:c r="F126" s="74"/>
      <x:c r="G126" s="74"/>
      <x:c r="H126" s="74" t="n">
        <x:f>MAX(F126-G126,0)</x:f>
        <x:v>0</x:v>
      </x:c>
      <x:c r="I126" s="74"/>
      <x:c r="J126" s="74" t="n">
        <x:f>MAX(H126-I126,0)</x:f>
        <x:v>0</x:v>
      </x:c>
      <x:c r="K126" s="77"/>
      <x:c r="L126" s="77"/>
      <x:c r="O126" t="str">
        <x:f>IF(A126="","",IF(J126=0,"Paid",IF(AND(K126&lt;&gt;"",TODAY()&gt;K126),"Overdue",IF(I126&gt;0,"Part Paid","Due"))))</x:f>
      </x:c>
      <x:c r="S126" s="79"/>
      <x:c r="T126" s="79"/>
      <x:c r="U126" s="80" t="str">
        <x:f>IF(OR(S126="",S126=0),"",T126/S126)</x:f>
      </x:c>
    </x:row>
    <x:row r="127">
      <x:c r="A127" s="76"/>
      <x:c r="F127" s="74"/>
      <x:c r="G127" s="74"/>
      <x:c r="H127" s="74" t="n">
        <x:f>MAX(F127-G127,0)</x:f>
        <x:v>0</x:v>
      </x:c>
      <x:c r="I127" s="74"/>
      <x:c r="J127" s="74" t="n">
        <x:f>MAX(H127-I127,0)</x:f>
        <x:v>0</x:v>
      </x:c>
      <x:c r="K127" s="77"/>
      <x:c r="L127" s="77"/>
      <x:c r="O127" t="str">
        <x:f>IF(A127="","",IF(J127=0,"Paid",IF(AND(K127&lt;&gt;"",TODAY()&gt;K127),"Overdue",IF(I127&gt;0,"Part Paid","Due"))))</x:f>
      </x:c>
      <x:c r="S127" s="79"/>
      <x:c r="T127" s="79"/>
      <x:c r="U127" s="80" t="str">
        <x:f>IF(OR(S127="",S127=0),"",T127/S127)</x:f>
      </x:c>
    </x:row>
    <x:row r="128">
      <x:c r="A128" s="76"/>
      <x:c r="F128" s="74"/>
      <x:c r="G128" s="74"/>
      <x:c r="H128" s="74" t="n">
        <x:f>MAX(F128-G128,0)</x:f>
        <x:v>0</x:v>
      </x:c>
      <x:c r="I128" s="74"/>
      <x:c r="J128" s="74" t="n">
        <x:f>MAX(H128-I128,0)</x:f>
        <x:v>0</x:v>
      </x:c>
      <x:c r="K128" s="77"/>
      <x:c r="L128" s="77"/>
      <x:c r="O128" t="str">
        <x:f>IF(A128="","",IF(J128=0,"Paid",IF(AND(K128&lt;&gt;"",TODAY()&gt;K128),"Overdue",IF(I128&gt;0,"Part Paid","Due"))))</x:f>
      </x:c>
      <x:c r="S128" s="79"/>
      <x:c r="T128" s="79"/>
      <x:c r="U128" s="80" t="str">
        <x:f>IF(OR(S128="",S128=0),"",T128/S128)</x:f>
      </x:c>
    </x:row>
    <x:row r="129">
      <x:c r="A129" s="76"/>
      <x:c r="F129" s="74"/>
      <x:c r="G129" s="74"/>
      <x:c r="H129" s="74" t="n">
        <x:f>MAX(F129-G129,0)</x:f>
        <x:v>0</x:v>
      </x:c>
      <x:c r="I129" s="74"/>
      <x:c r="J129" s="74" t="n">
        <x:f>MAX(H129-I129,0)</x:f>
        <x:v>0</x:v>
      </x:c>
      <x:c r="K129" s="77"/>
      <x:c r="L129" s="77"/>
      <x:c r="O129" t="str">
        <x:f>IF(A129="","",IF(J129=0,"Paid",IF(AND(K129&lt;&gt;"",TODAY()&gt;K129),"Overdue",IF(I129&gt;0,"Part Paid","Due"))))</x:f>
      </x:c>
      <x:c r="S129" s="79"/>
      <x:c r="T129" s="79"/>
      <x:c r="U129" s="80" t="str">
        <x:f>IF(OR(S129="",S129=0),"",T129/S129)</x:f>
      </x:c>
    </x:row>
    <x:row r="130">
      <x:c r="A130" s="76"/>
      <x:c r="F130" s="74"/>
      <x:c r="G130" s="74"/>
      <x:c r="H130" s="74" t="n">
        <x:f>MAX(F130-G130,0)</x:f>
        <x:v>0</x:v>
      </x:c>
      <x:c r="I130" s="74"/>
      <x:c r="J130" s="74" t="n">
        <x:f>MAX(H130-I130,0)</x:f>
        <x:v>0</x:v>
      </x:c>
      <x:c r="K130" s="77"/>
      <x:c r="L130" s="77"/>
      <x:c r="O130" t="str">
        <x:f>IF(A130="","",IF(J130=0,"Paid",IF(AND(K130&lt;&gt;"",TODAY()&gt;K130),"Overdue",IF(I130&gt;0,"Part Paid","Due"))))</x:f>
      </x:c>
      <x:c r="S130" s="79"/>
      <x:c r="T130" s="79"/>
      <x:c r="U130" s="80" t="str">
        <x:f>IF(OR(S130="",S130=0),"",T130/S130)</x:f>
      </x:c>
    </x:row>
    <x:row r="131">
      <x:c r="A131" s="76"/>
      <x:c r="F131" s="74"/>
      <x:c r="G131" s="74"/>
      <x:c r="H131" s="74" t="n">
        <x:f>MAX(F131-G131,0)</x:f>
        <x:v>0</x:v>
      </x:c>
      <x:c r="I131" s="74"/>
      <x:c r="J131" s="74" t="n">
        <x:f>MAX(H131-I131,0)</x:f>
        <x:v>0</x:v>
      </x:c>
      <x:c r="K131" s="77"/>
      <x:c r="L131" s="77"/>
      <x:c r="O131" t="str">
        <x:f>IF(A131="","",IF(J131=0,"Paid",IF(AND(K131&lt;&gt;"",TODAY()&gt;K131),"Overdue",IF(I131&gt;0,"Part Paid","Due"))))</x:f>
      </x:c>
      <x:c r="S131" s="79"/>
      <x:c r="T131" s="79"/>
      <x:c r="U131" s="80" t="str">
        <x:f>IF(OR(S131="",S131=0),"",T131/S131)</x:f>
      </x:c>
    </x:row>
    <x:row r="132">
      <x:c r="A132" s="76"/>
      <x:c r="F132" s="74"/>
      <x:c r="G132" s="74"/>
      <x:c r="H132" s="74" t="n">
        <x:f>MAX(F132-G132,0)</x:f>
        <x:v>0</x:v>
      </x:c>
      <x:c r="I132" s="74"/>
      <x:c r="J132" s="74" t="n">
        <x:f>MAX(H132-I132,0)</x:f>
        <x:v>0</x:v>
      </x:c>
      <x:c r="K132" s="77"/>
      <x:c r="L132" s="77"/>
      <x:c r="O132" t="str">
        <x:f>IF(A132="","",IF(J132=0,"Paid",IF(AND(K132&lt;&gt;"",TODAY()&gt;K132),"Overdue",IF(I132&gt;0,"Part Paid","Due"))))</x:f>
      </x:c>
      <x:c r="S132" s="79"/>
      <x:c r="T132" s="79"/>
      <x:c r="U132" s="80" t="str">
        <x:f>IF(OR(S132="",S132=0),"",T132/S132)</x:f>
      </x:c>
    </x:row>
    <x:row r="133">
      <x:c r="A133" s="76"/>
      <x:c r="F133" s="74"/>
      <x:c r="G133" s="74"/>
      <x:c r="H133" s="74" t="n">
        <x:f>MAX(F133-G133,0)</x:f>
        <x:v>0</x:v>
      </x:c>
      <x:c r="I133" s="74"/>
      <x:c r="J133" s="74" t="n">
        <x:f>MAX(H133-I133,0)</x:f>
        <x:v>0</x:v>
      </x:c>
      <x:c r="K133" s="77"/>
      <x:c r="L133" s="77"/>
      <x:c r="O133" t="str">
        <x:f>IF(A133="","",IF(J133=0,"Paid",IF(AND(K133&lt;&gt;"",TODAY()&gt;K133),"Overdue",IF(I133&gt;0,"Part Paid","Due"))))</x:f>
      </x:c>
      <x:c r="S133" s="79"/>
      <x:c r="T133" s="79"/>
      <x:c r="U133" s="80" t="str">
        <x:f>IF(OR(S133="",S133=0),"",T133/S133)</x:f>
      </x:c>
    </x:row>
    <x:row r="134">
      <x:c r="A134" s="76"/>
      <x:c r="F134" s="74"/>
      <x:c r="G134" s="74"/>
      <x:c r="H134" s="74" t="n">
        <x:f>MAX(F134-G134,0)</x:f>
        <x:v>0</x:v>
      </x:c>
      <x:c r="I134" s="74"/>
      <x:c r="J134" s="74" t="n">
        <x:f>MAX(H134-I134,0)</x:f>
        <x:v>0</x:v>
      </x:c>
      <x:c r="K134" s="77"/>
      <x:c r="L134" s="77"/>
      <x:c r="O134" t="str">
        <x:f>IF(A134="","",IF(J134=0,"Paid",IF(AND(K134&lt;&gt;"",TODAY()&gt;K134),"Overdue",IF(I134&gt;0,"Part Paid","Due"))))</x:f>
      </x:c>
      <x:c r="S134" s="79"/>
      <x:c r="T134" s="79"/>
      <x:c r="U134" s="80" t="str">
        <x:f>IF(OR(S134="",S134=0),"",T134/S134)</x:f>
      </x:c>
    </x:row>
    <x:row r="135">
      <x:c r="A135" s="76"/>
      <x:c r="F135" s="74"/>
      <x:c r="G135" s="74"/>
      <x:c r="H135" s="74" t="n">
        <x:f>MAX(F135-G135,0)</x:f>
        <x:v>0</x:v>
      </x:c>
      <x:c r="I135" s="74"/>
      <x:c r="J135" s="74" t="n">
        <x:f>MAX(H135-I135,0)</x:f>
        <x:v>0</x:v>
      </x:c>
      <x:c r="K135" s="77"/>
      <x:c r="L135" s="77"/>
      <x:c r="O135" t="str">
        <x:f>IF(A135="","",IF(J135=0,"Paid",IF(AND(K135&lt;&gt;"",TODAY()&gt;K135),"Overdue",IF(I135&gt;0,"Part Paid","Due"))))</x:f>
      </x:c>
      <x:c r="S135" s="79"/>
      <x:c r="T135" s="79"/>
      <x:c r="U135" s="80" t="str">
        <x:f>IF(OR(S135="",S135=0),"",T135/S135)</x:f>
      </x:c>
    </x:row>
    <x:row r="136">
      <x:c r="A136" s="76"/>
      <x:c r="F136" s="74"/>
      <x:c r="G136" s="74"/>
      <x:c r="H136" s="74" t="n">
        <x:f>MAX(F136-G136,0)</x:f>
        <x:v>0</x:v>
      </x:c>
      <x:c r="I136" s="74"/>
      <x:c r="J136" s="74" t="n">
        <x:f>MAX(H136-I136,0)</x:f>
        <x:v>0</x:v>
      </x:c>
      <x:c r="K136" s="77"/>
      <x:c r="L136" s="77"/>
      <x:c r="O136" t="str">
        <x:f>IF(A136="","",IF(J136=0,"Paid",IF(AND(K136&lt;&gt;"",TODAY()&gt;K136),"Overdue",IF(I136&gt;0,"Part Paid","Due"))))</x:f>
      </x:c>
      <x:c r="S136" s="79"/>
      <x:c r="T136" s="79"/>
      <x:c r="U136" s="80" t="str">
        <x:f>IF(OR(S136="",S136=0),"",T136/S136)</x:f>
      </x:c>
    </x:row>
    <x:row r="137">
      <x:c r="A137" s="76"/>
      <x:c r="F137" s="74"/>
      <x:c r="G137" s="74"/>
      <x:c r="H137" s="74" t="n">
        <x:f>MAX(F137-G137,0)</x:f>
        <x:v>0</x:v>
      </x:c>
      <x:c r="I137" s="74"/>
      <x:c r="J137" s="74" t="n">
        <x:f>MAX(H137-I137,0)</x:f>
        <x:v>0</x:v>
      </x:c>
      <x:c r="K137" s="77"/>
      <x:c r="L137" s="77"/>
      <x:c r="O137" t="str">
        <x:f>IF(A137="","",IF(J137=0,"Paid",IF(AND(K137&lt;&gt;"",TODAY()&gt;K137),"Overdue",IF(I137&gt;0,"Part Paid","Due"))))</x:f>
      </x:c>
      <x:c r="S137" s="79"/>
      <x:c r="T137" s="79"/>
      <x:c r="U137" s="80" t="str">
        <x:f>IF(OR(S137="",S137=0),"",T137/S137)</x:f>
      </x:c>
    </x:row>
    <x:row r="138">
      <x:c r="A138" s="76"/>
      <x:c r="F138" s="74"/>
      <x:c r="G138" s="74"/>
      <x:c r="H138" s="74" t="n">
        <x:f>MAX(F138-G138,0)</x:f>
        <x:v>0</x:v>
      </x:c>
      <x:c r="I138" s="74"/>
      <x:c r="J138" s="74" t="n">
        <x:f>MAX(H138-I138,0)</x:f>
        <x:v>0</x:v>
      </x:c>
      <x:c r="K138" s="77"/>
      <x:c r="L138" s="77"/>
      <x:c r="O138" t="str">
        <x:f>IF(A138="","",IF(J138=0,"Paid",IF(AND(K138&lt;&gt;"",TODAY()&gt;K138),"Overdue",IF(I138&gt;0,"Part Paid","Due"))))</x:f>
      </x:c>
      <x:c r="S138" s="79"/>
      <x:c r="T138" s="79"/>
      <x:c r="U138" s="80" t="str">
        <x:f>IF(OR(S138="",S138=0),"",T138/S138)</x:f>
      </x:c>
    </x:row>
    <x:row r="139">
      <x:c r="A139" s="76"/>
      <x:c r="F139" s="74"/>
      <x:c r="G139" s="74"/>
      <x:c r="H139" s="74" t="n">
        <x:f>MAX(F139-G139,0)</x:f>
        <x:v>0</x:v>
      </x:c>
      <x:c r="I139" s="74"/>
      <x:c r="J139" s="74" t="n">
        <x:f>MAX(H139-I139,0)</x:f>
        <x:v>0</x:v>
      </x:c>
      <x:c r="K139" s="77"/>
      <x:c r="L139" s="77"/>
      <x:c r="O139" t="str">
        <x:f>IF(A139="","",IF(J139=0,"Paid",IF(AND(K139&lt;&gt;"",TODAY()&gt;K139),"Overdue",IF(I139&gt;0,"Part Paid","Due"))))</x:f>
      </x:c>
      <x:c r="S139" s="79"/>
      <x:c r="T139" s="79"/>
      <x:c r="U139" s="80" t="str">
        <x:f>IF(OR(S139="",S139=0),"",T139/S139)</x:f>
      </x:c>
    </x:row>
    <x:row r="140">
      <x:c r="A140" s="76"/>
      <x:c r="F140" s="74"/>
      <x:c r="G140" s="74"/>
      <x:c r="H140" s="74" t="n">
        <x:f>MAX(F140-G140,0)</x:f>
        <x:v>0</x:v>
      </x:c>
      <x:c r="I140" s="74"/>
      <x:c r="J140" s="74" t="n">
        <x:f>MAX(H140-I140,0)</x:f>
        <x:v>0</x:v>
      </x:c>
      <x:c r="K140" s="77"/>
      <x:c r="L140" s="77"/>
      <x:c r="O140" t="str">
        <x:f>IF(A140="","",IF(J140=0,"Paid",IF(AND(K140&lt;&gt;"",TODAY()&gt;K140),"Overdue",IF(I140&gt;0,"Part Paid","Due"))))</x:f>
      </x:c>
      <x:c r="S140" s="79"/>
      <x:c r="T140" s="79"/>
      <x:c r="U140" s="80" t="str">
        <x:f>IF(OR(S140="",S140=0),"",T140/S140)</x:f>
      </x:c>
    </x:row>
    <x:row r="141">
      <x:c r="A141" s="76"/>
      <x:c r="F141" s="74"/>
      <x:c r="G141" s="74"/>
      <x:c r="H141" s="74" t="n">
        <x:f>MAX(F141-G141,0)</x:f>
        <x:v>0</x:v>
      </x:c>
      <x:c r="I141" s="74"/>
      <x:c r="J141" s="74" t="n">
        <x:f>MAX(H141-I141,0)</x:f>
        <x:v>0</x:v>
      </x:c>
      <x:c r="K141" s="77"/>
      <x:c r="L141" s="77"/>
      <x:c r="O141" t="str">
        <x:f>IF(A141="","",IF(J141=0,"Paid",IF(AND(K141&lt;&gt;"",TODAY()&gt;K141),"Overdue",IF(I141&gt;0,"Part Paid","Due"))))</x:f>
      </x:c>
      <x:c r="S141" s="79"/>
      <x:c r="T141" s="79"/>
      <x:c r="U141" s="80" t="str">
        <x:f>IF(OR(S141="",S141=0),"",T141/S141)</x:f>
      </x:c>
    </x:row>
    <x:row r="142">
      <x:c r="A142" s="76"/>
      <x:c r="F142" s="74"/>
      <x:c r="G142" s="74"/>
      <x:c r="H142" s="74" t="n">
        <x:f>MAX(F142-G142,0)</x:f>
        <x:v>0</x:v>
      </x:c>
      <x:c r="I142" s="74"/>
      <x:c r="J142" s="74" t="n">
        <x:f>MAX(H142-I142,0)</x:f>
        <x:v>0</x:v>
      </x:c>
      <x:c r="K142" s="77"/>
      <x:c r="L142" s="77"/>
      <x:c r="O142" t="str">
        <x:f>IF(A142="","",IF(J142=0,"Paid",IF(AND(K142&lt;&gt;"",TODAY()&gt;K142),"Overdue",IF(I142&gt;0,"Part Paid","Due"))))</x:f>
      </x:c>
      <x:c r="S142" s="79"/>
      <x:c r="T142" s="79"/>
      <x:c r="U142" s="80" t="str">
        <x:f>IF(OR(S142="",S142=0),"",T142/S142)</x:f>
      </x:c>
    </x:row>
    <x:row r="143">
      <x:c r="A143" s="76"/>
      <x:c r="F143" s="74"/>
      <x:c r="G143" s="74"/>
      <x:c r="H143" s="74" t="n">
        <x:f>MAX(F143-G143,0)</x:f>
        <x:v>0</x:v>
      </x:c>
      <x:c r="I143" s="74"/>
      <x:c r="J143" s="74" t="n">
        <x:f>MAX(H143-I143,0)</x:f>
        <x:v>0</x:v>
      </x:c>
      <x:c r="K143" s="77"/>
      <x:c r="L143" s="77"/>
      <x:c r="O143" t="str">
        <x:f>IF(A143="","",IF(J143=0,"Paid",IF(AND(K143&lt;&gt;"",TODAY()&gt;K143),"Overdue",IF(I143&gt;0,"Part Paid","Due"))))</x:f>
      </x:c>
      <x:c r="S143" s="79"/>
      <x:c r="T143" s="79"/>
      <x:c r="U143" s="80" t="str">
        <x:f>IF(OR(S143="",S143=0),"",T143/S143)</x:f>
      </x:c>
    </x:row>
    <x:row r="144">
      <x:c r="A144" s="76"/>
      <x:c r="F144" s="74"/>
      <x:c r="G144" s="74"/>
      <x:c r="H144" s="74" t="n">
        <x:f>MAX(F144-G144,0)</x:f>
        <x:v>0</x:v>
      </x:c>
      <x:c r="I144" s="74"/>
      <x:c r="J144" s="74" t="n">
        <x:f>MAX(H144-I144,0)</x:f>
        <x:v>0</x:v>
      </x:c>
      <x:c r="K144" s="77"/>
      <x:c r="L144" s="77"/>
      <x:c r="O144" t="str">
        <x:f>IF(A144="","",IF(J144=0,"Paid",IF(AND(K144&lt;&gt;"",TODAY()&gt;K144),"Overdue",IF(I144&gt;0,"Part Paid","Due"))))</x:f>
      </x:c>
      <x:c r="S144" s="79"/>
      <x:c r="T144" s="79"/>
      <x:c r="U144" s="80" t="str">
        <x:f>IF(OR(S144="",S144=0),"",T144/S144)</x:f>
      </x:c>
    </x:row>
    <x:row r="145">
      <x:c r="A145" s="76"/>
      <x:c r="F145" s="74"/>
      <x:c r="G145" s="74"/>
      <x:c r="H145" s="74" t="n">
        <x:f>MAX(F145-G145,0)</x:f>
        <x:v>0</x:v>
      </x:c>
      <x:c r="I145" s="74"/>
      <x:c r="J145" s="74" t="n">
        <x:f>MAX(H145-I145,0)</x:f>
        <x:v>0</x:v>
      </x:c>
      <x:c r="K145" s="77"/>
      <x:c r="L145" s="77"/>
      <x:c r="O145" t="str">
        <x:f>IF(A145="","",IF(J145=0,"Paid",IF(AND(K145&lt;&gt;"",TODAY()&gt;K145),"Overdue",IF(I145&gt;0,"Part Paid","Due"))))</x:f>
      </x:c>
      <x:c r="S145" s="79"/>
      <x:c r="T145" s="79"/>
      <x:c r="U145" s="80" t="str">
        <x:f>IF(OR(S145="",S145=0),"",T145/S145)</x:f>
      </x:c>
    </x:row>
    <x:row r="146">
      <x:c r="A146" s="76"/>
      <x:c r="F146" s="74"/>
      <x:c r="G146" s="74"/>
      <x:c r="H146" s="74" t="n">
        <x:f>MAX(F146-G146,0)</x:f>
        <x:v>0</x:v>
      </x:c>
      <x:c r="I146" s="74"/>
      <x:c r="J146" s="74" t="n">
        <x:f>MAX(H146-I146,0)</x:f>
        <x:v>0</x:v>
      </x:c>
      <x:c r="K146" s="77"/>
      <x:c r="L146" s="77"/>
      <x:c r="O146" t="str">
        <x:f>IF(A146="","",IF(J146=0,"Paid",IF(AND(K146&lt;&gt;"",TODAY()&gt;K146),"Overdue",IF(I146&gt;0,"Part Paid","Due"))))</x:f>
      </x:c>
      <x:c r="S146" s="79"/>
      <x:c r="T146" s="79"/>
      <x:c r="U146" s="80" t="str">
        <x:f>IF(OR(S146="",S146=0),"",T146/S146)</x:f>
      </x:c>
    </x:row>
    <x:row r="147">
      <x:c r="A147" s="76"/>
      <x:c r="F147" s="74"/>
      <x:c r="G147" s="74"/>
      <x:c r="H147" s="74" t="n">
        <x:f>MAX(F147-G147,0)</x:f>
        <x:v>0</x:v>
      </x:c>
      <x:c r="I147" s="74"/>
      <x:c r="J147" s="74" t="n">
        <x:f>MAX(H147-I147,0)</x:f>
        <x:v>0</x:v>
      </x:c>
      <x:c r="K147" s="77"/>
      <x:c r="L147" s="77"/>
      <x:c r="O147" t="str">
        <x:f>IF(A147="","",IF(J147=0,"Paid",IF(AND(K147&lt;&gt;"",TODAY()&gt;K147),"Overdue",IF(I147&gt;0,"Part Paid","Due"))))</x:f>
      </x:c>
      <x:c r="S147" s="79"/>
      <x:c r="T147" s="79"/>
      <x:c r="U147" s="80" t="str">
        <x:f>IF(OR(S147="",S147=0),"",T147/S147)</x:f>
      </x:c>
    </x:row>
    <x:row r="148">
      <x:c r="A148" s="76"/>
      <x:c r="F148" s="74"/>
      <x:c r="G148" s="74"/>
      <x:c r="H148" s="74" t="n">
        <x:f>MAX(F148-G148,0)</x:f>
        <x:v>0</x:v>
      </x:c>
      <x:c r="I148" s="74"/>
      <x:c r="J148" s="74" t="n">
        <x:f>MAX(H148-I148,0)</x:f>
        <x:v>0</x:v>
      </x:c>
      <x:c r="K148" s="77"/>
      <x:c r="L148" s="77"/>
      <x:c r="O148" t="str">
        <x:f>IF(A148="","",IF(J148=0,"Paid",IF(AND(K148&lt;&gt;"",TODAY()&gt;K148),"Overdue",IF(I148&gt;0,"Part Paid","Due"))))</x:f>
      </x:c>
      <x:c r="S148" s="79"/>
      <x:c r="T148" s="79"/>
      <x:c r="U148" s="80" t="str">
        <x:f>IF(OR(S148="",S148=0),"",T148/S148)</x:f>
      </x:c>
    </x:row>
    <x:row r="149">
      <x:c r="A149" s="76"/>
      <x:c r="F149" s="74"/>
      <x:c r="G149" s="74"/>
      <x:c r="H149" s="74" t="n">
        <x:f>MAX(F149-G149,0)</x:f>
        <x:v>0</x:v>
      </x:c>
      <x:c r="I149" s="74"/>
      <x:c r="J149" s="74" t="n">
        <x:f>MAX(H149-I149,0)</x:f>
        <x:v>0</x:v>
      </x:c>
      <x:c r="K149" s="77"/>
      <x:c r="L149" s="77"/>
      <x:c r="O149" t="str">
        <x:f>IF(A149="","",IF(J149=0,"Paid",IF(AND(K149&lt;&gt;"",TODAY()&gt;K149),"Overdue",IF(I149&gt;0,"Part Paid","Due"))))</x:f>
      </x:c>
      <x:c r="S149" s="79"/>
      <x:c r="T149" s="79"/>
      <x:c r="U149" s="80" t="str">
        <x:f>IF(OR(S149="",S149=0),"",T149/S149)</x:f>
      </x:c>
    </x:row>
    <x:row r="150">
      <x:c r="A150" s="76"/>
      <x:c r="F150" s="74"/>
      <x:c r="G150" s="74"/>
      <x:c r="H150" s="74" t="n">
        <x:f>MAX(F150-G150,0)</x:f>
        <x:v>0</x:v>
      </x:c>
      <x:c r="I150" s="74"/>
      <x:c r="J150" s="74" t="n">
        <x:f>MAX(H150-I150,0)</x:f>
        <x:v>0</x:v>
      </x:c>
      <x:c r="K150" s="77"/>
      <x:c r="L150" s="77"/>
      <x:c r="O150" t="str">
        <x:f>IF(A150="","",IF(J150=0,"Paid",IF(AND(K150&lt;&gt;"",TODAY()&gt;K150),"Overdue",IF(I150&gt;0,"Part Paid","Due"))))</x:f>
      </x:c>
      <x:c r="S150" s="79"/>
      <x:c r="T150" s="79"/>
      <x:c r="U150" s="80" t="str">
        <x:f>IF(OR(S150="",S150=0),"",T150/S150)</x:f>
      </x:c>
    </x:row>
    <x:row r="151">
      <x:c r="A151" s="76"/>
      <x:c r="F151" s="74"/>
      <x:c r="G151" s="74"/>
      <x:c r="H151" s="74" t="n">
        <x:f>MAX(F151-G151,0)</x:f>
        <x:v>0</x:v>
      </x:c>
      <x:c r="I151" s="74"/>
      <x:c r="J151" s="74" t="n">
        <x:f>MAX(H151-I151,0)</x:f>
        <x:v>0</x:v>
      </x:c>
      <x:c r="K151" s="77"/>
      <x:c r="L151" s="77"/>
      <x:c r="O151" t="str">
        <x:f>IF(A151="","",IF(J151=0,"Paid",IF(AND(K151&lt;&gt;"",TODAY()&gt;K151),"Overdue",IF(I151&gt;0,"Part Paid","Due"))))</x:f>
      </x:c>
      <x:c r="S151" s="79"/>
      <x:c r="T151" s="79"/>
      <x:c r="U151" s="80" t="str">
        <x:f>IF(OR(S151="",S151=0),"",T151/S151)</x:f>
      </x:c>
    </x:row>
    <x:row r="152">
      <x:c r="A152" s="76"/>
      <x:c r="F152" s="74"/>
      <x:c r="G152" s="74"/>
      <x:c r="H152" s="74" t="n">
        <x:f>MAX(F152-G152,0)</x:f>
        <x:v>0</x:v>
      </x:c>
      <x:c r="I152" s="74"/>
      <x:c r="J152" s="74" t="n">
        <x:f>MAX(H152-I152,0)</x:f>
        <x:v>0</x:v>
      </x:c>
      <x:c r="K152" s="77"/>
      <x:c r="L152" s="77"/>
      <x:c r="O152" t="str">
        <x:f>IF(A152="","",IF(J152=0,"Paid",IF(AND(K152&lt;&gt;"",TODAY()&gt;K152),"Overdue",IF(I152&gt;0,"Part Paid","Due"))))</x:f>
      </x:c>
      <x:c r="S152" s="79"/>
      <x:c r="T152" s="79"/>
      <x:c r="U152" s="80" t="str">
        <x:f>IF(OR(S152="",S152=0),"",T152/S152)</x:f>
      </x:c>
    </x:row>
    <x:row r="153">
      <x:c r="A153" s="76"/>
      <x:c r="F153" s="74"/>
      <x:c r="G153" s="74"/>
      <x:c r="H153" s="74" t="n">
        <x:f>MAX(F153-G153,0)</x:f>
        <x:v>0</x:v>
      </x:c>
      <x:c r="I153" s="74"/>
      <x:c r="J153" s="74" t="n">
        <x:f>MAX(H153-I153,0)</x:f>
        <x:v>0</x:v>
      </x:c>
      <x:c r="K153" s="77"/>
      <x:c r="L153" s="77"/>
      <x:c r="O153" t="str">
        <x:f>IF(A153="","",IF(J153=0,"Paid",IF(AND(K153&lt;&gt;"",TODAY()&gt;K153),"Overdue",IF(I153&gt;0,"Part Paid","Due"))))</x:f>
      </x:c>
      <x:c r="S153" s="79"/>
      <x:c r="T153" s="79"/>
      <x:c r="U153" s="80" t="str">
        <x:f>IF(OR(S153="",S153=0),"",T153/S153)</x:f>
      </x:c>
    </x:row>
    <x:row r="154">
      <x:c r="A154" s="76"/>
      <x:c r="F154" s="74"/>
      <x:c r="G154" s="74"/>
      <x:c r="H154" s="74" t="n">
        <x:f>MAX(F154-G154,0)</x:f>
        <x:v>0</x:v>
      </x:c>
      <x:c r="I154" s="74"/>
      <x:c r="J154" s="74" t="n">
        <x:f>MAX(H154-I154,0)</x:f>
        <x:v>0</x:v>
      </x:c>
      <x:c r="K154" s="77"/>
      <x:c r="L154" s="77"/>
      <x:c r="O154" t="str">
        <x:f>IF(A154="","",IF(J154=0,"Paid",IF(AND(K154&lt;&gt;"",TODAY()&gt;K154),"Overdue",IF(I154&gt;0,"Part Paid","Due"))))</x:f>
      </x:c>
      <x:c r="S154" s="79"/>
      <x:c r="T154" s="79"/>
      <x:c r="U154" s="80" t="str">
        <x:f>IF(OR(S154="",S154=0),"",T154/S154)</x:f>
      </x:c>
    </x:row>
    <x:row r="155">
      <x:c r="A155" s="76"/>
      <x:c r="F155" s="74"/>
      <x:c r="G155" s="74"/>
      <x:c r="H155" s="74" t="n">
        <x:f>MAX(F155-G155,0)</x:f>
        <x:v>0</x:v>
      </x:c>
      <x:c r="I155" s="74"/>
      <x:c r="J155" s="74" t="n">
        <x:f>MAX(H155-I155,0)</x:f>
        <x:v>0</x:v>
      </x:c>
      <x:c r="K155" s="77"/>
      <x:c r="L155" s="77"/>
      <x:c r="O155" t="str">
        <x:f>IF(A155="","",IF(J155=0,"Paid",IF(AND(K155&lt;&gt;"",TODAY()&gt;K155),"Overdue",IF(I155&gt;0,"Part Paid","Due"))))</x:f>
      </x:c>
      <x:c r="S155" s="79"/>
      <x:c r="T155" s="79"/>
      <x:c r="U155" s="80" t="str">
        <x:f>IF(OR(S155="",S155=0),"",T155/S155)</x:f>
      </x:c>
    </x:row>
    <x:row r="156">
      <x:c r="A156" s="76"/>
      <x:c r="F156" s="74"/>
      <x:c r="G156" s="74"/>
      <x:c r="H156" s="74" t="n">
        <x:f>MAX(F156-G156,0)</x:f>
        <x:v>0</x:v>
      </x:c>
      <x:c r="I156" s="74"/>
      <x:c r="J156" s="74" t="n">
        <x:f>MAX(H156-I156,0)</x:f>
        <x:v>0</x:v>
      </x:c>
      <x:c r="K156" s="77"/>
      <x:c r="L156" s="77"/>
      <x:c r="O156" t="str">
        <x:f>IF(A156="","",IF(J156=0,"Paid",IF(AND(K156&lt;&gt;"",TODAY()&gt;K156),"Overdue",IF(I156&gt;0,"Part Paid","Due"))))</x:f>
      </x:c>
      <x:c r="S156" s="79"/>
      <x:c r="T156" s="79"/>
      <x:c r="U156" s="80" t="str">
        <x:f>IF(OR(S156="",S156=0),"",T156/S156)</x:f>
      </x:c>
    </x:row>
    <x:row r="157">
      <x:c r="A157" s="76"/>
      <x:c r="F157" s="74"/>
      <x:c r="G157" s="74"/>
      <x:c r="H157" s="74" t="n">
        <x:f>MAX(F157-G157,0)</x:f>
        <x:v>0</x:v>
      </x:c>
      <x:c r="I157" s="74"/>
      <x:c r="J157" s="74" t="n">
        <x:f>MAX(H157-I157,0)</x:f>
        <x:v>0</x:v>
      </x:c>
      <x:c r="K157" s="77"/>
      <x:c r="L157" s="77"/>
      <x:c r="O157" t="str">
        <x:f>IF(A157="","",IF(J157=0,"Paid",IF(AND(K157&lt;&gt;"",TODAY()&gt;K157),"Overdue",IF(I157&gt;0,"Part Paid","Due"))))</x:f>
      </x:c>
      <x:c r="S157" s="79"/>
      <x:c r="T157" s="79"/>
      <x:c r="U157" s="80" t="str">
        <x:f>IF(OR(S157="",S157=0),"",T157/S157)</x:f>
      </x:c>
    </x:row>
    <x:row r="158">
      <x:c r="A158" s="76"/>
      <x:c r="F158" s="74"/>
      <x:c r="G158" s="74"/>
      <x:c r="H158" s="74" t="n">
        <x:f>MAX(F158-G158,0)</x:f>
        <x:v>0</x:v>
      </x:c>
      <x:c r="I158" s="74"/>
      <x:c r="J158" s="74" t="n">
        <x:f>MAX(H158-I158,0)</x:f>
        <x:v>0</x:v>
      </x:c>
      <x:c r="K158" s="77"/>
      <x:c r="L158" s="77"/>
      <x:c r="O158" t="str">
        <x:f>IF(A158="","",IF(J158=0,"Paid",IF(AND(K158&lt;&gt;"",TODAY()&gt;K158),"Overdue",IF(I158&gt;0,"Part Paid","Due"))))</x:f>
      </x:c>
      <x:c r="S158" s="79"/>
      <x:c r="T158" s="79"/>
      <x:c r="U158" s="80" t="str">
        <x:f>IF(OR(S158="",S158=0),"",T158/S158)</x:f>
      </x:c>
    </x:row>
    <x:row r="159">
      <x:c r="A159" s="76"/>
      <x:c r="F159" s="74"/>
      <x:c r="G159" s="74"/>
      <x:c r="H159" s="74" t="n">
        <x:f>MAX(F159-G159,0)</x:f>
        <x:v>0</x:v>
      </x:c>
      <x:c r="I159" s="74"/>
      <x:c r="J159" s="74" t="n">
        <x:f>MAX(H159-I159,0)</x:f>
        <x:v>0</x:v>
      </x:c>
      <x:c r="K159" s="77"/>
      <x:c r="L159" s="77"/>
      <x:c r="O159" t="str">
        <x:f>IF(A159="","",IF(J159=0,"Paid",IF(AND(K159&lt;&gt;"",TODAY()&gt;K159),"Overdue",IF(I159&gt;0,"Part Paid","Due"))))</x:f>
      </x:c>
      <x:c r="S159" s="79"/>
      <x:c r="T159" s="79"/>
      <x:c r="U159" s="80" t="str">
        <x:f>IF(OR(S159="",S159=0),"",T159/S159)</x:f>
      </x:c>
    </x:row>
    <x:row r="160">
      <x:c r="A160" s="76"/>
      <x:c r="F160" s="74"/>
      <x:c r="G160" s="74"/>
      <x:c r="H160" s="74" t="n">
        <x:f>MAX(F160-G160,0)</x:f>
        <x:v>0</x:v>
      </x:c>
      <x:c r="I160" s="74"/>
      <x:c r="J160" s="74" t="n">
        <x:f>MAX(H160-I160,0)</x:f>
        <x:v>0</x:v>
      </x:c>
      <x:c r="K160" s="77"/>
      <x:c r="L160" s="77"/>
      <x:c r="O160" t="str">
        <x:f>IF(A160="","",IF(J160=0,"Paid",IF(AND(K160&lt;&gt;"",TODAY()&gt;K160),"Overdue",IF(I160&gt;0,"Part Paid","Due"))))</x:f>
      </x:c>
      <x:c r="S160" s="79"/>
      <x:c r="T160" s="79"/>
      <x:c r="U160" s="80" t="str">
        <x:f>IF(OR(S160="",S160=0),"",T160/S160)</x:f>
      </x:c>
    </x:row>
    <x:row r="161">
      <x:c r="A161" s="76"/>
      <x:c r="F161" s="74"/>
      <x:c r="G161" s="74"/>
      <x:c r="H161" s="74" t="n">
        <x:f>MAX(F161-G161,0)</x:f>
        <x:v>0</x:v>
      </x:c>
      <x:c r="I161" s="74"/>
      <x:c r="J161" s="74" t="n">
        <x:f>MAX(H161-I161,0)</x:f>
        <x:v>0</x:v>
      </x:c>
      <x:c r="K161" s="77"/>
      <x:c r="L161" s="77"/>
      <x:c r="O161" t="str">
        <x:f>IF(A161="","",IF(J161=0,"Paid",IF(AND(K161&lt;&gt;"",TODAY()&gt;K161),"Overdue",IF(I161&gt;0,"Part Paid","Due"))))</x:f>
      </x:c>
      <x:c r="S161" s="79"/>
      <x:c r="T161" s="79"/>
      <x:c r="U161" s="80" t="str">
        <x:f>IF(OR(S161="",S161=0),"",T161/S161)</x:f>
      </x:c>
    </x:row>
    <x:row r="162">
      <x:c r="A162" s="76"/>
      <x:c r="F162" s="74"/>
      <x:c r="G162" s="74"/>
      <x:c r="H162" s="74" t="n">
        <x:f>MAX(F162-G162,0)</x:f>
        <x:v>0</x:v>
      </x:c>
      <x:c r="I162" s="74"/>
      <x:c r="J162" s="74" t="n">
        <x:f>MAX(H162-I162,0)</x:f>
        <x:v>0</x:v>
      </x:c>
      <x:c r="K162" s="77"/>
      <x:c r="L162" s="77"/>
      <x:c r="O162" t="str">
        <x:f>IF(A162="","",IF(J162=0,"Paid",IF(AND(K162&lt;&gt;"",TODAY()&gt;K162),"Overdue",IF(I162&gt;0,"Part Paid","Due"))))</x:f>
      </x:c>
      <x:c r="S162" s="79"/>
      <x:c r="T162" s="79"/>
      <x:c r="U162" s="80" t="str">
        <x:f>IF(OR(S162="",S162=0),"",T162/S162)</x:f>
      </x:c>
    </x:row>
    <x:row r="163">
      <x:c r="A163" s="76"/>
      <x:c r="F163" s="74"/>
      <x:c r="G163" s="74"/>
      <x:c r="H163" s="74" t="n">
        <x:f>MAX(F163-G163,0)</x:f>
        <x:v>0</x:v>
      </x:c>
      <x:c r="I163" s="74"/>
      <x:c r="J163" s="74" t="n">
        <x:f>MAX(H163-I163,0)</x:f>
        <x:v>0</x:v>
      </x:c>
      <x:c r="K163" s="77"/>
      <x:c r="L163" s="77"/>
      <x:c r="O163" t="str">
        <x:f>IF(A163="","",IF(J163=0,"Paid",IF(AND(K163&lt;&gt;"",TODAY()&gt;K163),"Overdue",IF(I163&gt;0,"Part Paid","Due"))))</x:f>
      </x:c>
      <x:c r="S163" s="79"/>
      <x:c r="T163" s="79"/>
      <x:c r="U163" s="80" t="str">
        <x:f>IF(OR(S163="",S163=0),"",T163/S163)</x:f>
      </x:c>
    </x:row>
    <x:row r="164">
      <x:c r="A164" s="76"/>
      <x:c r="F164" s="74"/>
      <x:c r="G164" s="74"/>
      <x:c r="H164" s="74" t="n">
        <x:f>MAX(F164-G164,0)</x:f>
        <x:v>0</x:v>
      </x:c>
      <x:c r="I164" s="74"/>
      <x:c r="J164" s="74" t="n">
        <x:f>MAX(H164-I164,0)</x:f>
        <x:v>0</x:v>
      </x:c>
      <x:c r="K164" s="77"/>
      <x:c r="L164" s="77"/>
      <x:c r="O164" t="str">
        <x:f>IF(A164="","",IF(J164=0,"Paid",IF(AND(K164&lt;&gt;"",TODAY()&gt;K164),"Overdue",IF(I164&gt;0,"Part Paid","Due"))))</x:f>
      </x:c>
      <x:c r="S164" s="79"/>
      <x:c r="T164" s="79"/>
      <x:c r="U164" s="80" t="str">
        <x:f>IF(OR(S164="",S164=0),"",T164/S164)</x:f>
      </x:c>
    </x:row>
    <x:row r="165">
      <x:c r="A165" s="76"/>
      <x:c r="F165" s="74"/>
      <x:c r="G165" s="74"/>
      <x:c r="H165" s="74" t="n">
        <x:f>MAX(F165-G165,0)</x:f>
        <x:v>0</x:v>
      </x:c>
      <x:c r="I165" s="74"/>
      <x:c r="J165" s="74" t="n">
        <x:f>MAX(H165-I165,0)</x:f>
        <x:v>0</x:v>
      </x:c>
      <x:c r="K165" s="77"/>
      <x:c r="L165" s="77"/>
      <x:c r="O165" t="str">
        <x:f>IF(A165="","",IF(J165=0,"Paid",IF(AND(K165&lt;&gt;"",TODAY()&gt;K165),"Overdue",IF(I165&gt;0,"Part Paid","Due"))))</x:f>
      </x:c>
      <x:c r="S165" s="79"/>
      <x:c r="T165" s="79"/>
      <x:c r="U165" s="80" t="str">
        <x:f>IF(OR(S165="",S165=0),"",T165/S165)</x:f>
      </x:c>
    </x:row>
    <x:row r="166">
      <x:c r="A166" s="76"/>
      <x:c r="F166" s="74"/>
      <x:c r="G166" s="74"/>
      <x:c r="H166" s="74" t="n">
        <x:f>MAX(F166-G166,0)</x:f>
        <x:v>0</x:v>
      </x:c>
      <x:c r="I166" s="74"/>
      <x:c r="J166" s="74" t="n">
        <x:f>MAX(H166-I166,0)</x:f>
        <x:v>0</x:v>
      </x:c>
      <x:c r="K166" s="77"/>
      <x:c r="L166" s="77"/>
      <x:c r="O166" t="str">
        <x:f>IF(A166="","",IF(J166=0,"Paid",IF(AND(K166&lt;&gt;"",TODAY()&gt;K166),"Overdue",IF(I166&gt;0,"Part Paid","Due"))))</x:f>
      </x:c>
      <x:c r="S166" s="79"/>
      <x:c r="T166" s="79"/>
      <x:c r="U166" s="80" t="str">
        <x:f>IF(OR(S166="",S166=0),"",T166/S166)</x:f>
      </x:c>
    </x:row>
    <x:row r="167">
      <x:c r="A167" s="76"/>
      <x:c r="F167" s="74"/>
      <x:c r="G167" s="74"/>
      <x:c r="H167" s="74" t="n">
        <x:f>MAX(F167-G167,0)</x:f>
        <x:v>0</x:v>
      </x:c>
      <x:c r="I167" s="74"/>
      <x:c r="J167" s="74" t="n">
        <x:f>MAX(H167-I167,0)</x:f>
        <x:v>0</x:v>
      </x:c>
      <x:c r="K167" s="77"/>
      <x:c r="L167" s="77"/>
      <x:c r="O167" t="str">
        <x:f>IF(A167="","",IF(J167=0,"Paid",IF(AND(K167&lt;&gt;"",TODAY()&gt;K167),"Overdue",IF(I167&gt;0,"Part Paid","Due"))))</x:f>
      </x:c>
      <x:c r="S167" s="79"/>
      <x:c r="T167" s="79"/>
      <x:c r="U167" s="80" t="str">
        <x:f>IF(OR(S167="",S167=0),"",T167/S167)</x:f>
      </x:c>
    </x:row>
    <x:row r="168">
      <x:c r="A168" s="76"/>
      <x:c r="F168" s="74"/>
      <x:c r="G168" s="74"/>
      <x:c r="H168" s="74" t="n">
        <x:f>MAX(F168-G168,0)</x:f>
        <x:v>0</x:v>
      </x:c>
      <x:c r="I168" s="74"/>
      <x:c r="J168" s="74" t="n">
        <x:f>MAX(H168-I168,0)</x:f>
        <x:v>0</x:v>
      </x:c>
      <x:c r="K168" s="77"/>
      <x:c r="L168" s="77"/>
      <x:c r="O168" t="str">
        <x:f>IF(A168="","",IF(J168=0,"Paid",IF(AND(K168&lt;&gt;"",TODAY()&gt;K168),"Overdue",IF(I168&gt;0,"Part Paid","Due"))))</x:f>
      </x:c>
      <x:c r="S168" s="79"/>
      <x:c r="T168" s="79"/>
      <x:c r="U168" s="80" t="str">
        <x:f>IF(OR(S168="",S168=0),"",T168/S168)</x:f>
      </x:c>
    </x:row>
    <x:row r="169">
      <x:c r="A169" s="76"/>
      <x:c r="F169" s="74"/>
      <x:c r="G169" s="74"/>
      <x:c r="H169" s="74" t="n">
        <x:f>MAX(F169-G169,0)</x:f>
        <x:v>0</x:v>
      </x:c>
      <x:c r="I169" s="74"/>
      <x:c r="J169" s="74" t="n">
        <x:f>MAX(H169-I169,0)</x:f>
        <x:v>0</x:v>
      </x:c>
      <x:c r="K169" s="77"/>
      <x:c r="L169" s="77"/>
      <x:c r="O169" t="str">
        <x:f>IF(A169="","",IF(J169=0,"Paid",IF(AND(K169&lt;&gt;"",TODAY()&gt;K169),"Overdue",IF(I169&gt;0,"Part Paid","Due"))))</x:f>
      </x:c>
      <x:c r="S169" s="79"/>
      <x:c r="T169" s="79"/>
      <x:c r="U169" s="80" t="str">
        <x:f>IF(OR(S169="",S169=0),"",T169/S169)</x:f>
      </x:c>
    </x:row>
    <x:row r="170">
      <x:c r="A170" s="76"/>
      <x:c r="F170" s="74"/>
      <x:c r="G170" s="74"/>
      <x:c r="H170" s="74" t="n">
        <x:f>MAX(F170-G170,0)</x:f>
        <x:v>0</x:v>
      </x:c>
      <x:c r="I170" s="74"/>
      <x:c r="J170" s="74" t="n">
        <x:f>MAX(H170-I170,0)</x:f>
        <x:v>0</x:v>
      </x:c>
      <x:c r="K170" s="77"/>
      <x:c r="L170" s="77"/>
      <x:c r="O170" t="str">
        <x:f>IF(A170="","",IF(J170=0,"Paid",IF(AND(K170&lt;&gt;"",TODAY()&gt;K170),"Overdue",IF(I170&gt;0,"Part Paid","Due"))))</x:f>
      </x:c>
      <x:c r="S170" s="79"/>
      <x:c r="T170" s="79"/>
      <x:c r="U170" s="80" t="str">
        <x:f>IF(OR(S170="",S170=0),"",T170/S170)</x:f>
      </x:c>
    </x:row>
    <x:row r="171">
      <x:c r="A171" s="76"/>
      <x:c r="F171" s="74"/>
      <x:c r="G171" s="74"/>
      <x:c r="H171" s="74" t="n">
        <x:f>MAX(F171-G171,0)</x:f>
        <x:v>0</x:v>
      </x:c>
      <x:c r="I171" s="74"/>
      <x:c r="J171" s="74" t="n">
        <x:f>MAX(H171-I171,0)</x:f>
        <x:v>0</x:v>
      </x:c>
      <x:c r="K171" s="77"/>
      <x:c r="L171" s="77"/>
      <x:c r="O171" t="str">
        <x:f>IF(A171="","",IF(J171=0,"Paid",IF(AND(K171&lt;&gt;"",TODAY()&gt;K171),"Overdue",IF(I171&gt;0,"Part Paid","Due"))))</x:f>
      </x:c>
      <x:c r="S171" s="79"/>
      <x:c r="T171" s="79"/>
      <x:c r="U171" s="80" t="str">
        <x:f>IF(OR(S171="",S171=0),"",T171/S171)</x:f>
      </x:c>
    </x:row>
    <x:row r="172">
      <x:c r="A172" s="76"/>
      <x:c r="F172" s="74"/>
      <x:c r="G172" s="74"/>
      <x:c r="H172" s="74" t="n">
        <x:f>MAX(F172-G172,0)</x:f>
        <x:v>0</x:v>
      </x:c>
      <x:c r="I172" s="74"/>
      <x:c r="J172" s="74" t="n">
        <x:f>MAX(H172-I172,0)</x:f>
        <x:v>0</x:v>
      </x:c>
      <x:c r="K172" s="77"/>
      <x:c r="L172" s="77"/>
      <x:c r="O172" t="str">
        <x:f>IF(A172="","",IF(J172=0,"Paid",IF(AND(K172&lt;&gt;"",TODAY()&gt;K172),"Overdue",IF(I172&gt;0,"Part Paid","Due"))))</x:f>
      </x:c>
      <x:c r="S172" s="79"/>
      <x:c r="T172" s="79"/>
      <x:c r="U172" s="80" t="str">
        <x:f>IF(OR(S172="",S172=0),"",T172/S172)</x:f>
      </x:c>
    </x:row>
    <x:row r="173">
      <x:c r="A173" s="76"/>
      <x:c r="F173" s="74"/>
      <x:c r="G173" s="74"/>
      <x:c r="H173" s="74" t="n">
        <x:f>MAX(F173-G173,0)</x:f>
        <x:v>0</x:v>
      </x:c>
      <x:c r="I173" s="74"/>
      <x:c r="J173" s="74" t="n">
        <x:f>MAX(H173-I173,0)</x:f>
        <x:v>0</x:v>
      </x:c>
      <x:c r="K173" s="77"/>
      <x:c r="L173" s="77"/>
      <x:c r="O173" t="str">
        <x:f>IF(A173="","",IF(J173=0,"Paid",IF(AND(K173&lt;&gt;"",TODAY()&gt;K173),"Overdue",IF(I173&gt;0,"Part Paid","Due"))))</x:f>
      </x:c>
      <x:c r="S173" s="79"/>
      <x:c r="T173" s="79"/>
      <x:c r="U173" s="80" t="str">
        <x:f>IF(OR(S173="",S173=0),"",T173/S173)</x:f>
      </x:c>
    </x:row>
    <x:row r="174">
      <x:c r="A174" s="76"/>
      <x:c r="F174" s="74"/>
      <x:c r="G174" s="74"/>
      <x:c r="H174" s="74" t="n">
        <x:f>MAX(F174-G174,0)</x:f>
        <x:v>0</x:v>
      </x:c>
      <x:c r="I174" s="74"/>
      <x:c r="J174" s="74" t="n">
        <x:f>MAX(H174-I174,0)</x:f>
        <x:v>0</x:v>
      </x:c>
      <x:c r="K174" s="77"/>
      <x:c r="L174" s="77"/>
      <x:c r="O174" t="str">
        <x:f>IF(A174="","",IF(J174=0,"Paid",IF(AND(K174&lt;&gt;"",TODAY()&gt;K174),"Overdue",IF(I174&gt;0,"Part Paid","Due"))))</x:f>
      </x:c>
      <x:c r="S174" s="79"/>
      <x:c r="T174" s="79"/>
      <x:c r="U174" s="80" t="str">
        <x:f>IF(OR(S174="",S174=0),"",T174/S174)</x:f>
      </x:c>
    </x:row>
    <x:row r="175">
      <x:c r="A175" s="76"/>
      <x:c r="F175" s="74"/>
      <x:c r="G175" s="74"/>
      <x:c r="H175" s="74" t="n">
        <x:f>MAX(F175-G175,0)</x:f>
        <x:v>0</x:v>
      </x:c>
      <x:c r="I175" s="74"/>
      <x:c r="J175" s="74" t="n">
        <x:f>MAX(H175-I175,0)</x:f>
        <x:v>0</x:v>
      </x:c>
      <x:c r="K175" s="77"/>
      <x:c r="L175" s="77"/>
      <x:c r="O175" t="str">
        <x:f>IF(A175="","",IF(J175=0,"Paid",IF(AND(K175&lt;&gt;"",TODAY()&gt;K175),"Overdue",IF(I175&gt;0,"Part Paid","Due"))))</x:f>
      </x:c>
      <x:c r="S175" s="79"/>
      <x:c r="T175" s="79"/>
      <x:c r="U175" s="80" t="str">
        <x:f>IF(OR(S175="",S175=0),"",T175/S175)</x:f>
      </x:c>
    </x:row>
    <x:row r="176">
      <x:c r="A176" s="76"/>
      <x:c r="F176" s="74"/>
      <x:c r="G176" s="74"/>
      <x:c r="H176" s="74" t="n">
        <x:f>MAX(F176-G176,0)</x:f>
        <x:v>0</x:v>
      </x:c>
      <x:c r="I176" s="74"/>
      <x:c r="J176" s="74" t="n">
        <x:f>MAX(H176-I176,0)</x:f>
        <x:v>0</x:v>
      </x:c>
      <x:c r="K176" s="77"/>
      <x:c r="L176" s="77"/>
      <x:c r="O176" t="str">
        <x:f>IF(A176="","",IF(J176=0,"Paid",IF(AND(K176&lt;&gt;"",TODAY()&gt;K176),"Overdue",IF(I176&gt;0,"Part Paid","Due"))))</x:f>
      </x:c>
      <x:c r="S176" s="79"/>
      <x:c r="T176" s="79"/>
      <x:c r="U176" s="80" t="str">
        <x:f>IF(OR(S176="",S176=0),"",T176/S176)</x:f>
      </x:c>
    </x:row>
    <x:row r="177">
      <x:c r="A177" s="76"/>
      <x:c r="F177" s="74"/>
      <x:c r="G177" s="74"/>
      <x:c r="H177" s="74" t="n">
        <x:f>MAX(F177-G177,0)</x:f>
        <x:v>0</x:v>
      </x:c>
      <x:c r="I177" s="74"/>
      <x:c r="J177" s="74" t="n">
        <x:f>MAX(H177-I177,0)</x:f>
        <x:v>0</x:v>
      </x:c>
      <x:c r="K177" s="77"/>
      <x:c r="L177" s="77"/>
      <x:c r="O177" t="str">
        <x:f>IF(A177="","",IF(J177=0,"Paid",IF(AND(K177&lt;&gt;"",TODAY()&gt;K177),"Overdue",IF(I177&gt;0,"Part Paid","Due"))))</x:f>
      </x:c>
      <x:c r="S177" s="79"/>
      <x:c r="T177" s="79"/>
      <x:c r="U177" s="80" t="str">
        <x:f>IF(OR(S177="",S177=0),"",T177/S177)</x:f>
      </x:c>
    </x:row>
    <x:row r="178">
      <x:c r="A178" s="76"/>
      <x:c r="F178" s="74"/>
      <x:c r="G178" s="74"/>
      <x:c r="H178" s="74" t="n">
        <x:f>MAX(F178-G178,0)</x:f>
        <x:v>0</x:v>
      </x:c>
      <x:c r="I178" s="74"/>
      <x:c r="J178" s="74" t="n">
        <x:f>MAX(H178-I178,0)</x:f>
        <x:v>0</x:v>
      </x:c>
      <x:c r="K178" s="77"/>
      <x:c r="L178" s="77"/>
      <x:c r="O178" t="str">
        <x:f>IF(A178="","",IF(J178=0,"Paid",IF(AND(K178&lt;&gt;"",TODAY()&gt;K178),"Overdue",IF(I178&gt;0,"Part Paid","Due"))))</x:f>
      </x:c>
      <x:c r="S178" s="79"/>
      <x:c r="T178" s="79"/>
      <x:c r="U178" s="80" t="str">
        <x:f>IF(OR(S178="",S178=0),"",T178/S178)</x:f>
      </x:c>
    </x:row>
    <x:row r="179">
      <x:c r="A179" s="76"/>
      <x:c r="F179" s="74"/>
      <x:c r="G179" s="74"/>
      <x:c r="H179" s="74" t="n">
        <x:f>MAX(F179-G179,0)</x:f>
        <x:v>0</x:v>
      </x:c>
      <x:c r="I179" s="74"/>
      <x:c r="J179" s="74" t="n">
        <x:f>MAX(H179-I179,0)</x:f>
        <x:v>0</x:v>
      </x:c>
      <x:c r="K179" s="77"/>
      <x:c r="L179" s="77"/>
      <x:c r="O179" t="str">
        <x:f>IF(A179="","",IF(J179=0,"Paid",IF(AND(K179&lt;&gt;"",TODAY()&gt;K179),"Overdue",IF(I179&gt;0,"Part Paid","Due"))))</x:f>
      </x:c>
      <x:c r="S179" s="79"/>
      <x:c r="T179" s="79"/>
      <x:c r="U179" s="80" t="str">
        <x:f>IF(OR(S179="",S179=0),"",T179/S179)</x:f>
      </x:c>
    </x:row>
    <x:row r="180">
      <x:c r="A180" s="76"/>
      <x:c r="F180" s="74"/>
      <x:c r="G180" s="74"/>
      <x:c r="H180" s="74" t="n">
        <x:f>MAX(F180-G180,0)</x:f>
        <x:v>0</x:v>
      </x:c>
      <x:c r="I180" s="74"/>
      <x:c r="J180" s="74" t="n">
        <x:f>MAX(H180-I180,0)</x:f>
        <x:v>0</x:v>
      </x:c>
      <x:c r="K180" s="77"/>
      <x:c r="L180" s="77"/>
      <x:c r="O180" t="str">
        <x:f>IF(A180="","",IF(J180=0,"Paid",IF(AND(K180&lt;&gt;"",TODAY()&gt;K180),"Overdue",IF(I180&gt;0,"Part Paid","Due"))))</x:f>
      </x:c>
      <x:c r="S180" s="79"/>
      <x:c r="T180" s="79"/>
      <x:c r="U180" s="80" t="str">
        <x:f>IF(OR(S180="",S180=0),"",T180/S180)</x:f>
      </x:c>
    </x:row>
    <x:row r="181">
      <x:c r="A181" s="76"/>
      <x:c r="F181" s="74"/>
      <x:c r="G181" s="74"/>
      <x:c r="H181" s="74" t="n">
        <x:f>MAX(F181-G181,0)</x:f>
        <x:v>0</x:v>
      </x:c>
      <x:c r="I181" s="74"/>
      <x:c r="J181" s="74" t="n">
        <x:f>MAX(H181-I181,0)</x:f>
        <x:v>0</x:v>
      </x:c>
      <x:c r="K181" s="77"/>
      <x:c r="L181" s="77"/>
      <x:c r="O181" t="str">
        <x:f>IF(A181="","",IF(J181=0,"Paid",IF(AND(K181&lt;&gt;"",TODAY()&gt;K181),"Overdue",IF(I181&gt;0,"Part Paid","Due"))))</x:f>
      </x:c>
      <x:c r="S181" s="79"/>
      <x:c r="T181" s="79"/>
      <x:c r="U181" s="80" t="str">
        <x:f>IF(OR(S181="",S181=0),"",T181/S181)</x:f>
      </x:c>
    </x:row>
    <x:row r="182">
      <x:c r="A182" s="76"/>
      <x:c r="F182" s="74"/>
      <x:c r="G182" s="74"/>
      <x:c r="H182" s="74" t="n">
        <x:f>MAX(F182-G182,0)</x:f>
        <x:v>0</x:v>
      </x:c>
      <x:c r="I182" s="74"/>
      <x:c r="J182" s="74" t="n">
        <x:f>MAX(H182-I182,0)</x:f>
        <x:v>0</x:v>
      </x:c>
      <x:c r="K182" s="77"/>
      <x:c r="L182" s="77"/>
      <x:c r="O182" t="str">
        <x:f>IF(A182="","",IF(J182=0,"Paid",IF(AND(K182&lt;&gt;"",TODAY()&gt;K182),"Overdue",IF(I182&gt;0,"Part Paid","Due"))))</x:f>
      </x:c>
      <x:c r="S182" s="79"/>
      <x:c r="T182" s="79"/>
      <x:c r="U182" s="80" t="str">
        <x:f>IF(OR(S182="",S182=0),"",T182/S182)</x:f>
      </x:c>
    </x:row>
    <x:row r="183">
      <x:c r="A183" s="76"/>
      <x:c r="F183" s="74"/>
      <x:c r="G183" s="74"/>
      <x:c r="H183" s="74" t="n">
        <x:f>MAX(F183-G183,0)</x:f>
        <x:v>0</x:v>
      </x:c>
      <x:c r="I183" s="74"/>
      <x:c r="J183" s="74" t="n">
        <x:f>MAX(H183-I183,0)</x:f>
        <x:v>0</x:v>
      </x:c>
      <x:c r="K183" s="77"/>
      <x:c r="L183" s="77"/>
      <x:c r="O183" t="str">
        <x:f>IF(A183="","",IF(J183=0,"Paid",IF(AND(K183&lt;&gt;"",TODAY()&gt;K183),"Overdue",IF(I183&gt;0,"Part Paid","Due"))))</x:f>
      </x:c>
      <x:c r="S183" s="79"/>
      <x:c r="T183" s="79"/>
      <x:c r="U183" s="80" t="str">
        <x:f>IF(OR(S183="",S183=0),"",T183/S183)</x:f>
      </x:c>
    </x:row>
    <x:row r="184">
      <x:c r="A184" s="76"/>
      <x:c r="F184" s="74"/>
      <x:c r="G184" s="74"/>
      <x:c r="H184" s="74" t="n">
        <x:f>MAX(F184-G184,0)</x:f>
        <x:v>0</x:v>
      </x:c>
      <x:c r="I184" s="74"/>
      <x:c r="J184" s="74" t="n">
        <x:f>MAX(H184-I184,0)</x:f>
        <x:v>0</x:v>
      </x:c>
      <x:c r="K184" s="77"/>
      <x:c r="L184" s="77"/>
      <x:c r="O184" t="str">
        <x:f>IF(A184="","",IF(J184=0,"Paid",IF(AND(K184&lt;&gt;"",TODAY()&gt;K184),"Overdue",IF(I184&gt;0,"Part Paid","Due"))))</x:f>
      </x:c>
      <x:c r="S184" s="79"/>
      <x:c r="T184" s="79"/>
      <x:c r="U184" s="80" t="str">
        <x:f>IF(OR(S184="",S184=0),"",T184/S184)</x:f>
      </x:c>
    </x:row>
    <x:row r="185">
      <x:c r="A185" s="76"/>
      <x:c r="F185" s="74"/>
      <x:c r="G185" s="74"/>
      <x:c r="H185" s="74" t="n">
        <x:f>MAX(F185-G185,0)</x:f>
        <x:v>0</x:v>
      </x:c>
      <x:c r="I185" s="74"/>
      <x:c r="J185" s="74" t="n">
        <x:f>MAX(H185-I185,0)</x:f>
        <x:v>0</x:v>
      </x:c>
      <x:c r="K185" s="77"/>
      <x:c r="L185" s="77"/>
      <x:c r="O185" t="str">
        <x:f>IF(A185="","",IF(J185=0,"Paid",IF(AND(K185&lt;&gt;"",TODAY()&gt;K185),"Overdue",IF(I185&gt;0,"Part Paid","Due"))))</x:f>
      </x:c>
      <x:c r="S185" s="79"/>
      <x:c r="T185" s="79"/>
      <x:c r="U185" s="80" t="str">
        <x:f>IF(OR(S185="",S185=0),"",T185/S185)</x:f>
      </x:c>
    </x:row>
    <x:row r="186">
      <x:c r="A186" s="76"/>
      <x:c r="F186" s="74"/>
      <x:c r="G186" s="74"/>
      <x:c r="H186" s="74" t="n">
        <x:f>MAX(F186-G186,0)</x:f>
        <x:v>0</x:v>
      </x:c>
      <x:c r="I186" s="74"/>
      <x:c r="J186" s="74" t="n">
        <x:f>MAX(H186-I186,0)</x:f>
        <x:v>0</x:v>
      </x:c>
      <x:c r="K186" s="77"/>
      <x:c r="L186" s="77"/>
      <x:c r="O186" t="str">
        <x:f>IF(A186="","",IF(J186=0,"Paid",IF(AND(K186&lt;&gt;"",TODAY()&gt;K186),"Overdue",IF(I186&gt;0,"Part Paid","Due"))))</x:f>
      </x:c>
      <x:c r="S186" s="79"/>
      <x:c r="T186" s="79"/>
      <x:c r="U186" s="80" t="str">
        <x:f>IF(OR(S186="",S186=0),"",T186/S186)</x:f>
      </x:c>
    </x:row>
    <x:row r="187">
      <x:c r="A187" s="76"/>
      <x:c r="F187" s="74"/>
      <x:c r="G187" s="74"/>
      <x:c r="H187" s="74" t="n">
        <x:f>MAX(F187-G187,0)</x:f>
        <x:v>0</x:v>
      </x:c>
      <x:c r="I187" s="74"/>
      <x:c r="J187" s="74" t="n">
        <x:f>MAX(H187-I187,0)</x:f>
        <x:v>0</x:v>
      </x:c>
      <x:c r="K187" s="77"/>
      <x:c r="L187" s="77"/>
      <x:c r="O187" t="str">
        <x:f>IF(A187="","",IF(J187=0,"Paid",IF(AND(K187&lt;&gt;"",TODAY()&gt;K187),"Overdue",IF(I187&gt;0,"Part Paid","Due"))))</x:f>
      </x:c>
      <x:c r="S187" s="79"/>
      <x:c r="T187" s="79"/>
      <x:c r="U187" s="80" t="str">
        <x:f>IF(OR(S187="",S187=0),"",T187/S187)</x:f>
      </x:c>
    </x:row>
    <x:row r="188">
      <x:c r="A188" s="76"/>
      <x:c r="F188" s="74"/>
      <x:c r="G188" s="74"/>
      <x:c r="H188" s="74" t="n">
        <x:f>MAX(F188-G188,0)</x:f>
        <x:v>0</x:v>
      </x:c>
      <x:c r="I188" s="74"/>
      <x:c r="J188" s="74" t="n">
        <x:f>MAX(H188-I188,0)</x:f>
        <x:v>0</x:v>
      </x:c>
      <x:c r="K188" s="77"/>
      <x:c r="L188" s="77"/>
      <x:c r="O188" t="str">
        <x:f>IF(A188="","",IF(J188=0,"Paid",IF(AND(K188&lt;&gt;"",TODAY()&gt;K188),"Overdue",IF(I188&gt;0,"Part Paid","Due"))))</x:f>
      </x:c>
      <x:c r="S188" s="79"/>
      <x:c r="T188" s="79"/>
      <x:c r="U188" s="80" t="str">
        <x:f>IF(OR(S188="",S188=0),"",T188/S188)</x:f>
      </x:c>
    </x:row>
    <x:row r="189">
      <x:c r="A189" s="76"/>
      <x:c r="F189" s="74"/>
      <x:c r="G189" s="74"/>
      <x:c r="H189" s="74" t="n">
        <x:f>MAX(F189-G189,0)</x:f>
        <x:v>0</x:v>
      </x:c>
      <x:c r="I189" s="74"/>
      <x:c r="J189" s="74" t="n">
        <x:f>MAX(H189-I189,0)</x:f>
        <x:v>0</x:v>
      </x:c>
      <x:c r="K189" s="77"/>
      <x:c r="L189" s="77"/>
      <x:c r="O189" t="str">
        <x:f>IF(A189="","",IF(J189=0,"Paid",IF(AND(K189&lt;&gt;"",TODAY()&gt;K189),"Overdue",IF(I189&gt;0,"Part Paid","Due"))))</x:f>
      </x:c>
      <x:c r="S189" s="79"/>
      <x:c r="T189" s="79"/>
      <x:c r="U189" s="80" t="str">
        <x:f>IF(OR(S189="",S189=0),"",T189/S189)</x:f>
      </x:c>
    </x:row>
    <x:row r="190">
      <x:c r="A190" s="76"/>
      <x:c r="F190" s="74"/>
      <x:c r="G190" s="74"/>
      <x:c r="H190" s="74" t="n">
        <x:f>MAX(F190-G190,0)</x:f>
        <x:v>0</x:v>
      </x:c>
      <x:c r="I190" s="74"/>
      <x:c r="J190" s="74" t="n">
        <x:f>MAX(H190-I190,0)</x:f>
        <x:v>0</x:v>
      </x:c>
      <x:c r="K190" s="77"/>
      <x:c r="L190" s="77"/>
      <x:c r="O190" t="str">
        <x:f>IF(A190="","",IF(J190=0,"Paid",IF(AND(K190&lt;&gt;"",TODAY()&gt;K190),"Overdue",IF(I190&gt;0,"Part Paid","Due"))))</x:f>
      </x:c>
      <x:c r="S190" s="79"/>
      <x:c r="T190" s="79"/>
      <x:c r="U190" s="80" t="str">
        <x:f>IF(OR(S190="",S190=0),"",T190/S190)</x:f>
      </x:c>
    </x:row>
    <x:row r="191">
      <x:c r="A191" s="76"/>
      <x:c r="F191" s="74"/>
      <x:c r="G191" s="74"/>
      <x:c r="H191" s="74" t="n">
        <x:f>MAX(F191-G191,0)</x:f>
        <x:v>0</x:v>
      </x:c>
      <x:c r="I191" s="74"/>
      <x:c r="J191" s="74" t="n">
        <x:f>MAX(H191-I191,0)</x:f>
        <x:v>0</x:v>
      </x:c>
      <x:c r="K191" s="77"/>
      <x:c r="L191" s="77"/>
      <x:c r="O191" t="str">
        <x:f>IF(A191="","",IF(J191=0,"Paid",IF(AND(K191&lt;&gt;"",TODAY()&gt;K191),"Overdue",IF(I191&gt;0,"Part Paid","Due"))))</x:f>
      </x:c>
      <x:c r="S191" s="79"/>
      <x:c r="T191" s="79"/>
      <x:c r="U191" s="80" t="str">
        <x:f>IF(OR(S191="",S191=0),"",T191/S191)</x:f>
      </x:c>
    </x:row>
    <x:row r="192">
      <x:c r="A192" s="76"/>
      <x:c r="F192" s="74"/>
      <x:c r="G192" s="74"/>
      <x:c r="H192" s="74" t="n">
        <x:f>MAX(F192-G192,0)</x:f>
        <x:v>0</x:v>
      </x:c>
      <x:c r="I192" s="74"/>
      <x:c r="J192" s="74" t="n">
        <x:f>MAX(H192-I192,0)</x:f>
        <x:v>0</x:v>
      </x:c>
      <x:c r="K192" s="77"/>
      <x:c r="L192" s="77"/>
      <x:c r="O192" t="str">
        <x:f>IF(A192="","",IF(J192=0,"Paid",IF(AND(K192&lt;&gt;"",TODAY()&gt;K192),"Overdue",IF(I192&gt;0,"Part Paid","Due"))))</x:f>
      </x:c>
      <x:c r="S192" s="79"/>
      <x:c r="T192" s="79"/>
      <x:c r="U192" s="80" t="str">
        <x:f>IF(OR(S192="",S192=0),"",T192/S192)</x:f>
      </x:c>
    </x:row>
    <x:row r="193">
      <x:c r="A193" s="76"/>
      <x:c r="F193" s="74"/>
      <x:c r="G193" s="74"/>
      <x:c r="H193" s="74" t="n">
        <x:f>MAX(F193-G193,0)</x:f>
        <x:v>0</x:v>
      </x:c>
      <x:c r="I193" s="74"/>
      <x:c r="J193" s="74" t="n">
        <x:f>MAX(H193-I193,0)</x:f>
        <x:v>0</x:v>
      </x:c>
      <x:c r="K193" s="77"/>
      <x:c r="L193" s="77"/>
      <x:c r="O193" t="str">
        <x:f>IF(A193="","",IF(J193=0,"Paid",IF(AND(K193&lt;&gt;"",TODAY()&gt;K193),"Overdue",IF(I193&gt;0,"Part Paid","Due"))))</x:f>
      </x:c>
      <x:c r="S193" s="79"/>
      <x:c r="T193" s="79"/>
      <x:c r="U193" s="80" t="str">
        <x:f>IF(OR(S193="",S193=0),"",T193/S193)</x:f>
      </x:c>
    </x:row>
    <x:row r="194">
      <x:c r="A194" s="76"/>
      <x:c r="F194" s="74"/>
      <x:c r="G194" s="74"/>
      <x:c r="H194" s="74" t="n">
        <x:f>MAX(F194-G194,0)</x:f>
        <x:v>0</x:v>
      </x:c>
      <x:c r="I194" s="74"/>
      <x:c r="J194" s="74" t="n">
        <x:f>MAX(H194-I194,0)</x:f>
        <x:v>0</x:v>
      </x:c>
      <x:c r="K194" s="77"/>
      <x:c r="L194" s="77"/>
      <x:c r="O194" t="str">
        <x:f>IF(A194="","",IF(J194=0,"Paid",IF(AND(K194&lt;&gt;"",TODAY()&gt;K194),"Overdue",IF(I194&gt;0,"Part Paid","Due"))))</x:f>
      </x:c>
      <x:c r="S194" s="79"/>
      <x:c r="T194" s="79"/>
      <x:c r="U194" s="80" t="str">
        <x:f>IF(OR(S194="",S194=0),"",T194/S194)</x:f>
      </x:c>
    </x:row>
    <x:row r="195">
      <x:c r="A195" s="76"/>
      <x:c r="F195" s="74"/>
      <x:c r="G195" s="74"/>
      <x:c r="H195" s="74" t="n">
        <x:f>MAX(F195-G195,0)</x:f>
        <x:v>0</x:v>
      </x:c>
      <x:c r="I195" s="74"/>
      <x:c r="J195" s="74" t="n">
        <x:f>MAX(H195-I195,0)</x:f>
        <x:v>0</x:v>
      </x:c>
      <x:c r="K195" s="77"/>
      <x:c r="L195" s="77"/>
      <x:c r="O195" t="str">
        <x:f>IF(A195="","",IF(J195=0,"Paid",IF(AND(K195&lt;&gt;"",TODAY()&gt;K195),"Overdue",IF(I195&gt;0,"Part Paid","Due"))))</x:f>
      </x:c>
      <x:c r="S195" s="79"/>
      <x:c r="T195" s="79"/>
      <x:c r="U195" s="80" t="str">
        <x:f>IF(OR(S195="",S195=0),"",T195/S195)</x:f>
      </x:c>
    </x:row>
    <x:row r="196">
      <x:c r="A196" s="76"/>
      <x:c r="F196" s="74"/>
      <x:c r="G196" s="74"/>
      <x:c r="H196" s="74" t="n">
        <x:f>MAX(F196-G196,0)</x:f>
        <x:v>0</x:v>
      </x:c>
      <x:c r="I196" s="74"/>
      <x:c r="J196" s="74" t="n">
        <x:f>MAX(H196-I196,0)</x:f>
        <x:v>0</x:v>
      </x:c>
      <x:c r="K196" s="77"/>
      <x:c r="L196" s="77"/>
      <x:c r="O196" t="str">
        <x:f>IF(A196="","",IF(J196=0,"Paid",IF(AND(K196&lt;&gt;"",TODAY()&gt;K196),"Overdue",IF(I196&gt;0,"Part Paid","Due"))))</x:f>
      </x:c>
      <x:c r="S196" s="79"/>
      <x:c r="T196" s="79"/>
      <x:c r="U196" s="80" t="str">
        <x:f>IF(OR(S196="",S196=0),"",T196/S196)</x:f>
      </x:c>
    </x:row>
    <x:row r="197">
      <x:c r="A197" s="76"/>
      <x:c r="F197" s="74"/>
      <x:c r="G197" s="74"/>
      <x:c r="H197" s="74" t="n">
        <x:f>MAX(F197-G197,0)</x:f>
        <x:v>0</x:v>
      </x:c>
      <x:c r="I197" s="74"/>
      <x:c r="J197" s="74" t="n">
        <x:f>MAX(H197-I197,0)</x:f>
        <x:v>0</x:v>
      </x:c>
      <x:c r="K197" s="77"/>
      <x:c r="L197" s="77"/>
      <x:c r="O197" t="str">
        <x:f>IF(A197="","",IF(J197=0,"Paid",IF(AND(K197&lt;&gt;"",TODAY()&gt;K197),"Overdue",IF(I197&gt;0,"Part Paid","Due"))))</x:f>
      </x:c>
      <x:c r="S197" s="79"/>
      <x:c r="T197" s="79"/>
      <x:c r="U197" s="80" t="str">
        <x:f>IF(OR(S197="",S197=0),"",T197/S197)</x:f>
      </x:c>
    </x:row>
    <x:row r="198">
      <x:c r="A198" s="76"/>
      <x:c r="F198" s="74"/>
      <x:c r="G198" s="74"/>
      <x:c r="H198" s="74" t="n">
        <x:f>MAX(F198-G198,0)</x:f>
        <x:v>0</x:v>
      </x:c>
      <x:c r="I198" s="74"/>
      <x:c r="J198" s="74" t="n">
        <x:f>MAX(H198-I198,0)</x:f>
        <x:v>0</x:v>
      </x:c>
      <x:c r="K198" s="77"/>
      <x:c r="L198" s="77"/>
      <x:c r="O198" t="str">
        <x:f>IF(A198="","",IF(J198=0,"Paid",IF(AND(K198&lt;&gt;"",TODAY()&gt;K198),"Overdue",IF(I198&gt;0,"Part Paid","Due"))))</x:f>
      </x:c>
      <x:c r="S198" s="79"/>
      <x:c r="T198" s="79"/>
      <x:c r="U198" s="80" t="str">
        <x:f>IF(OR(S198="",S198=0),"",T198/S198)</x:f>
      </x:c>
    </x:row>
    <x:row r="199">
      <x:c r="A199" s="76"/>
      <x:c r="F199" s="74"/>
      <x:c r="G199" s="74"/>
      <x:c r="H199" s="74" t="n">
        <x:f>MAX(F199-G199,0)</x:f>
        <x:v>0</x:v>
      </x:c>
      <x:c r="I199" s="74"/>
      <x:c r="J199" s="74" t="n">
        <x:f>MAX(H199-I199,0)</x:f>
        <x:v>0</x:v>
      </x:c>
      <x:c r="K199" s="77"/>
      <x:c r="L199" s="77"/>
      <x:c r="O199" t="str">
        <x:f>IF(A199="","",IF(J199=0,"Paid",IF(AND(K199&lt;&gt;"",TODAY()&gt;K199),"Overdue",IF(I199&gt;0,"Part Paid","Due"))))</x:f>
      </x:c>
      <x:c r="S199" s="79"/>
      <x:c r="T199" s="79"/>
      <x:c r="U199" s="80" t="str">
        <x:f>IF(OR(S199="",S199=0),"",T199/S199)</x:f>
      </x:c>
    </x:row>
    <x:row r="200">
      <x:c r="A200" s="76"/>
      <x:c r="F200" s="74"/>
      <x:c r="G200" s="74"/>
      <x:c r="H200" s="74" t="n">
        <x:f>MAX(F200-G200,0)</x:f>
        <x:v>0</x:v>
      </x:c>
      <x:c r="I200" s="74"/>
      <x:c r="J200" s="74" t="n">
        <x:f>MAX(H200-I200,0)</x:f>
        <x:v>0</x:v>
      </x:c>
      <x:c r="K200" s="77"/>
      <x:c r="L200" s="77"/>
      <x:c r="O200" t="str">
        <x:f>IF(A200="","",IF(J200=0,"Paid",IF(AND(K200&lt;&gt;"",TODAY()&gt;K200),"Overdue",IF(I200&gt;0,"Part Paid","Due"))))</x:f>
      </x:c>
      <x:c r="S200" s="79"/>
      <x:c r="T200" s="79"/>
      <x:c r="U200" s="80" t="str">
        <x:f>IF(OR(S200="",S200=0),"",T200/S200)</x:f>
      </x:c>
    </x:row>
    <x:row r="201">
      <x:c r="A201" s="76"/>
      <x:c r="F201" s="74"/>
      <x:c r="G201" s="74"/>
      <x:c r="H201" s="74" t="n">
        <x:f>MAX(F201-G201,0)</x:f>
        <x:v>0</x:v>
      </x:c>
      <x:c r="I201" s="74"/>
      <x:c r="J201" s="74" t="n">
        <x:f>MAX(H201-I201,0)</x:f>
        <x:v>0</x:v>
      </x:c>
      <x:c r="K201" s="77"/>
      <x:c r="L201" s="77"/>
      <x:c r="O201" t="str">
        <x:f>IF(A201="","",IF(J201=0,"Paid",IF(AND(K201&lt;&gt;"",TODAY()&gt;K201),"Overdue",IF(I201&gt;0,"Part Paid","Due"))))</x:f>
      </x:c>
      <x:c r="S201" s="79"/>
      <x:c r="T201" s="79"/>
      <x:c r="U201" s="80" t="str">
        <x:f>IF(OR(S201="",S201=0),"",T201/S201)</x:f>
      </x:c>
    </x:row>
    <x:row r="202">
      <x:c r="A202" s="76"/>
      <x:c r="F202" s="74"/>
      <x:c r="G202" s="74"/>
      <x:c r="H202" s="74" t="n">
        <x:f>MAX(F202-G202,0)</x:f>
        <x:v>0</x:v>
      </x:c>
      <x:c r="I202" s="74"/>
      <x:c r="J202" s="74" t="n">
        <x:f>MAX(H202-I202,0)</x:f>
        <x:v>0</x:v>
      </x:c>
      <x:c r="K202" s="77"/>
      <x:c r="L202" s="77"/>
      <x:c r="O202" t="str">
        <x:f>IF(A202="","",IF(J202=0,"Paid",IF(AND(K202&lt;&gt;"",TODAY()&gt;K202),"Overdue",IF(I202&gt;0,"Part Paid","Due"))))</x:f>
      </x:c>
      <x:c r="S202" s="79"/>
      <x:c r="T202" s="79"/>
      <x:c r="U202" s="80" t="str">
        <x:f>IF(OR(S202="",S202=0),"",T202/S202)</x:f>
      </x:c>
    </x:row>
    <x:row r="203">
      <x:c r="A203" s="76"/>
      <x:c r="F203" s="74"/>
      <x:c r="G203" s="74"/>
      <x:c r="H203" s="74" t="n">
        <x:f>MAX(F203-G203,0)</x:f>
        <x:v>0</x:v>
      </x:c>
      <x:c r="I203" s="74"/>
      <x:c r="J203" s="74" t="n">
        <x:f>MAX(H203-I203,0)</x:f>
        <x:v>0</x:v>
      </x:c>
      <x:c r="K203" s="77"/>
      <x:c r="L203" s="77"/>
      <x:c r="O203" t="str">
        <x:f>IF(A203="","",IF(J203=0,"Paid",IF(AND(K203&lt;&gt;"",TODAY()&gt;K203),"Overdue",IF(I203&gt;0,"Part Paid","Due"))))</x:f>
      </x:c>
      <x:c r="S203" s="79"/>
      <x:c r="T203" s="79"/>
      <x:c r="U203" s="80" t="str">
        <x:f>IF(OR(S203="",S203=0),"",T203/S203)</x:f>
      </x:c>
    </x:row>
    <x:row r="204">
      <x:c r="A204" s="76"/>
      <x:c r="F204" s="74"/>
      <x:c r="G204" s="74"/>
      <x:c r="H204" s="74" t="n">
        <x:f>MAX(F204-G204,0)</x:f>
        <x:v>0</x:v>
      </x:c>
      <x:c r="I204" s="74"/>
      <x:c r="J204" s="74" t="n">
        <x:f>MAX(H204-I204,0)</x:f>
        <x:v>0</x:v>
      </x:c>
      <x:c r="K204" s="77"/>
      <x:c r="L204" s="77"/>
      <x:c r="O204" t="str">
        <x:f>IF(A204="","",IF(J204=0,"Paid",IF(AND(K204&lt;&gt;"",TODAY()&gt;K204),"Overdue",IF(I204&gt;0,"Part Paid","Due"))))</x:f>
      </x:c>
      <x:c r="S204" s="79"/>
      <x:c r="T204" s="79"/>
      <x:c r="U204" s="80" t="str">
        <x:f>IF(OR(S204="",S204=0),"",T204/S204)</x:f>
      </x:c>
    </x:row>
    <x:row r="205">
      <x:c r="A205" s="76"/>
      <x:c r="F205" s="74"/>
      <x:c r="G205" s="74"/>
      <x:c r="H205" s="74" t="n">
        <x:f>MAX(F205-G205,0)</x:f>
        <x:v>0</x:v>
      </x:c>
      <x:c r="I205" s="74"/>
      <x:c r="J205" s="74" t="n">
        <x:f>MAX(H205-I205,0)</x:f>
        <x:v>0</x:v>
      </x:c>
      <x:c r="K205" s="77"/>
      <x:c r="L205" s="77"/>
      <x:c r="O205" t="str">
        <x:f>IF(A205="","",IF(J205=0,"Paid",IF(AND(K205&lt;&gt;"",TODAY()&gt;K205),"Overdue",IF(I205&gt;0,"Part Paid","Due"))))</x:f>
      </x:c>
      <x:c r="S205" s="79"/>
      <x:c r="T205" s="79"/>
      <x:c r="U205" s="80" t="str">
        <x:f>IF(OR(S205="",S205=0),"",T205/S205)</x:f>
      </x:c>
    </x:row>
    <x:row r="206">
      <x:c r="A206" s="76"/>
      <x:c r="F206" s="74"/>
      <x:c r="G206" s="74"/>
      <x:c r="H206" s="74" t="n">
        <x:f>MAX(F206-G206,0)</x:f>
        <x:v>0</x:v>
      </x:c>
      <x:c r="I206" s="74"/>
      <x:c r="J206" s="74" t="n">
        <x:f>MAX(H206-I206,0)</x:f>
        <x:v>0</x:v>
      </x:c>
      <x:c r="K206" s="77"/>
      <x:c r="L206" s="77"/>
      <x:c r="O206" t="str">
        <x:f>IF(A206="","",IF(J206=0,"Paid",IF(AND(K206&lt;&gt;"",TODAY()&gt;K206),"Overdue",IF(I206&gt;0,"Part Paid","Due"))))</x:f>
      </x:c>
      <x:c r="S206" s="79"/>
      <x:c r="T206" s="79"/>
      <x:c r="U206" s="80" t="str">
        <x:f>IF(OR(S206="",S206=0),"",T206/S206)</x:f>
      </x:c>
    </x:row>
    <x:row r="207">
      <x:c r="A207" s="76"/>
      <x:c r="F207" s="74"/>
      <x:c r="G207" s="74"/>
      <x:c r="H207" s="74" t="n">
        <x:f>MAX(F207-G207,0)</x:f>
        <x:v>0</x:v>
      </x:c>
      <x:c r="I207" s="74"/>
      <x:c r="J207" s="74" t="n">
        <x:f>MAX(H207-I207,0)</x:f>
        <x:v>0</x:v>
      </x:c>
      <x:c r="K207" s="77"/>
      <x:c r="L207" s="77"/>
      <x:c r="O207" t="str">
        <x:f>IF(A207="","",IF(J207=0,"Paid",IF(AND(K207&lt;&gt;"",TODAY()&gt;K207),"Overdue",IF(I207&gt;0,"Part Paid","Due"))))</x:f>
      </x:c>
      <x:c r="S207" s="79"/>
      <x:c r="T207" s="79"/>
      <x:c r="U207" s="80" t="str">
        <x:f>IF(OR(S207="",S207=0),"",T207/S207)</x:f>
      </x:c>
    </x:row>
    <x:row r="208">
      <x:c r="A208" s="76"/>
      <x:c r="F208" s="74"/>
      <x:c r="G208" s="74"/>
      <x:c r="H208" s="74" t="n">
        <x:f>MAX(F208-G208,0)</x:f>
        <x:v>0</x:v>
      </x:c>
      <x:c r="I208" s="74"/>
      <x:c r="J208" s="74" t="n">
        <x:f>MAX(H208-I208,0)</x:f>
        <x:v>0</x:v>
      </x:c>
      <x:c r="K208" s="77"/>
      <x:c r="L208" s="77"/>
      <x:c r="O208" t="str">
        <x:f>IF(A208="","",IF(J208=0,"Paid",IF(AND(K208&lt;&gt;"",TODAY()&gt;K208),"Overdue",IF(I208&gt;0,"Part Paid","Due"))))</x:f>
      </x:c>
      <x:c r="S208" s="79"/>
      <x:c r="T208" s="79"/>
      <x:c r="U208" s="80" t="str">
        <x:f>IF(OR(S208="",S208=0),"",T208/S208)</x:f>
      </x:c>
    </x:row>
    <x:row r="209">
      <x:c r="A209" s="76"/>
      <x:c r="F209" s="74"/>
      <x:c r="G209" s="74"/>
      <x:c r="H209" s="74" t="n">
        <x:f>MAX(F209-G209,0)</x:f>
        <x:v>0</x:v>
      </x:c>
      <x:c r="I209" s="74"/>
      <x:c r="J209" s="74" t="n">
        <x:f>MAX(H209-I209,0)</x:f>
        <x:v>0</x:v>
      </x:c>
      <x:c r="K209" s="77"/>
      <x:c r="L209" s="77"/>
      <x:c r="O209" t="str">
        <x:f>IF(A209="","",IF(J209=0,"Paid",IF(AND(K209&lt;&gt;"",TODAY()&gt;K209),"Overdue",IF(I209&gt;0,"Part Paid","Due"))))</x:f>
      </x:c>
      <x:c r="S209" s="79"/>
      <x:c r="T209" s="79"/>
      <x:c r="U209" s="80" t="str">
        <x:f>IF(OR(S209="",S209=0),"",T209/S209)</x:f>
      </x:c>
    </x:row>
    <x:row r="210">
      <x:c r="A210" s="76"/>
      <x:c r="F210" s="74"/>
      <x:c r="G210" s="74"/>
      <x:c r="H210" s="74" t="n">
        <x:f>MAX(F210-G210,0)</x:f>
        <x:v>0</x:v>
      </x:c>
      <x:c r="I210" s="74"/>
      <x:c r="J210" s="74" t="n">
        <x:f>MAX(H210-I210,0)</x:f>
        <x:v>0</x:v>
      </x:c>
      <x:c r="K210" s="77"/>
      <x:c r="L210" s="77"/>
      <x:c r="O210" t="str">
        <x:f>IF(A210="","",IF(J210=0,"Paid",IF(AND(K210&lt;&gt;"",TODAY()&gt;K210),"Overdue",IF(I210&gt;0,"Part Paid","Due"))))</x:f>
      </x:c>
      <x:c r="S210" s="79"/>
      <x:c r="T210" s="79"/>
      <x:c r="U210" s="80" t="str">
        <x:f>IF(OR(S210="",S210=0),"",T210/S210)</x:f>
      </x:c>
    </x:row>
    <x:row r="211">
      <x:c r="A211" s="76"/>
      <x:c r="F211" s="74"/>
      <x:c r="G211" s="74"/>
      <x:c r="H211" s="74" t="n">
        <x:f>MAX(F211-G211,0)</x:f>
        <x:v>0</x:v>
      </x:c>
      <x:c r="I211" s="74"/>
      <x:c r="J211" s="74" t="n">
        <x:f>MAX(H211-I211,0)</x:f>
        <x:v>0</x:v>
      </x:c>
      <x:c r="K211" s="77"/>
      <x:c r="L211" s="77"/>
      <x:c r="O211" t="str">
        <x:f>IF(A211="","",IF(J211=0,"Paid",IF(AND(K211&lt;&gt;"",TODAY()&gt;K211),"Overdue",IF(I211&gt;0,"Part Paid","Due"))))</x:f>
      </x:c>
      <x:c r="S211" s="79"/>
      <x:c r="T211" s="79"/>
      <x:c r="U211" s="80" t="str">
        <x:f>IF(OR(S211="",S211=0),"",T211/S211)</x:f>
      </x:c>
    </x:row>
    <x:row r="212">
      <x:c r="A212" s="76"/>
      <x:c r="F212" s="74"/>
      <x:c r="G212" s="74"/>
      <x:c r="H212" s="74" t="n">
        <x:f>MAX(F212-G212,0)</x:f>
        <x:v>0</x:v>
      </x:c>
      <x:c r="I212" s="74"/>
      <x:c r="J212" s="74" t="n">
        <x:f>MAX(H212-I212,0)</x:f>
        <x:v>0</x:v>
      </x:c>
      <x:c r="K212" s="77"/>
      <x:c r="L212" s="77"/>
      <x:c r="O212" t="str">
        <x:f>IF(A212="","",IF(J212=0,"Paid",IF(AND(K212&lt;&gt;"",TODAY()&gt;K212),"Overdue",IF(I212&gt;0,"Part Paid","Due"))))</x:f>
      </x:c>
      <x:c r="S212" s="79"/>
      <x:c r="T212" s="79"/>
      <x:c r="U212" s="80" t="str">
        <x:f>IF(OR(S212="",S212=0),"",T212/S212)</x:f>
      </x:c>
    </x:row>
    <x:row r="213">
      <x:c r="A213" s="76"/>
      <x:c r="F213" s="74"/>
      <x:c r="G213" s="74"/>
      <x:c r="H213" s="74" t="n">
        <x:f>MAX(F213-G213,0)</x:f>
        <x:v>0</x:v>
      </x:c>
      <x:c r="I213" s="74"/>
      <x:c r="J213" s="74" t="n">
        <x:f>MAX(H213-I213,0)</x:f>
        <x:v>0</x:v>
      </x:c>
      <x:c r="K213" s="77"/>
      <x:c r="L213" s="77"/>
      <x:c r="O213" t="str">
        <x:f>IF(A213="","",IF(J213=0,"Paid",IF(AND(K213&lt;&gt;"",TODAY()&gt;K213),"Overdue",IF(I213&gt;0,"Part Paid","Due"))))</x:f>
      </x:c>
      <x:c r="S213" s="79"/>
      <x:c r="T213" s="79"/>
      <x:c r="U213" s="80" t="str">
        <x:f>IF(OR(S213="",S213=0),"",T213/S213)</x:f>
      </x:c>
    </x:row>
    <x:row r="214">
      <x:c r="A214" s="76"/>
      <x:c r="F214" s="74"/>
      <x:c r="G214" s="74"/>
      <x:c r="H214" s="74" t="n">
        <x:f>MAX(F214-G214,0)</x:f>
        <x:v>0</x:v>
      </x:c>
      <x:c r="I214" s="74"/>
      <x:c r="J214" s="74" t="n">
        <x:f>MAX(H214-I214,0)</x:f>
        <x:v>0</x:v>
      </x:c>
      <x:c r="K214" s="77"/>
      <x:c r="L214" s="77"/>
      <x:c r="O214" t="str">
        <x:f>IF(A214="","",IF(J214=0,"Paid",IF(AND(K214&lt;&gt;"",TODAY()&gt;K214),"Overdue",IF(I214&gt;0,"Part Paid","Due"))))</x:f>
      </x:c>
      <x:c r="S214" s="79"/>
      <x:c r="T214" s="79"/>
      <x:c r="U214" s="80" t="str">
        <x:f>IF(OR(S214="",S214=0),"",T214/S214)</x:f>
      </x:c>
    </x:row>
    <x:row r="215">
      <x:c r="A215" s="76"/>
      <x:c r="F215" s="74"/>
      <x:c r="G215" s="74"/>
      <x:c r="H215" s="74" t="n">
        <x:f>MAX(F215-G215,0)</x:f>
        <x:v>0</x:v>
      </x:c>
      <x:c r="I215" s="74"/>
      <x:c r="J215" s="74" t="n">
        <x:f>MAX(H215-I215,0)</x:f>
        <x:v>0</x:v>
      </x:c>
      <x:c r="K215" s="77"/>
      <x:c r="L215" s="77"/>
      <x:c r="O215" t="str">
        <x:f>IF(A215="","",IF(J215=0,"Paid",IF(AND(K215&lt;&gt;"",TODAY()&gt;K215),"Overdue",IF(I215&gt;0,"Part Paid","Due"))))</x:f>
      </x:c>
      <x:c r="S215" s="79"/>
      <x:c r="T215" s="79"/>
      <x:c r="U215" s="80" t="str">
        <x:f>IF(OR(S215="",S215=0),"",T215/S215)</x:f>
      </x:c>
    </x:row>
    <x:row r="216">
      <x:c r="A216" s="76"/>
      <x:c r="F216" s="74"/>
      <x:c r="G216" s="74"/>
      <x:c r="H216" s="74" t="n">
        <x:f>MAX(F216-G216,0)</x:f>
        <x:v>0</x:v>
      </x:c>
      <x:c r="I216" s="74"/>
      <x:c r="J216" s="74" t="n">
        <x:f>MAX(H216-I216,0)</x:f>
        <x:v>0</x:v>
      </x:c>
      <x:c r="K216" s="77"/>
      <x:c r="L216" s="77"/>
      <x:c r="O216" t="str">
        <x:f>IF(A216="","",IF(J216=0,"Paid",IF(AND(K216&lt;&gt;"",TODAY()&gt;K216),"Overdue",IF(I216&gt;0,"Part Paid","Due"))))</x:f>
      </x:c>
      <x:c r="S216" s="79"/>
      <x:c r="T216" s="79"/>
      <x:c r="U216" s="80" t="str">
        <x:f>IF(OR(S216="",S216=0),"",T216/S216)</x:f>
      </x:c>
    </x:row>
    <x:row r="217">
      <x:c r="A217" s="76"/>
      <x:c r="F217" s="74"/>
      <x:c r="G217" s="74"/>
      <x:c r="H217" s="74" t="n">
        <x:f>MAX(F217-G217,0)</x:f>
        <x:v>0</x:v>
      </x:c>
      <x:c r="I217" s="74"/>
      <x:c r="J217" s="74" t="n">
        <x:f>MAX(H217-I217,0)</x:f>
        <x:v>0</x:v>
      </x:c>
      <x:c r="K217" s="77"/>
      <x:c r="L217" s="77"/>
      <x:c r="O217" t="str">
        <x:f>IF(A217="","",IF(J217=0,"Paid",IF(AND(K217&lt;&gt;"",TODAY()&gt;K217),"Overdue",IF(I217&gt;0,"Part Paid","Due"))))</x:f>
      </x:c>
      <x:c r="S217" s="79"/>
      <x:c r="T217" s="79"/>
      <x:c r="U217" s="80" t="str">
        <x:f>IF(OR(S217="",S217=0),"",T217/S217)</x:f>
      </x:c>
    </x:row>
    <x:row r="218">
      <x:c r="A218" s="76"/>
      <x:c r="F218" s="74"/>
      <x:c r="G218" s="74"/>
      <x:c r="H218" s="74" t="n">
        <x:f>MAX(F218-G218,0)</x:f>
        <x:v>0</x:v>
      </x:c>
      <x:c r="I218" s="74"/>
      <x:c r="J218" s="74" t="n">
        <x:f>MAX(H218-I218,0)</x:f>
        <x:v>0</x:v>
      </x:c>
      <x:c r="K218" s="77"/>
      <x:c r="L218" s="77"/>
      <x:c r="O218" t="str">
        <x:f>IF(A218="","",IF(J218=0,"Paid",IF(AND(K218&lt;&gt;"",TODAY()&gt;K218),"Overdue",IF(I218&gt;0,"Part Paid","Due"))))</x:f>
      </x:c>
      <x:c r="S218" s="79"/>
      <x:c r="T218" s="79"/>
      <x:c r="U218" s="80" t="str">
        <x:f>IF(OR(S218="",S218=0),"",T218/S218)</x:f>
      </x:c>
    </x:row>
    <x:row r="219">
      <x:c r="A219" s="76"/>
      <x:c r="F219" s="74"/>
      <x:c r="G219" s="74"/>
      <x:c r="H219" s="74" t="n">
        <x:f>MAX(F219-G219,0)</x:f>
        <x:v>0</x:v>
      </x:c>
      <x:c r="I219" s="74"/>
      <x:c r="J219" s="74" t="n">
        <x:f>MAX(H219-I219,0)</x:f>
        <x:v>0</x:v>
      </x:c>
      <x:c r="K219" s="77"/>
      <x:c r="L219" s="77"/>
      <x:c r="O219" t="str">
        <x:f>IF(A219="","",IF(J219=0,"Paid",IF(AND(K219&lt;&gt;"",TODAY()&gt;K219),"Overdue",IF(I219&gt;0,"Part Paid","Due"))))</x:f>
      </x:c>
      <x:c r="S219" s="79"/>
      <x:c r="T219" s="79"/>
      <x:c r="U219" s="80" t="str">
        <x:f>IF(OR(S219="",S219=0),"",T219/S219)</x:f>
      </x:c>
    </x:row>
    <x:row r="220">
      <x:c r="A220" s="76"/>
      <x:c r="F220" s="74"/>
      <x:c r="G220" s="74"/>
      <x:c r="H220" s="74" t="n">
        <x:f>MAX(F220-G220,0)</x:f>
        <x:v>0</x:v>
      </x:c>
      <x:c r="I220" s="74"/>
      <x:c r="J220" s="74" t="n">
        <x:f>MAX(H220-I220,0)</x:f>
        <x:v>0</x:v>
      </x:c>
      <x:c r="K220" s="77"/>
      <x:c r="L220" s="77"/>
      <x:c r="O220" t="str">
        <x:f>IF(A220="","",IF(J220=0,"Paid",IF(AND(K220&lt;&gt;"",TODAY()&gt;K220),"Overdue",IF(I220&gt;0,"Part Paid","Due"))))</x:f>
      </x:c>
      <x:c r="S220" s="79"/>
      <x:c r="T220" s="79"/>
      <x:c r="U220" s="80" t="str">
        <x:f>IF(OR(S220="",S220=0),"",T220/S220)</x:f>
      </x:c>
    </x:row>
    <x:row r="221">
      <x:c r="A221" s="76"/>
      <x:c r="F221" s="74"/>
      <x:c r="G221" s="74"/>
      <x:c r="H221" s="74" t="n">
        <x:f>MAX(F221-G221,0)</x:f>
        <x:v>0</x:v>
      </x:c>
      <x:c r="I221" s="74"/>
      <x:c r="J221" s="74" t="n">
        <x:f>MAX(H221-I221,0)</x:f>
        <x:v>0</x:v>
      </x:c>
      <x:c r="K221" s="77"/>
      <x:c r="L221" s="77"/>
      <x:c r="O221" t="str">
        <x:f>IF(A221="","",IF(J221=0,"Paid",IF(AND(K221&lt;&gt;"",TODAY()&gt;K221),"Overdue",IF(I221&gt;0,"Part Paid","Due"))))</x:f>
      </x:c>
      <x:c r="S221" s="79"/>
      <x:c r="T221" s="79"/>
      <x:c r="U221" s="80" t="str">
        <x:f>IF(OR(S221="",S221=0),"",T221/S221)</x:f>
      </x:c>
    </x:row>
    <x:row r="222">
      <x:c r="A222" s="76"/>
      <x:c r="F222" s="74"/>
      <x:c r="G222" s="74"/>
      <x:c r="H222" s="74" t="n">
        <x:f>MAX(F222-G222,0)</x:f>
        <x:v>0</x:v>
      </x:c>
      <x:c r="I222" s="74"/>
      <x:c r="J222" s="74" t="n">
        <x:f>MAX(H222-I222,0)</x:f>
        <x:v>0</x:v>
      </x:c>
      <x:c r="K222" s="77"/>
      <x:c r="L222" s="77"/>
      <x:c r="O222" t="str">
        <x:f>IF(A222="","",IF(J222=0,"Paid",IF(AND(K222&lt;&gt;"",TODAY()&gt;K222),"Overdue",IF(I222&gt;0,"Part Paid","Due"))))</x:f>
      </x:c>
      <x:c r="S222" s="79"/>
      <x:c r="T222" s="79"/>
      <x:c r="U222" s="80" t="str">
        <x:f>IF(OR(S222="",S222=0),"",T222/S222)</x:f>
      </x:c>
    </x:row>
    <x:row r="223">
      <x:c r="A223" s="76"/>
      <x:c r="F223" s="74"/>
      <x:c r="G223" s="74"/>
      <x:c r="H223" s="74" t="n">
        <x:f>MAX(F223-G223,0)</x:f>
        <x:v>0</x:v>
      </x:c>
      <x:c r="I223" s="74"/>
      <x:c r="J223" s="74" t="n">
        <x:f>MAX(H223-I223,0)</x:f>
        <x:v>0</x:v>
      </x:c>
      <x:c r="K223" s="77"/>
      <x:c r="L223" s="77"/>
      <x:c r="O223" t="str">
        <x:f>IF(A223="","",IF(J223=0,"Paid",IF(AND(K223&lt;&gt;"",TODAY()&gt;K223),"Overdue",IF(I223&gt;0,"Part Paid","Due"))))</x:f>
      </x:c>
      <x:c r="S223" s="79"/>
      <x:c r="T223" s="79"/>
      <x:c r="U223" s="80" t="str">
        <x:f>IF(OR(S223="",S223=0),"",T223/S223)</x:f>
      </x:c>
    </x:row>
    <x:row r="224">
      <x:c r="A224" s="76"/>
      <x:c r="F224" s="74"/>
      <x:c r="G224" s="74"/>
      <x:c r="H224" s="74" t="n">
        <x:f>MAX(F224-G224,0)</x:f>
        <x:v>0</x:v>
      </x:c>
      <x:c r="I224" s="74"/>
      <x:c r="J224" s="74" t="n">
        <x:f>MAX(H224-I224,0)</x:f>
        <x:v>0</x:v>
      </x:c>
      <x:c r="K224" s="77"/>
      <x:c r="L224" s="77"/>
      <x:c r="O224" t="str">
        <x:f>IF(A224="","",IF(J224=0,"Paid",IF(AND(K224&lt;&gt;"",TODAY()&gt;K224),"Overdue",IF(I224&gt;0,"Part Paid","Due"))))</x:f>
      </x:c>
      <x:c r="S224" s="79"/>
      <x:c r="T224" s="79"/>
      <x:c r="U224" s="80" t="str">
        <x:f>IF(OR(S224="",S224=0),"",T224/S224)</x:f>
      </x:c>
    </x:row>
    <x:row r="225">
      <x:c r="A225" s="76"/>
      <x:c r="F225" s="74"/>
      <x:c r="G225" s="74"/>
      <x:c r="H225" s="74" t="n">
        <x:f>MAX(F225-G225,0)</x:f>
        <x:v>0</x:v>
      </x:c>
      <x:c r="I225" s="74"/>
      <x:c r="J225" s="74" t="n">
        <x:f>MAX(H225-I225,0)</x:f>
        <x:v>0</x:v>
      </x:c>
      <x:c r="K225" s="77"/>
      <x:c r="L225" s="77"/>
      <x:c r="O225" t="str">
        <x:f>IF(A225="","",IF(J225=0,"Paid",IF(AND(K225&lt;&gt;"",TODAY()&gt;K225),"Overdue",IF(I225&gt;0,"Part Paid","Due"))))</x:f>
      </x:c>
      <x:c r="S225" s="79"/>
      <x:c r="T225" s="79"/>
      <x:c r="U225" s="80" t="str">
        <x:f>IF(OR(S225="",S225=0),"",T225/S225)</x:f>
      </x:c>
    </x:row>
    <x:row r="226">
      <x:c r="A226" s="76"/>
      <x:c r="F226" s="74"/>
      <x:c r="G226" s="74"/>
      <x:c r="H226" s="74" t="n">
        <x:f>MAX(F226-G226,0)</x:f>
        <x:v>0</x:v>
      </x:c>
      <x:c r="I226" s="74"/>
      <x:c r="J226" s="74" t="n">
        <x:f>MAX(H226-I226,0)</x:f>
        <x:v>0</x:v>
      </x:c>
      <x:c r="K226" s="77"/>
      <x:c r="L226" s="77"/>
      <x:c r="O226" t="str">
        <x:f>IF(A226="","",IF(J226=0,"Paid",IF(AND(K226&lt;&gt;"",TODAY()&gt;K226),"Overdue",IF(I226&gt;0,"Part Paid","Due"))))</x:f>
      </x:c>
      <x:c r="S226" s="79"/>
      <x:c r="T226" s="79"/>
      <x:c r="U226" s="80" t="str">
        <x:f>IF(OR(S226="",S226=0),"",T226/S226)</x:f>
      </x:c>
    </x:row>
    <x:row r="227">
      <x:c r="A227" s="76"/>
      <x:c r="F227" s="74"/>
      <x:c r="G227" s="74"/>
      <x:c r="H227" s="74" t="n">
        <x:f>MAX(F227-G227,0)</x:f>
        <x:v>0</x:v>
      </x:c>
      <x:c r="I227" s="74"/>
      <x:c r="J227" s="74" t="n">
        <x:f>MAX(H227-I227,0)</x:f>
        <x:v>0</x:v>
      </x:c>
      <x:c r="K227" s="77"/>
      <x:c r="L227" s="77"/>
      <x:c r="O227" t="str">
        <x:f>IF(A227="","",IF(J227=0,"Paid",IF(AND(K227&lt;&gt;"",TODAY()&gt;K227),"Overdue",IF(I227&gt;0,"Part Paid","Due"))))</x:f>
      </x:c>
      <x:c r="S227" s="79"/>
      <x:c r="T227" s="79"/>
      <x:c r="U227" s="80" t="str">
        <x:f>IF(OR(S227="",S227=0),"",T227/S227)</x:f>
      </x:c>
    </x:row>
    <x:row r="228">
      <x:c r="A228" s="76"/>
      <x:c r="F228" s="74"/>
      <x:c r="G228" s="74"/>
      <x:c r="H228" s="74" t="n">
        <x:f>MAX(F228-G228,0)</x:f>
        <x:v>0</x:v>
      </x:c>
      <x:c r="I228" s="74"/>
      <x:c r="J228" s="74" t="n">
        <x:f>MAX(H228-I228,0)</x:f>
        <x:v>0</x:v>
      </x:c>
      <x:c r="K228" s="77"/>
      <x:c r="L228" s="77"/>
      <x:c r="O228" t="str">
        <x:f>IF(A228="","",IF(J228=0,"Paid",IF(AND(K228&lt;&gt;"",TODAY()&gt;K228),"Overdue",IF(I228&gt;0,"Part Paid","Due"))))</x:f>
      </x:c>
      <x:c r="S228" s="79"/>
      <x:c r="T228" s="79"/>
      <x:c r="U228" s="80" t="str">
        <x:f>IF(OR(S228="",S228=0),"",T228/S228)</x:f>
      </x:c>
    </x:row>
    <x:row r="229">
      <x:c r="A229" s="76"/>
      <x:c r="F229" s="74"/>
      <x:c r="G229" s="74"/>
      <x:c r="H229" s="74" t="n">
        <x:f>MAX(F229-G229,0)</x:f>
        <x:v>0</x:v>
      </x:c>
      <x:c r="I229" s="74"/>
      <x:c r="J229" s="74" t="n">
        <x:f>MAX(H229-I229,0)</x:f>
        <x:v>0</x:v>
      </x:c>
      <x:c r="K229" s="77"/>
      <x:c r="L229" s="77"/>
      <x:c r="O229" t="str">
        <x:f>IF(A229="","",IF(J229=0,"Paid",IF(AND(K229&lt;&gt;"",TODAY()&gt;K229),"Overdue",IF(I229&gt;0,"Part Paid","Due"))))</x:f>
      </x:c>
      <x:c r="S229" s="79"/>
      <x:c r="T229" s="79"/>
      <x:c r="U229" s="80" t="str">
        <x:f>IF(OR(S229="",S229=0),"",T229/S229)</x:f>
      </x:c>
    </x:row>
    <x:row r="230">
      <x:c r="A230" s="76"/>
      <x:c r="F230" s="74"/>
      <x:c r="G230" s="74"/>
      <x:c r="H230" s="74" t="n">
        <x:f>MAX(F230-G230,0)</x:f>
        <x:v>0</x:v>
      </x:c>
      <x:c r="I230" s="74"/>
      <x:c r="J230" s="74" t="n">
        <x:f>MAX(H230-I230,0)</x:f>
        <x:v>0</x:v>
      </x:c>
      <x:c r="K230" s="77"/>
      <x:c r="L230" s="77"/>
      <x:c r="O230" t="str">
        <x:f>IF(A230="","",IF(J230=0,"Paid",IF(AND(K230&lt;&gt;"",TODAY()&gt;K230),"Overdue",IF(I230&gt;0,"Part Paid","Due"))))</x:f>
      </x:c>
      <x:c r="S230" s="79"/>
      <x:c r="T230" s="79"/>
      <x:c r="U230" s="80" t="str">
        <x:f>IF(OR(S230="",S230=0),"",T230/S230)</x:f>
      </x:c>
    </x:row>
    <x:row r="231">
      <x:c r="A231" s="76"/>
      <x:c r="F231" s="74"/>
      <x:c r="G231" s="74"/>
      <x:c r="H231" s="74" t="n">
        <x:f>MAX(F231-G231,0)</x:f>
        <x:v>0</x:v>
      </x:c>
      <x:c r="I231" s="74"/>
      <x:c r="J231" s="74" t="n">
        <x:f>MAX(H231-I231,0)</x:f>
        <x:v>0</x:v>
      </x:c>
      <x:c r="K231" s="77"/>
      <x:c r="L231" s="77"/>
      <x:c r="O231" t="str">
        <x:f>IF(A231="","",IF(J231=0,"Paid",IF(AND(K231&lt;&gt;"",TODAY()&gt;K231),"Overdue",IF(I231&gt;0,"Part Paid","Due"))))</x:f>
      </x:c>
      <x:c r="S231" s="79"/>
      <x:c r="T231" s="79"/>
      <x:c r="U231" s="80" t="str">
        <x:f>IF(OR(S231="",S231=0),"",T231/S231)</x:f>
      </x:c>
    </x:row>
    <x:row r="232">
      <x:c r="A232" s="76"/>
      <x:c r="F232" s="74"/>
      <x:c r="G232" s="74"/>
      <x:c r="H232" s="74" t="n">
        <x:f>MAX(F232-G232,0)</x:f>
        <x:v>0</x:v>
      </x:c>
      <x:c r="I232" s="74"/>
      <x:c r="J232" s="74" t="n">
        <x:f>MAX(H232-I232,0)</x:f>
        <x:v>0</x:v>
      </x:c>
      <x:c r="K232" s="77"/>
      <x:c r="L232" s="77"/>
      <x:c r="O232" t="str">
        <x:f>IF(A232="","",IF(J232=0,"Paid",IF(AND(K232&lt;&gt;"",TODAY()&gt;K232),"Overdue",IF(I232&gt;0,"Part Paid","Due"))))</x:f>
      </x:c>
      <x:c r="S232" s="79"/>
      <x:c r="T232" s="79"/>
      <x:c r="U232" s="80" t="str">
        <x:f>IF(OR(S232="",S232=0),"",T232/S232)</x:f>
      </x:c>
    </x:row>
    <x:row r="233">
      <x:c r="A233" s="76"/>
      <x:c r="F233" s="74"/>
      <x:c r="G233" s="74"/>
      <x:c r="H233" s="74" t="n">
        <x:f>MAX(F233-G233,0)</x:f>
        <x:v>0</x:v>
      </x:c>
      <x:c r="I233" s="74"/>
      <x:c r="J233" s="74" t="n">
        <x:f>MAX(H233-I233,0)</x:f>
        <x:v>0</x:v>
      </x:c>
      <x:c r="K233" s="77"/>
      <x:c r="L233" s="77"/>
      <x:c r="O233" t="str">
        <x:f>IF(A233="","",IF(J233=0,"Paid",IF(AND(K233&lt;&gt;"",TODAY()&gt;K233),"Overdue",IF(I233&gt;0,"Part Paid","Due"))))</x:f>
      </x:c>
      <x:c r="S233" s="79"/>
      <x:c r="T233" s="79"/>
      <x:c r="U233" s="80" t="str">
        <x:f>IF(OR(S233="",S233=0),"",T233/S233)</x:f>
      </x:c>
    </x:row>
    <x:row r="234">
      <x:c r="A234" s="76"/>
      <x:c r="F234" s="74"/>
      <x:c r="G234" s="74"/>
      <x:c r="H234" s="74" t="n">
        <x:f>MAX(F234-G234,0)</x:f>
        <x:v>0</x:v>
      </x:c>
      <x:c r="I234" s="74"/>
      <x:c r="J234" s="74" t="n">
        <x:f>MAX(H234-I234,0)</x:f>
        <x:v>0</x:v>
      </x:c>
      <x:c r="K234" s="77"/>
      <x:c r="L234" s="77"/>
      <x:c r="O234" t="str">
        <x:f>IF(A234="","",IF(J234=0,"Paid",IF(AND(K234&lt;&gt;"",TODAY()&gt;K234),"Overdue",IF(I234&gt;0,"Part Paid","Due"))))</x:f>
      </x:c>
      <x:c r="S234" s="79"/>
      <x:c r="T234" s="79"/>
      <x:c r="U234" s="80" t="str">
        <x:f>IF(OR(S234="",S234=0),"",T234/S234)</x:f>
      </x:c>
    </x:row>
    <x:row r="235">
      <x:c r="A235" s="76"/>
      <x:c r="F235" s="74"/>
      <x:c r="G235" s="74"/>
      <x:c r="H235" s="74" t="n">
        <x:f>MAX(F235-G235,0)</x:f>
        <x:v>0</x:v>
      </x:c>
      <x:c r="I235" s="74"/>
      <x:c r="J235" s="74" t="n">
        <x:f>MAX(H235-I235,0)</x:f>
        <x:v>0</x:v>
      </x:c>
      <x:c r="K235" s="77"/>
      <x:c r="L235" s="77"/>
      <x:c r="O235" t="str">
        <x:f>IF(A235="","",IF(J235=0,"Paid",IF(AND(K235&lt;&gt;"",TODAY()&gt;K235),"Overdue",IF(I235&gt;0,"Part Paid","Due"))))</x:f>
      </x:c>
      <x:c r="S235" s="79"/>
      <x:c r="T235" s="79"/>
      <x:c r="U235" s="80" t="str">
        <x:f>IF(OR(S235="",S235=0),"",T235/S235)</x:f>
      </x:c>
    </x:row>
    <x:row r="236">
      <x:c r="A236" s="76"/>
      <x:c r="F236" s="74"/>
      <x:c r="G236" s="74"/>
      <x:c r="H236" s="74" t="n">
        <x:f>MAX(F236-G236,0)</x:f>
        <x:v>0</x:v>
      </x:c>
      <x:c r="I236" s="74"/>
      <x:c r="J236" s="74" t="n">
        <x:f>MAX(H236-I236,0)</x:f>
        <x:v>0</x:v>
      </x:c>
      <x:c r="K236" s="77"/>
      <x:c r="L236" s="77"/>
      <x:c r="O236" t="str">
        <x:f>IF(A236="","",IF(J236=0,"Paid",IF(AND(K236&lt;&gt;"",TODAY()&gt;K236),"Overdue",IF(I236&gt;0,"Part Paid","Due"))))</x:f>
      </x:c>
      <x:c r="S236" s="79"/>
      <x:c r="T236" s="79"/>
      <x:c r="U236" s="80" t="str">
        <x:f>IF(OR(S236="",S236=0),"",T236/S236)</x:f>
      </x:c>
    </x:row>
    <x:row r="237">
      <x:c r="A237" s="76"/>
      <x:c r="F237" s="74"/>
      <x:c r="G237" s="74"/>
      <x:c r="H237" s="74" t="n">
        <x:f>MAX(F237-G237,0)</x:f>
        <x:v>0</x:v>
      </x:c>
      <x:c r="I237" s="74"/>
      <x:c r="J237" s="74" t="n">
        <x:f>MAX(H237-I237,0)</x:f>
        <x:v>0</x:v>
      </x:c>
      <x:c r="K237" s="77"/>
      <x:c r="L237" s="77"/>
      <x:c r="O237" t="str">
        <x:f>IF(A237="","",IF(J237=0,"Paid",IF(AND(K237&lt;&gt;"",TODAY()&gt;K237),"Overdue",IF(I237&gt;0,"Part Paid","Due"))))</x:f>
      </x:c>
      <x:c r="S237" s="79"/>
      <x:c r="T237" s="79"/>
      <x:c r="U237" s="80" t="str">
        <x:f>IF(OR(S237="",S237=0),"",T237/S237)</x:f>
      </x:c>
    </x:row>
    <x:row r="238">
      <x:c r="A238" s="76"/>
      <x:c r="F238" s="74"/>
      <x:c r="G238" s="74"/>
      <x:c r="H238" s="74" t="n">
        <x:f>MAX(F238-G238,0)</x:f>
        <x:v>0</x:v>
      </x:c>
      <x:c r="I238" s="74"/>
      <x:c r="J238" s="74" t="n">
        <x:f>MAX(H238-I238,0)</x:f>
        <x:v>0</x:v>
      </x:c>
      <x:c r="K238" s="77"/>
      <x:c r="L238" s="77"/>
      <x:c r="O238" t="str">
        <x:f>IF(A238="","",IF(J238=0,"Paid",IF(AND(K238&lt;&gt;"",TODAY()&gt;K238),"Overdue",IF(I238&gt;0,"Part Paid","Due"))))</x:f>
      </x:c>
      <x:c r="S238" s="79"/>
      <x:c r="T238" s="79"/>
      <x:c r="U238" s="80" t="str">
        <x:f>IF(OR(S238="",S238=0),"",T238/S238)</x:f>
      </x:c>
    </x:row>
    <x:row r="239">
      <x:c r="A239" s="76"/>
      <x:c r="F239" s="74"/>
      <x:c r="G239" s="74"/>
      <x:c r="H239" s="74" t="n">
        <x:f>MAX(F239-G239,0)</x:f>
        <x:v>0</x:v>
      </x:c>
      <x:c r="I239" s="74"/>
      <x:c r="J239" s="74" t="n">
        <x:f>MAX(H239-I239,0)</x:f>
        <x:v>0</x:v>
      </x:c>
      <x:c r="K239" s="77"/>
      <x:c r="L239" s="77"/>
      <x:c r="O239" t="str">
        <x:f>IF(A239="","",IF(J239=0,"Paid",IF(AND(K239&lt;&gt;"",TODAY()&gt;K239),"Overdue",IF(I239&gt;0,"Part Paid","Due"))))</x:f>
      </x:c>
      <x:c r="S239" s="79"/>
      <x:c r="T239" s="79"/>
      <x:c r="U239" s="80" t="str">
        <x:f>IF(OR(S239="",S239=0),"",T239/S239)</x:f>
      </x:c>
    </x:row>
    <x:row r="240">
      <x:c r="A240" s="76"/>
      <x:c r="F240" s="74"/>
      <x:c r="G240" s="74"/>
      <x:c r="H240" s="74" t="n">
        <x:f>MAX(F240-G240,0)</x:f>
        <x:v>0</x:v>
      </x:c>
      <x:c r="I240" s="74"/>
      <x:c r="J240" s="74" t="n">
        <x:f>MAX(H240-I240,0)</x:f>
        <x:v>0</x:v>
      </x:c>
      <x:c r="K240" s="77"/>
      <x:c r="L240" s="77"/>
      <x:c r="O240" t="str">
        <x:f>IF(A240="","",IF(J240=0,"Paid",IF(AND(K240&lt;&gt;"",TODAY()&gt;K240),"Overdue",IF(I240&gt;0,"Part Paid","Due"))))</x:f>
      </x:c>
      <x:c r="S240" s="79"/>
      <x:c r="T240" s="79"/>
      <x:c r="U240" s="80" t="str">
        <x:f>IF(OR(S240="",S240=0),"",T240/S240)</x:f>
      </x:c>
    </x:row>
    <x:row r="241">
      <x:c r="A241" s="76"/>
      <x:c r="F241" s="74"/>
      <x:c r="G241" s="74"/>
      <x:c r="H241" s="74" t="n">
        <x:f>MAX(F241-G241,0)</x:f>
        <x:v>0</x:v>
      </x:c>
      <x:c r="I241" s="74"/>
      <x:c r="J241" s="74" t="n">
        <x:f>MAX(H241-I241,0)</x:f>
        <x:v>0</x:v>
      </x:c>
      <x:c r="K241" s="77"/>
      <x:c r="L241" s="77"/>
      <x:c r="O241" t="str">
        <x:f>IF(A241="","",IF(J241=0,"Paid",IF(AND(K241&lt;&gt;"",TODAY()&gt;K241),"Overdue",IF(I241&gt;0,"Part Paid","Due"))))</x:f>
      </x:c>
      <x:c r="S241" s="79"/>
      <x:c r="T241" s="79"/>
      <x:c r="U241" s="80" t="str">
        <x:f>IF(OR(S241="",S241=0),"",T241/S241)</x:f>
      </x:c>
    </x:row>
    <x:row r="242">
      <x:c r="A242" s="76"/>
      <x:c r="F242" s="74"/>
      <x:c r="G242" s="74"/>
      <x:c r="H242" s="74" t="n">
        <x:f>MAX(F242-G242,0)</x:f>
        <x:v>0</x:v>
      </x:c>
      <x:c r="I242" s="74"/>
      <x:c r="J242" s="74" t="n">
        <x:f>MAX(H242-I242,0)</x:f>
        <x:v>0</x:v>
      </x:c>
      <x:c r="K242" s="77"/>
      <x:c r="L242" s="77"/>
      <x:c r="O242" t="str">
        <x:f>IF(A242="","",IF(J242=0,"Paid",IF(AND(K242&lt;&gt;"",TODAY()&gt;K242),"Overdue",IF(I242&gt;0,"Part Paid","Due"))))</x:f>
      </x:c>
      <x:c r="S242" s="79"/>
      <x:c r="T242" s="79"/>
      <x:c r="U242" s="80" t="str">
        <x:f>IF(OR(S242="",S242=0),"",T242/S242)</x:f>
      </x:c>
    </x:row>
    <x:row r="243">
      <x:c r="A243" s="76"/>
      <x:c r="F243" s="74"/>
      <x:c r="G243" s="74"/>
      <x:c r="H243" s="74" t="n">
        <x:f>MAX(F243-G243,0)</x:f>
        <x:v>0</x:v>
      </x:c>
      <x:c r="I243" s="74"/>
      <x:c r="J243" s="74" t="n">
        <x:f>MAX(H243-I243,0)</x:f>
        <x:v>0</x:v>
      </x:c>
      <x:c r="K243" s="77"/>
      <x:c r="L243" s="77"/>
      <x:c r="O243" t="str">
        <x:f>IF(A243="","",IF(J243=0,"Paid",IF(AND(K243&lt;&gt;"",TODAY()&gt;K243),"Overdue",IF(I243&gt;0,"Part Paid","Due"))))</x:f>
      </x:c>
      <x:c r="S243" s="79"/>
      <x:c r="T243" s="79"/>
      <x:c r="U243" s="80" t="str">
        <x:f>IF(OR(S243="",S243=0),"",T243/S243)</x:f>
      </x:c>
    </x:row>
    <x:row r="244">
      <x:c r="A244" s="76"/>
      <x:c r="F244" s="74"/>
      <x:c r="G244" s="74"/>
      <x:c r="H244" s="74" t="n">
        <x:f>MAX(F244-G244,0)</x:f>
        <x:v>0</x:v>
      </x:c>
      <x:c r="I244" s="74"/>
      <x:c r="J244" s="74" t="n">
        <x:f>MAX(H244-I244,0)</x:f>
        <x:v>0</x:v>
      </x:c>
      <x:c r="K244" s="77"/>
      <x:c r="L244" s="77"/>
      <x:c r="O244" t="str">
        <x:f>IF(A244="","",IF(J244=0,"Paid",IF(AND(K244&lt;&gt;"",TODAY()&gt;K244),"Overdue",IF(I244&gt;0,"Part Paid","Due"))))</x:f>
      </x:c>
      <x:c r="S244" s="79"/>
      <x:c r="T244" s="79"/>
      <x:c r="U244" s="80" t="str">
        <x:f>IF(OR(S244="",S244=0),"",T244/S244)</x:f>
      </x:c>
    </x:row>
    <x:row r="245">
      <x:c r="A245" s="76"/>
      <x:c r="F245" s="74"/>
      <x:c r="G245" s="74"/>
      <x:c r="H245" s="74" t="n">
        <x:f>MAX(F245-G245,0)</x:f>
        <x:v>0</x:v>
      </x:c>
      <x:c r="I245" s="74"/>
      <x:c r="J245" s="74" t="n">
        <x:f>MAX(H245-I245,0)</x:f>
        <x:v>0</x:v>
      </x:c>
      <x:c r="K245" s="77"/>
      <x:c r="L245" s="77"/>
      <x:c r="O245" t="str">
        <x:f>IF(A245="","",IF(J245=0,"Paid",IF(AND(K245&lt;&gt;"",TODAY()&gt;K245),"Overdue",IF(I245&gt;0,"Part Paid","Due"))))</x:f>
      </x:c>
      <x:c r="S245" s="79"/>
      <x:c r="T245" s="79"/>
      <x:c r="U245" s="80" t="str">
        <x:f>IF(OR(S245="",S245=0),"",T245/S245)</x:f>
      </x:c>
    </x:row>
    <x:row r="246">
      <x:c r="A246" s="76"/>
      <x:c r="F246" s="74"/>
      <x:c r="G246" s="74"/>
      <x:c r="H246" s="74" t="n">
        <x:f>MAX(F246-G246,0)</x:f>
        <x:v>0</x:v>
      </x:c>
      <x:c r="I246" s="74"/>
      <x:c r="J246" s="74" t="n">
        <x:f>MAX(H246-I246,0)</x:f>
        <x:v>0</x:v>
      </x:c>
      <x:c r="K246" s="77"/>
      <x:c r="L246" s="77"/>
      <x:c r="O246" t="str">
        <x:f>IF(A246="","",IF(J246=0,"Paid",IF(AND(K246&lt;&gt;"",TODAY()&gt;K246),"Overdue",IF(I246&gt;0,"Part Paid","Due"))))</x:f>
      </x:c>
      <x:c r="S246" s="79"/>
      <x:c r="T246" s="79"/>
      <x:c r="U246" s="80" t="str">
        <x:f>IF(OR(S246="",S246=0),"",T246/S246)</x:f>
      </x:c>
    </x:row>
    <x:row r="247">
      <x:c r="A247" s="76"/>
      <x:c r="F247" s="74"/>
      <x:c r="G247" s="74"/>
      <x:c r="H247" s="74" t="n">
        <x:f>MAX(F247-G247,0)</x:f>
        <x:v>0</x:v>
      </x:c>
      <x:c r="I247" s="74"/>
      <x:c r="J247" s="74" t="n">
        <x:f>MAX(H247-I247,0)</x:f>
        <x:v>0</x:v>
      </x:c>
      <x:c r="K247" s="77"/>
      <x:c r="L247" s="77"/>
      <x:c r="O247" t="str">
        <x:f>IF(A247="","",IF(J247=0,"Paid",IF(AND(K247&lt;&gt;"",TODAY()&gt;K247),"Overdue",IF(I247&gt;0,"Part Paid","Due"))))</x:f>
      </x:c>
      <x:c r="S247" s="79"/>
      <x:c r="T247" s="79"/>
      <x:c r="U247" s="80" t="str">
        <x:f>IF(OR(S247="",S247=0),"",T247/S247)</x:f>
      </x:c>
    </x:row>
    <x:row r="248">
      <x:c r="A248" s="76"/>
      <x:c r="F248" s="74"/>
      <x:c r="G248" s="74"/>
      <x:c r="H248" s="74" t="n">
        <x:f>MAX(F248-G248,0)</x:f>
        <x:v>0</x:v>
      </x:c>
      <x:c r="I248" s="74"/>
      <x:c r="J248" s="74" t="n">
        <x:f>MAX(H248-I248,0)</x:f>
        <x:v>0</x:v>
      </x:c>
      <x:c r="K248" s="77"/>
      <x:c r="L248" s="77"/>
      <x:c r="O248" t="str">
        <x:f>IF(A248="","",IF(J248=0,"Paid",IF(AND(K248&lt;&gt;"",TODAY()&gt;K248),"Overdue",IF(I248&gt;0,"Part Paid","Due"))))</x:f>
      </x:c>
      <x:c r="S248" s="79"/>
      <x:c r="T248" s="79"/>
      <x:c r="U248" s="80" t="str">
        <x:f>IF(OR(S248="",S248=0),"",T248/S248)</x:f>
      </x:c>
    </x:row>
    <x:row r="249">
      <x:c r="A249" s="76"/>
      <x:c r="F249" s="74"/>
      <x:c r="G249" s="74"/>
      <x:c r="H249" s="74" t="n">
        <x:f>MAX(F249-G249,0)</x:f>
        <x:v>0</x:v>
      </x:c>
      <x:c r="I249" s="74"/>
      <x:c r="J249" s="74" t="n">
        <x:f>MAX(H249-I249,0)</x:f>
        <x:v>0</x:v>
      </x:c>
      <x:c r="K249" s="77"/>
      <x:c r="L249" s="77"/>
      <x:c r="O249" t="str">
        <x:f>IF(A249="","",IF(J249=0,"Paid",IF(AND(K249&lt;&gt;"",TODAY()&gt;K249),"Overdue",IF(I249&gt;0,"Part Paid","Due"))))</x:f>
      </x:c>
      <x:c r="S249" s="79"/>
      <x:c r="T249" s="79"/>
      <x:c r="U249" s="80" t="str">
        <x:f>IF(OR(S249="",S249=0),"",T249/S249)</x:f>
      </x:c>
    </x:row>
    <x:row r="250">
      <x:c r="A250" s="76"/>
      <x:c r="F250" s="74"/>
      <x:c r="G250" s="74"/>
      <x:c r="H250" s="74" t="n">
        <x:f>MAX(F250-G250,0)</x:f>
        <x:v>0</x:v>
      </x:c>
      <x:c r="I250" s="74"/>
      <x:c r="J250" s="74" t="n">
        <x:f>MAX(H250-I250,0)</x:f>
        <x:v>0</x:v>
      </x:c>
      <x:c r="K250" s="77"/>
      <x:c r="L250" s="77"/>
      <x:c r="O250" t="str">
        <x:f>IF(A250="","",IF(J250=0,"Paid",IF(AND(K250&lt;&gt;"",TODAY()&gt;K250),"Overdue",IF(I250&gt;0,"Part Paid","Due"))))</x:f>
      </x:c>
      <x:c r="S250" s="79"/>
      <x:c r="T250" s="79"/>
      <x:c r="U250" s="80" t="str">
        <x:f>IF(OR(S250="",S250=0),"",T250/S250)</x:f>
      </x:c>
    </x:row>
    <x:row r="251">
      <x:c r="A251" s="76"/>
      <x:c r="F251" s="74"/>
      <x:c r="G251" s="74"/>
      <x:c r="H251" s="74" t="n">
        <x:f>MAX(F251-G251,0)</x:f>
        <x:v>0</x:v>
      </x:c>
      <x:c r="I251" s="74"/>
      <x:c r="J251" s="74" t="n">
        <x:f>MAX(H251-I251,0)</x:f>
        <x:v>0</x:v>
      </x:c>
      <x:c r="K251" s="77"/>
      <x:c r="L251" s="77"/>
      <x:c r="O251" t="str">
        <x:f>IF(A251="","",IF(J251=0,"Paid",IF(AND(K251&lt;&gt;"",TODAY()&gt;K251),"Overdue",IF(I251&gt;0,"Part Paid","Due"))))</x:f>
      </x:c>
      <x:c r="S251" s="79"/>
      <x:c r="T251" s="79"/>
      <x:c r="U251" s="80" t="str">
        <x:f>IF(OR(S251="",S251=0),"",T251/S251)</x:f>
      </x:c>
    </x:row>
    <x:row r="252">
      <x:c r="A252" s="76"/>
      <x:c r="F252" s="74"/>
      <x:c r="G252" s="74"/>
      <x:c r="H252" s="74" t="n">
        <x:f>MAX(F252-G252,0)</x:f>
        <x:v>0</x:v>
      </x:c>
      <x:c r="I252" s="74"/>
      <x:c r="J252" s="74" t="n">
        <x:f>MAX(H252-I252,0)</x:f>
        <x:v>0</x:v>
      </x:c>
      <x:c r="K252" s="77"/>
      <x:c r="L252" s="77"/>
      <x:c r="O252" t="str">
        <x:f>IF(A252="","",IF(J252=0,"Paid",IF(AND(K252&lt;&gt;"",TODAY()&gt;K252),"Overdue",IF(I252&gt;0,"Part Paid","Due"))))</x:f>
      </x:c>
      <x:c r="S252" s="79"/>
      <x:c r="T252" s="79"/>
      <x:c r="U252" s="80" t="str">
        <x:f>IF(OR(S252="",S252=0),"",T252/S252)</x:f>
      </x:c>
    </x:row>
    <x:row r="253">
      <x:c r="A253" s="76"/>
      <x:c r="F253" s="74"/>
      <x:c r="G253" s="74"/>
      <x:c r="H253" s="74" t="n">
        <x:f>MAX(F253-G253,0)</x:f>
        <x:v>0</x:v>
      </x:c>
      <x:c r="I253" s="74"/>
      <x:c r="J253" s="74" t="n">
        <x:f>MAX(H253-I253,0)</x:f>
        <x:v>0</x:v>
      </x:c>
      <x:c r="K253" s="77"/>
      <x:c r="L253" s="77"/>
      <x:c r="O253" t="str">
        <x:f>IF(A253="","",IF(J253=0,"Paid",IF(AND(K253&lt;&gt;"",TODAY()&gt;K253),"Overdue",IF(I253&gt;0,"Part Paid","Due"))))</x:f>
      </x:c>
      <x:c r="S253" s="79"/>
      <x:c r="T253" s="79"/>
      <x:c r="U253" s="80" t="str">
        <x:f>IF(OR(S253="",S253=0),"",T253/S253)</x:f>
      </x:c>
    </x:row>
    <x:row r="254">
      <x:c r="A254" s="76"/>
      <x:c r="F254" s="74"/>
      <x:c r="G254" s="74"/>
      <x:c r="H254" s="74" t="n">
        <x:f>MAX(F254-G254,0)</x:f>
        <x:v>0</x:v>
      </x:c>
      <x:c r="I254" s="74"/>
      <x:c r="J254" s="74" t="n">
        <x:f>MAX(H254-I254,0)</x:f>
        <x:v>0</x:v>
      </x:c>
      <x:c r="K254" s="77"/>
      <x:c r="L254" s="77"/>
      <x:c r="O254" t="str">
        <x:f>IF(A254="","",IF(J254=0,"Paid",IF(AND(K254&lt;&gt;"",TODAY()&gt;K254),"Overdue",IF(I254&gt;0,"Part Paid","Due"))))</x:f>
      </x:c>
      <x:c r="S254" s="79"/>
      <x:c r="T254" s="79"/>
      <x:c r="U254" s="80" t="str">
        <x:f>IF(OR(S254="",S254=0),"",T254/S254)</x:f>
      </x:c>
    </x:row>
    <x:row r="255">
      <x:c r="A255" s="76"/>
      <x:c r="F255" s="74"/>
      <x:c r="G255" s="74"/>
      <x:c r="H255" s="74" t="n">
        <x:f>MAX(F255-G255,0)</x:f>
        <x:v>0</x:v>
      </x:c>
      <x:c r="I255" s="74"/>
      <x:c r="J255" s="74" t="n">
        <x:f>MAX(H255-I255,0)</x:f>
        <x:v>0</x:v>
      </x:c>
      <x:c r="K255" s="77"/>
      <x:c r="L255" s="77"/>
      <x:c r="O255" t="str">
        <x:f>IF(A255="","",IF(J255=0,"Paid",IF(AND(K255&lt;&gt;"",TODAY()&gt;K255),"Overdue",IF(I255&gt;0,"Part Paid","Due"))))</x:f>
      </x:c>
      <x:c r="S255" s="79"/>
      <x:c r="T255" s="79"/>
      <x:c r="U255" s="80" t="str">
        <x:f>IF(OR(S255="",S255=0),"",T255/S255)</x:f>
      </x:c>
    </x:row>
    <x:row r="256">
      <x:c r="A256" s="76"/>
      <x:c r="F256" s="74"/>
      <x:c r="G256" s="74"/>
      <x:c r="H256" s="74" t="n">
        <x:f>MAX(F256-G256,0)</x:f>
        <x:v>0</x:v>
      </x:c>
      <x:c r="I256" s="74"/>
      <x:c r="J256" s="74" t="n">
        <x:f>MAX(H256-I256,0)</x:f>
        <x:v>0</x:v>
      </x:c>
      <x:c r="K256" s="77"/>
      <x:c r="L256" s="77"/>
      <x:c r="O256" t="str">
        <x:f>IF(A256="","",IF(J256=0,"Paid",IF(AND(K256&lt;&gt;"",TODAY()&gt;K256),"Overdue",IF(I256&gt;0,"Part Paid","Due"))))</x:f>
      </x:c>
      <x:c r="S256" s="79"/>
      <x:c r="T256" s="79"/>
      <x:c r="U256" s="80" t="str">
        <x:f>IF(OR(S256="",S256=0),"",T256/S256)</x:f>
      </x:c>
    </x:row>
    <x:row r="257">
      <x:c r="A257" s="76"/>
      <x:c r="F257" s="74"/>
      <x:c r="G257" s="74"/>
      <x:c r="H257" s="74" t="n">
        <x:f>MAX(F257-G257,0)</x:f>
        <x:v>0</x:v>
      </x:c>
      <x:c r="I257" s="74"/>
      <x:c r="J257" s="74" t="n">
        <x:f>MAX(H257-I257,0)</x:f>
        <x:v>0</x:v>
      </x:c>
      <x:c r="K257" s="77"/>
      <x:c r="L257" s="77"/>
      <x:c r="O257" t="str">
        <x:f>IF(A257="","",IF(J257=0,"Paid",IF(AND(K257&lt;&gt;"",TODAY()&gt;K257),"Overdue",IF(I257&gt;0,"Part Paid","Due"))))</x:f>
      </x:c>
      <x:c r="S257" s="79"/>
      <x:c r="T257" s="79"/>
      <x:c r="U257" s="80" t="str">
        <x:f>IF(OR(S257="",S257=0),"",T257/S257)</x:f>
      </x:c>
    </x:row>
    <x:row r="258">
      <x:c r="A258" s="76"/>
      <x:c r="F258" s="74"/>
      <x:c r="G258" s="74"/>
      <x:c r="H258" s="74" t="n">
        <x:f>MAX(F258-G258,0)</x:f>
        <x:v>0</x:v>
      </x:c>
      <x:c r="I258" s="74"/>
      <x:c r="J258" s="74" t="n">
        <x:f>MAX(H258-I258,0)</x:f>
        <x:v>0</x:v>
      </x:c>
      <x:c r="K258" s="77"/>
      <x:c r="L258" s="77"/>
      <x:c r="O258" t="str">
        <x:f>IF(A258="","",IF(J258=0,"Paid",IF(AND(K258&lt;&gt;"",TODAY()&gt;K258),"Overdue",IF(I258&gt;0,"Part Paid","Due"))))</x:f>
      </x:c>
      <x:c r="S258" s="79"/>
      <x:c r="T258" s="79"/>
      <x:c r="U258" s="80" t="str">
        <x:f>IF(OR(S258="",S258=0),"",T258/S258)</x:f>
      </x:c>
    </x:row>
    <x:row r="259">
      <x:c r="A259" s="76"/>
      <x:c r="F259" s="74"/>
      <x:c r="G259" s="74"/>
      <x:c r="H259" s="74" t="n">
        <x:f>MAX(F259-G259,0)</x:f>
        <x:v>0</x:v>
      </x:c>
      <x:c r="I259" s="74"/>
      <x:c r="J259" s="74" t="n">
        <x:f>MAX(H259-I259,0)</x:f>
        <x:v>0</x:v>
      </x:c>
      <x:c r="K259" s="77"/>
      <x:c r="L259" s="77"/>
      <x:c r="O259" t="str">
        <x:f>IF(A259="","",IF(J259=0,"Paid",IF(AND(K259&lt;&gt;"",TODAY()&gt;K259),"Overdue",IF(I259&gt;0,"Part Paid","Due"))))</x:f>
      </x:c>
      <x:c r="S259" s="79"/>
      <x:c r="T259" s="79"/>
      <x:c r="U259" s="80" t="str">
        <x:f>IF(OR(S259="",S259=0),"",T259/S259)</x:f>
      </x:c>
    </x:row>
    <x:row r="260">
      <x:c r="A260" s="76"/>
      <x:c r="F260" s="74"/>
      <x:c r="G260" s="74"/>
      <x:c r="H260" s="74" t="n">
        <x:f>MAX(F260-G260,0)</x:f>
        <x:v>0</x:v>
      </x:c>
      <x:c r="I260" s="74"/>
      <x:c r="J260" s="74" t="n">
        <x:f>MAX(H260-I260,0)</x:f>
        <x:v>0</x:v>
      </x:c>
      <x:c r="K260" s="77"/>
      <x:c r="L260" s="77"/>
      <x:c r="O260" t="str">
        <x:f>IF(A260="","",IF(J260=0,"Paid",IF(AND(K260&lt;&gt;"",TODAY()&gt;K260),"Overdue",IF(I260&gt;0,"Part Paid","Due"))))</x:f>
      </x:c>
      <x:c r="S260" s="79"/>
      <x:c r="T260" s="79"/>
      <x:c r="U260" s="80" t="str">
        <x:f>IF(OR(S260="",S260=0),"",T260/S260)</x:f>
      </x:c>
    </x:row>
    <x:row r="261">
      <x:c r="A261" s="76"/>
      <x:c r="F261" s="74"/>
      <x:c r="G261" s="74"/>
      <x:c r="H261" s="74" t="n">
        <x:f>MAX(F261-G261,0)</x:f>
        <x:v>0</x:v>
      </x:c>
      <x:c r="I261" s="74"/>
      <x:c r="J261" s="74" t="n">
        <x:f>MAX(H261-I261,0)</x:f>
        <x:v>0</x:v>
      </x:c>
      <x:c r="K261" s="77"/>
      <x:c r="L261" s="77"/>
      <x:c r="O261" t="str">
        <x:f>IF(A261="","",IF(J261=0,"Paid",IF(AND(K261&lt;&gt;"",TODAY()&gt;K261),"Overdue",IF(I261&gt;0,"Part Paid","Due"))))</x:f>
      </x:c>
      <x:c r="S261" s="79"/>
      <x:c r="T261" s="79"/>
      <x:c r="U261" s="80" t="str">
        <x:f>IF(OR(S261="",S261=0),"",T261/S261)</x:f>
      </x:c>
    </x:row>
    <x:row r="262">
      <x:c r="A262" s="76"/>
      <x:c r="F262" s="74"/>
      <x:c r="G262" s="74"/>
      <x:c r="H262" s="74" t="n">
        <x:f>MAX(F262-G262,0)</x:f>
        <x:v>0</x:v>
      </x:c>
      <x:c r="I262" s="74"/>
      <x:c r="J262" s="74" t="n">
        <x:f>MAX(H262-I262,0)</x:f>
        <x:v>0</x:v>
      </x:c>
      <x:c r="K262" s="77"/>
      <x:c r="L262" s="77"/>
      <x:c r="O262" t="str">
        <x:f>IF(A262="","",IF(J262=0,"Paid",IF(AND(K262&lt;&gt;"",TODAY()&gt;K262),"Overdue",IF(I262&gt;0,"Part Paid","Due"))))</x:f>
      </x:c>
      <x:c r="S262" s="79"/>
      <x:c r="T262" s="79"/>
      <x:c r="U262" s="80" t="str">
        <x:f>IF(OR(S262="",S262=0),"",T262/S262)</x:f>
      </x:c>
    </x:row>
    <x:row r="263">
      <x:c r="A263" s="76"/>
      <x:c r="F263" s="74"/>
      <x:c r="G263" s="74"/>
      <x:c r="H263" s="74" t="n">
        <x:f>MAX(F263-G263,0)</x:f>
        <x:v>0</x:v>
      </x:c>
      <x:c r="I263" s="74"/>
      <x:c r="J263" s="74" t="n">
        <x:f>MAX(H263-I263,0)</x:f>
        <x:v>0</x:v>
      </x:c>
      <x:c r="K263" s="77"/>
      <x:c r="L263" s="77"/>
      <x:c r="O263" t="str">
        <x:f>IF(A263="","",IF(J263=0,"Paid",IF(AND(K263&lt;&gt;"",TODAY()&gt;K263),"Overdue",IF(I263&gt;0,"Part Paid","Due"))))</x:f>
      </x:c>
      <x:c r="S263" s="79"/>
      <x:c r="T263" s="79"/>
      <x:c r="U263" s="80" t="str">
        <x:f>IF(OR(S263="",S263=0),"",T263/S263)</x:f>
      </x:c>
    </x:row>
    <x:row r="264">
      <x:c r="A264" s="76"/>
      <x:c r="F264" s="74"/>
      <x:c r="G264" s="74"/>
      <x:c r="H264" s="74" t="n">
        <x:f>MAX(F264-G264,0)</x:f>
        <x:v>0</x:v>
      </x:c>
      <x:c r="I264" s="74"/>
      <x:c r="J264" s="74" t="n">
        <x:f>MAX(H264-I264,0)</x:f>
        <x:v>0</x:v>
      </x:c>
      <x:c r="K264" s="77"/>
      <x:c r="L264" s="77"/>
      <x:c r="O264" t="str">
        <x:f>IF(A264="","",IF(J264=0,"Paid",IF(AND(K264&lt;&gt;"",TODAY()&gt;K264),"Overdue",IF(I264&gt;0,"Part Paid","Due"))))</x:f>
      </x:c>
      <x:c r="S264" s="79"/>
      <x:c r="T264" s="79"/>
      <x:c r="U264" s="80" t="str">
        <x:f>IF(OR(S264="",S264=0),"",T264/S264)</x:f>
      </x:c>
    </x:row>
    <x:row r="265">
      <x:c r="A265" s="76"/>
      <x:c r="F265" s="74"/>
      <x:c r="G265" s="74"/>
      <x:c r="H265" s="74" t="n">
        <x:f>MAX(F265-G265,0)</x:f>
        <x:v>0</x:v>
      </x:c>
      <x:c r="I265" s="74"/>
      <x:c r="J265" s="74" t="n">
        <x:f>MAX(H265-I265,0)</x:f>
        <x:v>0</x:v>
      </x:c>
      <x:c r="K265" s="77"/>
      <x:c r="L265" s="77"/>
      <x:c r="O265" t="str">
        <x:f>IF(A265="","",IF(J265=0,"Paid",IF(AND(K265&lt;&gt;"",TODAY()&gt;K265),"Overdue",IF(I265&gt;0,"Part Paid","Due"))))</x:f>
      </x:c>
      <x:c r="S265" s="79"/>
      <x:c r="T265" s="79"/>
      <x:c r="U265" s="80" t="str">
        <x:f>IF(OR(S265="",S265=0),"",T265/S265)</x:f>
      </x:c>
    </x:row>
    <x:row r="266">
      <x:c r="A266" s="76"/>
      <x:c r="F266" s="74"/>
      <x:c r="G266" s="74"/>
      <x:c r="H266" s="74" t="n">
        <x:f>MAX(F266-G266,0)</x:f>
        <x:v>0</x:v>
      </x:c>
      <x:c r="I266" s="74"/>
      <x:c r="J266" s="74" t="n">
        <x:f>MAX(H266-I266,0)</x:f>
        <x:v>0</x:v>
      </x:c>
      <x:c r="K266" s="77"/>
      <x:c r="L266" s="77"/>
      <x:c r="O266" t="str">
        <x:f>IF(A266="","",IF(J266=0,"Paid",IF(AND(K266&lt;&gt;"",TODAY()&gt;K266),"Overdue",IF(I266&gt;0,"Part Paid","Due"))))</x:f>
      </x:c>
      <x:c r="S266" s="79"/>
      <x:c r="T266" s="79"/>
      <x:c r="U266" s="80" t="str">
        <x:f>IF(OR(S266="",S266=0),"",T266/S266)</x:f>
      </x:c>
    </x:row>
    <x:row r="267">
      <x:c r="A267" s="76"/>
      <x:c r="F267" s="74"/>
      <x:c r="G267" s="74"/>
      <x:c r="H267" s="74" t="n">
        <x:f>MAX(F267-G267,0)</x:f>
        <x:v>0</x:v>
      </x:c>
      <x:c r="I267" s="74"/>
      <x:c r="J267" s="74" t="n">
        <x:f>MAX(H267-I267,0)</x:f>
        <x:v>0</x:v>
      </x:c>
      <x:c r="K267" s="77"/>
      <x:c r="L267" s="77"/>
      <x:c r="O267" t="str">
        <x:f>IF(A267="","",IF(J267=0,"Paid",IF(AND(K267&lt;&gt;"",TODAY()&gt;K267),"Overdue",IF(I267&gt;0,"Part Paid","Due"))))</x:f>
      </x:c>
      <x:c r="S267" s="79"/>
      <x:c r="T267" s="79"/>
      <x:c r="U267" s="80" t="str">
        <x:f>IF(OR(S267="",S267=0),"",T267/S267)</x:f>
      </x:c>
    </x:row>
    <x:row r="268">
      <x:c r="A268" s="76"/>
      <x:c r="F268" s="74"/>
      <x:c r="G268" s="74"/>
      <x:c r="H268" s="74" t="n">
        <x:f>MAX(F268-G268,0)</x:f>
        <x:v>0</x:v>
      </x:c>
      <x:c r="I268" s="74"/>
      <x:c r="J268" s="74" t="n">
        <x:f>MAX(H268-I268,0)</x:f>
        <x:v>0</x:v>
      </x:c>
      <x:c r="K268" s="77"/>
      <x:c r="L268" s="77"/>
      <x:c r="O268" t="str">
        <x:f>IF(A268="","",IF(J268=0,"Paid",IF(AND(K268&lt;&gt;"",TODAY()&gt;K268),"Overdue",IF(I268&gt;0,"Part Paid","Due"))))</x:f>
      </x:c>
      <x:c r="S268" s="79"/>
      <x:c r="T268" s="79"/>
      <x:c r="U268" s="80" t="str">
        <x:f>IF(OR(S268="",S268=0),"",T268/S268)</x:f>
      </x:c>
    </x:row>
    <x:row r="269">
      <x:c r="A269" s="76"/>
      <x:c r="F269" s="74"/>
      <x:c r="G269" s="74"/>
      <x:c r="H269" s="74" t="n">
        <x:f>MAX(F269-G269,0)</x:f>
        <x:v>0</x:v>
      </x:c>
      <x:c r="I269" s="74"/>
      <x:c r="J269" s="74" t="n">
        <x:f>MAX(H269-I269,0)</x:f>
        <x:v>0</x:v>
      </x:c>
      <x:c r="K269" s="77"/>
      <x:c r="L269" s="77"/>
      <x:c r="O269" t="str">
        <x:f>IF(A269="","",IF(J269=0,"Paid",IF(AND(K269&lt;&gt;"",TODAY()&gt;K269),"Overdue",IF(I269&gt;0,"Part Paid","Due"))))</x:f>
      </x:c>
      <x:c r="S269" s="79"/>
      <x:c r="T269" s="79"/>
      <x:c r="U269" s="80" t="str">
        <x:f>IF(OR(S269="",S269=0),"",T269/S269)</x:f>
      </x:c>
    </x:row>
    <x:row r="270">
      <x:c r="A270" s="76"/>
      <x:c r="F270" s="74"/>
      <x:c r="G270" s="74"/>
      <x:c r="H270" s="74" t="n">
        <x:f>MAX(F270-G270,0)</x:f>
        <x:v>0</x:v>
      </x:c>
      <x:c r="I270" s="74"/>
      <x:c r="J270" s="74" t="n">
        <x:f>MAX(H270-I270,0)</x:f>
        <x:v>0</x:v>
      </x:c>
      <x:c r="K270" s="77"/>
      <x:c r="L270" s="77"/>
      <x:c r="O270" t="str">
        <x:f>IF(A270="","",IF(J270=0,"Paid",IF(AND(K270&lt;&gt;"",TODAY()&gt;K270),"Overdue",IF(I270&gt;0,"Part Paid","Due"))))</x:f>
      </x:c>
      <x:c r="S270" s="79"/>
      <x:c r="T270" s="79"/>
      <x:c r="U270" s="80" t="str">
        <x:f>IF(OR(S270="",S270=0),"",T270/S270)</x:f>
      </x:c>
    </x:row>
    <x:row r="271">
      <x:c r="A271" s="76"/>
      <x:c r="F271" s="74"/>
      <x:c r="G271" s="74"/>
      <x:c r="H271" s="74" t="n">
        <x:f>MAX(F271-G271,0)</x:f>
        <x:v>0</x:v>
      </x:c>
      <x:c r="I271" s="74"/>
      <x:c r="J271" s="74" t="n">
        <x:f>MAX(H271-I271,0)</x:f>
        <x:v>0</x:v>
      </x:c>
      <x:c r="K271" s="77"/>
      <x:c r="L271" s="77"/>
      <x:c r="O271" t="str">
        <x:f>IF(A271="","",IF(J271=0,"Paid",IF(AND(K271&lt;&gt;"",TODAY()&gt;K271),"Overdue",IF(I271&gt;0,"Part Paid","Due"))))</x:f>
      </x:c>
      <x:c r="S271" s="79"/>
      <x:c r="T271" s="79"/>
      <x:c r="U271" s="80" t="str">
        <x:f>IF(OR(S271="",S271=0),"",T271/S271)</x:f>
      </x:c>
    </x:row>
    <x:row r="272">
      <x:c r="A272" s="76"/>
      <x:c r="F272" s="74"/>
      <x:c r="G272" s="74"/>
      <x:c r="H272" s="74" t="n">
        <x:f>MAX(F272-G272,0)</x:f>
        <x:v>0</x:v>
      </x:c>
      <x:c r="I272" s="74"/>
      <x:c r="J272" s="74" t="n">
        <x:f>MAX(H272-I272,0)</x:f>
        <x:v>0</x:v>
      </x:c>
      <x:c r="K272" s="77"/>
      <x:c r="L272" s="77"/>
      <x:c r="O272" t="str">
        <x:f>IF(A272="","",IF(J272=0,"Paid",IF(AND(K272&lt;&gt;"",TODAY()&gt;K272),"Overdue",IF(I272&gt;0,"Part Paid","Due"))))</x:f>
      </x:c>
      <x:c r="S272" s="79"/>
      <x:c r="T272" s="79"/>
      <x:c r="U272" s="80" t="str">
        <x:f>IF(OR(S272="",S272=0),"",T272/S272)</x:f>
      </x:c>
    </x:row>
    <x:row r="273">
      <x:c r="A273" s="76"/>
      <x:c r="F273" s="74"/>
      <x:c r="G273" s="74"/>
      <x:c r="H273" s="74" t="n">
        <x:f>MAX(F273-G273,0)</x:f>
        <x:v>0</x:v>
      </x:c>
      <x:c r="I273" s="74"/>
      <x:c r="J273" s="74" t="n">
        <x:f>MAX(H273-I273,0)</x:f>
        <x:v>0</x:v>
      </x:c>
      <x:c r="K273" s="77"/>
      <x:c r="L273" s="77"/>
      <x:c r="O273" t="str">
        <x:f>IF(A273="","",IF(J273=0,"Paid",IF(AND(K273&lt;&gt;"",TODAY()&gt;K273),"Overdue",IF(I273&gt;0,"Part Paid","Due"))))</x:f>
      </x:c>
      <x:c r="S273" s="79"/>
      <x:c r="T273" s="79"/>
      <x:c r="U273" s="80" t="str">
        <x:f>IF(OR(S273="",S273=0),"",T273/S273)</x:f>
      </x:c>
    </x:row>
    <x:row r="274">
      <x:c r="A274" s="76"/>
      <x:c r="F274" s="74"/>
      <x:c r="G274" s="74"/>
      <x:c r="H274" s="74" t="n">
        <x:f>MAX(F274-G274,0)</x:f>
        <x:v>0</x:v>
      </x:c>
      <x:c r="I274" s="74"/>
      <x:c r="J274" s="74" t="n">
        <x:f>MAX(H274-I274,0)</x:f>
        <x:v>0</x:v>
      </x:c>
      <x:c r="K274" s="77"/>
      <x:c r="L274" s="77"/>
      <x:c r="O274" t="str">
        <x:f>IF(A274="","",IF(J274=0,"Paid",IF(AND(K274&lt;&gt;"",TODAY()&gt;K274),"Overdue",IF(I274&gt;0,"Part Paid","Due"))))</x:f>
      </x:c>
      <x:c r="S274" s="79"/>
      <x:c r="T274" s="79"/>
      <x:c r="U274" s="80" t="str">
        <x:f>IF(OR(S274="",S274=0),"",T274/S274)</x:f>
      </x:c>
    </x:row>
    <x:row r="275">
      <x:c r="A275" s="76"/>
      <x:c r="F275" s="74"/>
      <x:c r="G275" s="74"/>
      <x:c r="H275" s="74" t="n">
        <x:f>MAX(F275-G275,0)</x:f>
        <x:v>0</x:v>
      </x:c>
      <x:c r="I275" s="74"/>
      <x:c r="J275" s="74" t="n">
        <x:f>MAX(H275-I275,0)</x:f>
        <x:v>0</x:v>
      </x:c>
      <x:c r="K275" s="77"/>
      <x:c r="L275" s="77"/>
      <x:c r="O275" t="str">
        <x:f>IF(A275="","",IF(J275=0,"Paid",IF(AND(K275&lt;&gt;"",TODAY()&gt;K275),"Overdue",IF(I275&gt;0,"Part Paid","Due"))))</x:f>
      </x:c>
      <x:c r="S275" s="79"/>
      <x:c r="T275" s="79"/>
      <x:c r="U275" s="80" t="str">
        <x:f>IF(OR(S275="",S275=0),"",T275/S275)</x:f>
      </x:c>
    </x:row>
    <x:row r="276">
      <x:c r="A276" s="76"/>
      <x:c r="F276" s="74"/>
      <x:c r="G276" s="74"/>
      <x:c r="H276" s="74" t="n">
        <x:f>MAX(F276-G276,0)</x:f>
        <x:v>0</x:v>
      </x:c>
      <x:c r="I276" s="74"/>
      <x:c r="J276" s="74" t="n">
        <x:f>MAX(H276-I276,0)</x:f>
        <x:v>0</x:v>
      </x:c>
      <x:c r="K276" s="77"/>
      <x:c r="L276" s="77"/>
      <x:c r="O276" t="str">
        <x:f>IF(A276="","",IF(J276=0,"Paid",IF(AND(K276&lt;&gt;"",TODAY()&gt;K276),"Overdue",IF(I276&gt;0,"Part Paid","Due"))))</x:f>
      </x:c>
      <x:c r="S276" s="79"/>
      <x:c r="T276" s="79"/>
      <x:c r="U276" s="80" t="str">
        <x:f>IF(OR(S276="",S276=0),"",T276/S276)</x:f>
      </x:c>
    </x:row>
    <x:row r="277">
      <x:c r="A277" s="76"/>
      <x:c r="F277" s="74"/>
      <x:c r="G277" s="74"/>
      <x:c r="H277" s="74" t="n">
        <x:f>MAX(F277-G277,0)</x:f>
        <x:v>0</x:v>
      </x:c>
      <x:c r="I277" s="74"/>
      <x:c r="J277" s="74" t="n">
        <x:f>MAX(H277-I277,0)</x:f>
        <x:v>0</x:v>
      </x:c>
      <x:c r="K277" s="77"/>
      <x:c r="L277" s="77"/>
      <x:c r="O277" t="str">
        <x:f>IF(A277="","",IF(J277=0,"Paid",IF(AND(K277&lt;&gt;"",TODAY()&gt;K277),"Overdue",IF(I277&gt;0,"Part Paid","Due"))))</x:f>
      </x:c>
      <x:c r="S277" s="79"/>
      <x:c r="T277" s="79"/>
      <x:c r="U277" s="80" t="str">
        <x:f>IF(OR(S277="",S277=0),"",T277/S277)</x:f>
      </x:c>
    </x:row>
    <x:row r="278">
      <x:c r="A278" s="76"/>
      <x:c r="F278" s="74"/>
      <x:c r="G278" s="74"/>
      <x:c r="H278" s="74" t="n">
        <x:f>MAX(F278-G278,0)</x:f>
        <x:v>0</x:v>
      </x:c>
      <x:c r="I278" s="74"/>
      <x:c r="J278" s="74" t="n">
        <x:f>MAX(H278-I278,0)</x:f>
        <x:v>0</x:v>
      </x:c>
      <x:c r="K278" s="77"/>
      <x:c r="L278" s="77"/>
      <x:c r="O278" t="str">
        <x:f>IF(A278="","",IF(J278=0,"Paid",IF(AND(K278&lt;&gt;"",TODAY()&gt;K278),"Overdue",IF(I278&gt;0,"Part Paid","Due"))))</x:f>
      </x:c>
      <x:c r="S278" s="79"/>
      <x:c r="T278" s="79"/>
      <x:c r="U278" s="80" t="str">
        <x:f>IF(OR(S278="",S278=0),"",T278/S278)</x:f>
      </x:c>
    </x:row>
    <x:row r="279">
      <x:c r="A279" s="76"/>
      <x:c r="F279" s="74"/>
      <x:c r="G279" s="74"/>
      <x:c r="H279" s="74" t="n">
        <x:f>MAX(F279-G279,0)</x:f>
        <x:v>0</x:v>
      </x:c>
      <x:c r="I279" s="74"/>
      <x:c r="J279" s="74" t="n">
        <x:f>MAX(H279-I279,0)</x:f>
        <x:v>0</x:v>
      </x:c>
      <x:c r="K279" s="77"/>
      <x:c r="L279" s="77"/>
      <x:c r="O279" t="str">
        <x:f>IF(A279="","",IF(J279=0,"Paid",IF(AND(K279&lt;&gt;"",TODAY()&gt;K279),"Overdue",IF(I279&gt;0,"Part Paid","Due"))))</x:f>
      </x:c>
      <x:c r="S279" s="79"/>
      <x:c r="T279" s="79"/>
      <x:c r="U279" s="80" t="str">
        <x:f>IF(OR(S279="",S279=0),"",T279/S279)</x:f>
      </x:c>
    </x:row>
    <x:row r="280">
      <x:c r="A280" s="76"/>
      <x:c r="F280" s="74"/>
      <x:c r="G280" s="74"/>
      <x:c r="H280" s="74" t="n">
        <x:f>MAX(F280-G280,0)</x:f>
        <x:v>0</x:v>
      </x:c>
      <x:c r="I280" s="74"/>
      <x:c r="J280" s="74" t="n">
        <x:f>MAX(H280-I280,0)</x:f>
        <x:v>0</x:v>
      </x:c>
      <x:c r="K280" s="77"/>
      <x:c r="L280" s="77"/>
      <x:c r="O280" t="str">
        <x:f>IF(A280="","",IF(J280=0,"Paid",IF(AND(K280&lt;&gt;"",TODAY()&gt;K280),"Overdue",IF(I280&gt;0,"Part Paid","Due"))))</x:f>
      </x:c>
      <x:c r="S280" s="79"/>
      <x:c r="T280" s="79"/>
      <x:c r="U280" s="80" t="str">
        <x:f>IF(OR(S280="",S280=0),"",T280/S280)</x:f>
      </x:c>
    </x:row>
    <x:row r="281">
      <x:c r="A281" s="76"/>
      <x:c r="F281" s="74"/>
      <x:c r="G281" s="74"/>
      <x:c r="H281" s="74" t="n">
        <x:f>MAX(F281-G281,0)</x:f>
        <x:v>0</x:v>
      </x:c>
      <x:c r="I281" s="74"/>
      <x:c r="J281" s="74" t="n">
        <x:f>MAX(H281-I281,0)</x:f>
        <x:v>0</x:v>
      </x:c>
      <x:c r="K281" s="77"/>
      <x:c r="L281" s="77"/>
      <x:c r="O281" t="str">
        <x:f>IF(A281="","",IF(J281=0,"Paid",IF(AND(K281&lt;&gt;"",TODAY()&gt;K281),"Overdue",IF(I281&gt;0,"Part Paid","Due"))))</x:f>
      </x:c>
      <x:c r="S281" s="79"/>
      <x:c r="T281" s="79"/>
      <x:c r="U281" s="80" t="str">
        <x:f>IF(OR(S281="",S281=0),"",T281/S281)</x:f>
      </x:c>
    </x:row>
    <x:row r="282">
      <x:c r="A282" s="76"/>
      <x:c r="F282" s="74"/>
      <x:c r="G282" s="74"/>
      <x:c r="H282" s="74" t="n">
        <x:f>MAX(F282-G282,0)</x:f>
        <x:v>0</x:v>
      </x:c>
      <x:c r="I282" s="74"/>
      <x:c r="J282" s="74" t="n">
        <x:f>MAX(H282-I282,0)</x:f>
        <x:v>0</x:v>
      </x:c>
      <x:c r="K282" s="77"/>
      <x:c r="L282" s="77"/>
      <x:c r="O282" t="str">
        <x:f>IF(A282="","",IF(J282=0,"Paid",IF(AND(K282&lt;&gt;"",TODAY()&gt;K282),"Overdue",IF(I282&gt;0,"Part Paid","Due"))))</x:f>
      </x:c>
      <x:c r="S282" s="79"/>
      <x:c r="T282" s="79"/>
      <x:c r="U282" s="80" t="str">
        <x:f>IF(OR(S282="",S282=0),"",T282/S282)</x:f>
      </x:c>
    </x:row>
    <x:row r="283">
      <x:c r="A283" s="76"/>
      <x:c r="F283" s="74"/>
      <x:c r="G283" s="74"/>
      <x:c r="H283" s="74" t="n">
        <x:f>MAX(F283-G283,0)</x:f>
        <x:v>0</x:v>
      </x:c>
      <x:c r="I283" s="74"/>
      <x:c r="J283" s="74" t="n">
        <x:f>MAX(H283-I283,0)</x:f>
        <x:v>0</x:v>
      </x:c>
      <x:c r="K283" s="77"/>
      <x:c r="L283" s="77"/>
      <x:c r="O283" t="str">
        <x:f>IF(A283="","",IF(J283=0,"Paid",IF(AND(K283&lt;&gt;"",TODAY()&gt;K283),"Overdue",IF(I283&gt;0,"Part Paid","Due"))))</x:f>
      </x:c>
      <x:c r="S283" s="79"/>
      <x:c r="T283" s="79"/>
      <x:c r="U283" s="80" t="str">
        <x:f>IF(OR(S283="",S283=0),"",T283/S283)</x:f>
      </x:c>
    </x:row>
    <x:row r="284">
      <x:c r="A284" s="76"/>
      <x:c r="F284" s="74"/>
      <x:c r="G284" s="74"/>
      <x:c r="H284" s="74" t="n">
        <x:f>MAX(F284-G284,0)</x:f>
        <x:v>0</x:v>
      </x:c>
      <x:c r="I284" s="74"/>
      <x:c r="J284" s="74" t="n">
        <x:f>MAX(H284-I284,0)</x:f>
        <x:v>0</x:v>
      </x:c>
      <x:c r="K284" s="77"/>
      <x:c r="L284" s="77"/>
      <x:c r="O284" t="str">
        <x:f>IF(A284="","",IF(J284=0,"Paid",IF(AND(K284&lt;&gt;"",TODAY()&gt;K284),"Overdue",IF(I284&gt;0,"Part Paid","Due"))))</x:f>
      </x:c>
      <x:c r="S284" s="79"/>
      <x:c r="T284" s="79"/>
      <x:c r="U284" s="80" t="str">
        <x:f>IF(OR(S284="",S284=0),"",T284/S284)</x:f>
      </x:c>
    </x:row>
    <x:row r="285">
      <x:c r="A285" s="76"/>
      <x:c r="F285" s="74"/>
      <x:c r="G285" s="74"/>
      <x:c r="H285" s="74" t="n">
        <x:f>MAX(F285-G285,0)</x:f>
        <x:v>0</x:v>
      </x:c>
      <x:c r="I285" s="74"/>
      <x:c r="J285" s="74" t="n">
        <x:f>MAX(H285-I285,0)</x:f>
        <x:v>0</x:v>
      </x:c>
      <x:c r="K285" s="77"/>
      <x:c r="L285" s="77"/>
      <x:c r="O285" t="str">
        <x:f>IF(A285="","",IF(J285=0,"Paid",IF(AND(K285&lt;&gt;"",TODAY()&gt;K285),"Overdue",IF(I285&gt;0,"Part Paid","Due"))))</x:f>
      </x:c>
      <x:c r="S285" s="79"/>
      <x:c r="T285" s="79"/>
      <x:c r="U285" s="80" t="str">
        <x:f>IF(OR(S285="",S285=0),"",T285/S285)</x:f>
      </x:c>
    </x:row>
    <x:row r="286">
      <x:c r="A286" s="76"/>
      <x:c r="F286" s="74"/>
      <x:c r="G286" s="74"/>
      <x:c r="H286" s="74" t="n">
        <x:f>MAX(F286-G286,0)</x:f>
        <x:v>0</x:v>
      </x:c>
      <x:c r="I286" s="74"/>
      <x:c r="J286" s="74" t="n">
        <x:f>MAX(H286-I286,0)</x:f>
        <x:v>0</x:v>
      </x:c>
      <x:c r="K286" s="77"/>
      <x:c r="L286" s="77"/>
      <x:c r="O286" t="str">
        <x:f>IF(A286="","",IF(J286=0,"Paid",IF(AND(K286&lt;&gt;"",TODAY()&gt;K286),"Overdue",IF(I286&gt;0,"Part Paid","Due"))))</x:f>
      </x:c>
      <x:c r="S286" s="79"/>
      <x:c r="T286" s="79"/>
      <x:c r="U286" s="80" t="str">
        <x:f>IF(OR(S286="",S286=0),"",T286/S286)</x:f>
      </x:c>
    </x:row>
    <x:row r="287">
      <x:c r="A287" s="76"/>
      <x:c r="F287" s="74"/>
      <x:c r="G287" s="74"/>
      <x:c r="H287" s="74" t="n">
        <x:f>MAX(F287-G287,0)</x:f>
        <x:v>0</x:v>
      </x:c>
      <x:c r="I287" s="74"/>
      <x:c r="J287" s="74" t="n">
        <x:f>MAX(H287-I287,0)</x:f>
        <x:v>0</x:v>
      </x:c>
      <x:c r="K287" s="77"/>
      <x:c r="L287" s="77"/>
      <x:c r="O287" t="str">
        <x:f>IF(A287="","",IF(J287=0,"Paid",IF(AND(K287&lt;&gt;"",TODAY()&gt;K287),"Overdue",IF(I287&gt;0,"Part Paid","Due"))))</x:f>
      </x:c>
      <x:c r="S287" s="79"/>
      <x:c r="T287" s="79"/>
      <x:c r="U287" s="80" t="str">
        <x:f>IF(OR(S287="",S287=0),"",T287/S287)</x:f>
      </x:c>
    </x:row>
    <x:row r="288">
      <x:c r="A288" s="76"/>
      <x:c r="F288" s="74"/>
      <x:c r="G288" s="74"/>
      <x:c r="H288" s="74" t="n">
        <x:f>MAX(F288-G288,0)</x:f>
        <x:v>0</x:v>
      </x:c>
      <x:c r="I288" s="74"/>
      <x:c r="J288" s="74" t="n">
        <x:f>MAX(H288-I288,0)</x:f>
        <x:v>0</x:v>
      </x:c>
      <x:c r="K288" s="77"/>
      <x:c r="L288" s="77"/>
      <x:c r="O288" t="str">
        <x:f>IF(A288="","",IF(J288=0,"Paid",IF(AND(K288&lt;&gt;"",TODAY()&gt;K288),"Overdue",IF(I288&gt;0,"Part Paid","Due"))))</x:f>
      </x:c>
      <x:c r="S288" s="79"/>
      <x:c r="T288" s="79"/>
      <x:c r="U288" s="80" t="str">
        <x:f>IF(OR(S288="",S288=0),"",T288/S288)</x:f>
      </x:c>
    </x:row>
    <x:row r="289">
      <x:c r="A289" s="76"/>
      <x:c r="F289" s="74"/>
      <x:c r="G289" s="74"/>
      <x:c r="H289" s="74" t="n">
        <x:f>MAX(F289-G289,0)</x:f>
        <x:v>0</x:v>
      </x:c>
      <x:c r="I289" s="74"/>
      <x:c r="J289" s="74" t="n">
        <x:f>MAX(H289-I289,0)</x:f>
        <x:v>0</x:v>
      </x:c>
      <x:c r="K289" s="77"/>
      <x:c r="L289" s="77"/>
      <x:c r="O289" t="str">
        <x:f>IF(A289="","",IF(J289=0,"Paid",IF(AND(K289&lt;&gt;"",TODAY()&gt;K289),"Overdue",IF(I289&gt;0,"Part Paid","Due"))))</x:f>
      </x:c>
      <x:c r="S289" s="79"/>
      <x:c r="T289" s="79"/>
      <x:c r="U289" s="80" t="str">
        <x:f>IF(OR(S289="",S289=0),"",T289/S289)</x:f>
      </x:c>
    </x:row>
    <x:row r="290">
      <x:c r="A290" s="76"/>
      <x:c r="F290" s="74"/>
      <x:c r="G290" s="74"/>
      <x:c r="H290" s="74" t="n">
        <x:f>MAX(F290-G290,0)</x:f>
        <x:v>0</x:v>
      </x:c>
      <x:c r="I290" s="74"/>
      <x:c r="J290" s="74" t="n">
        <x:f>MAX(H290-I290,0)</x:f>
        <x:v>0</x:v>
      </x:c>
      <x:c r="K290" s="77"/>
      <x:c r="L290" s="77"/>
      <x:c r="O290" t="str">
        <x:f>IF(A290="","",IF(J290=0,"Paid",IF(AND(K290&lt;&gt;"",TODAY()&gt;K290),"Overdue",IF(I290&gt;0,"Part Paid","Due"))))</x:f>
      </x:c>
      <x:c r="S290" s="79"/>
      <x:c r="T290" s="79"/>
      <x:c r="U290" s="80" t="str">
        <x:f>IF(OR(S290="",S290=0),"",T290/S290)</x:f>
      </x:c>
    </x:row>
    <x:row r="291">
      <x:c r="A291" s="76"/>
      <x:c r="F291" s="74"/>
      <x:c r="G291" s="74"/>
      <x:c r="H291" s="74" t="n">
        <x:f>MAX(F291-G291,0)</x:f>
        <x:v>0</x:v>
      </x:c>
      <x:c r="I291" s="74"/>
      <x:c r="J291" s="74" t="n">
        <x:f>MAX(H291-I291,0)</x:f>
        <x:v>0</x:v>
      </x:c>
      <x:c r="K291" s="77"/>
      <x:c r="L291" s="77"/>
      <x:c r="O291" t="str">
        <x:f>IF(A291="","",IF(J291=0,"Paid",IF(AND(K291&lt;&gt;"",TODAY()&gt;K291),"Overdue",IF(I291&gt;0,"Part Paid","Due"))))</x:f>
      </x:c>
      <x:c r="S291" s="79"/>
      <x:c r="T291" s="79"/>
      <x:c r="U291" s="80" t="str">
        <x:f>IF(OR(S291="",S291=0),"",T291/S291)</x:f>
      </x:c>
    </x:row>
    <x:row r="292">
      <x:c r="A292" s="76"/>
      <x:c r="F292" s="74"/>
      <x:c r="G292" s="74"/>
      <x:c r="H292" s="74" t="n">
        <x:f>MAX(F292-G292,0)</x:f>
        <x:v>0</x:v>
      </x:c>
      <x:c r="I292" s="74"/>
      <x:c r="J292" s="74" t="n">
        <x:f>MAX(H292-I292,0)</x:f>
        <x:v>0</x:v>
      </x:c>
      <x:c r="K292" s="77"/>
      <x:c r="L292" s="77"/>
      <x:c r="O292" t="str">
        <x:f>IF(A292="","",IF(J292=0,"Paid",IF(AND(K292&lt;&gt;"",TODAY()&gt;K292),"Overdue",IF(I292&gt;0,"Part Paid","Due"))))</x:f>
      </x:c>
      <x:c r="S292" s="79"/>
      <x:c r="T292" s="79"/>
      <x:c r="U292" s="80" t="str">
        <x:f>IF(OR(S292="",S292=0),"",T292/S292)</x:f>
      </x:c>
    </x:row>
    <x:row r="293">
      <x:c r="A293" s="76"/>
      <x:c r="F293" s="74"/>
      <x:c r="G293" s="74"/>
      <x:c r="H293" s="74" t="n">
        <x:f>MAX(F293-G293,0)</x:f>
        <x:v>0</x:v>
      </x:c>
      <x:c r="I293" s="74"/>
      <x:c r="J293" s="74" t="n">
        <x:f>MAX(H293-I293,0)</x:f>
        <x:v>0</x:v>
      </x:c>
      <x:c r="K293" s="77"/>
      <x:c r="L293" s="77"/>
      <x:c r="O293" t="str">
        <x:f>IF(A293="","",IF(J293=0,"Paid",IF(AND(K293&lt;&gt;"",TODAY()&gt;K293),"Overdue",IF(I293&gt;0,"Part Paid","Due"))))</x:f>
      </x:c>
      <x:c r="S293" s="79"/>
      <x:c r="T293" s="79"/>
      <x:c r="U293" s="80" t="str">
        <x:f>IF(OR(S293="",S293=0),"",T293/S293)</x:f>
      </x:c>
    </x:row>
    <x:row r="294">
      <x:c r="A294" s="76"/>
      <x:c r="F294" s="74"/>
      <x:c r="G294" s="74"/>
      <x:c r="H294" s="74" t="n">
        <x:f>MAX(F294-G294,0)</x:f>
        <x:v>0</x:v>
      </x:c>
      <x:c r="I294" s="74"/>
      <x:c r="J294" s="74" t="n">
        <x:f>MAX(H294-I294,0)</x:f>
        <x:v>0</x:v>
      </x:c>
      <x:c r="K294" s="77"/>
      <x:c r="L294" s="77"/>
      <x:c r="O294" t="str">
        <x:f>IF(A294="","",IF(J294=0,"Paid",IF(AND(K294&lt;&gt;"",TODAY()&gt;K294),"Overdue",IF(I294&gt;0,"Part Paid","Due"))))</x:f>
      </x:c>
      <x:c r="S294" s="79"/>
      <x:c r="T294" s="79"/>
      <x:c r="U294" s="80" t="str">
        <x:f>IF(OR(S294="",S294=0),"",T294/S294)</x:f>
      </x:c>
    </x:row>
    <x:row r="295">
      <x:c r="A295" s="76"/>
      <x:c r="F295" s="74"/>
      <x:c r="G295" s="74"/>
      <x:c r="H295" s="74" t="n">
        <x:f>MAX(F295-G295,0)</x:f>
        <x:v>0</x:v>
      </x:c>
      <x:c r="I295" s="74"/>
      <x:c r="J295" s="74" t="n">
        <x:f>MAX(H295-I295,0)</x:f>
        <x:v>0</x:v>
      </x:c>
      <x:c r="K295" s="77"/>
      <x:c r="L295" s="77"/>
      <x:c r="O295" t="str">
        <x:f>IF(A295="","",IF(J295=0,"Paid",IF(AND(K295&lt;&gt;"",TODAY()&gt;K295),"Overdue",IF(I295&gt;0,"Part Paid","Due"))))</x:f>
      </x:c>
      <x:c r="S295" s="79"/>
      <x:c r="T295" s="79"/>
      <x:c r="U295" s="80" t="str">
        <x:f>IF(OR(S295="",S295=0),"",T295/S295)</x:f>
      </x:c>
    </x:row>
    <x:row r="296">
      <x:c r="A296" s="76"/>
      <x:c r="F296" s="74"/>
      <x:c r="G296" s="74"/>
      <x:c r="H296" s="74" t="n">
        <x:f>MAX(F296-G296,0)</x:f>
        <x:v>0</x:v>
      </x:c>
      <x:c r="I296" s="74"/>
      <x:c r="J296" s="74" t="n">
        <x:f>MAX(H296-I296,0)</x:f>
        <x:v>0</x:v>
      </x:c>
      <x:c r="K296" s="77"/>
      <x:c r="L296" s="77"/>
      <x:c r="O296" t="str">
        <x:f>IF(A296="","",IF(J296=0,"Paid",IF(AND(K296&lt;&gt;"",TODAY()&gt;K296),"Overdue",IF(I296&gt;0,"Part Paid","Due"))))</x:f>
      </x:c>
      <x:c r="S296" s="79"/>
      <x:c r="T296" s="79"/>
      <x:c r="U296" s="80" t="str">
        <x:f>IF(OR(S296="",S296=0),"",T296/S296)</x:f>
      </x:c>
    </x:row>
    <x:row r="297">
      <x:c r="A297" s="76"/>
      <x:c r="F297" s="74"/>
      <x:c r="G297" s="74"/>
      <x:c r="H297" s="74" t="n">
        <x:f>MAX(F297-G297,0)</x:f>
        <x:v>0</x:v>
      </x:c>
      <x:c r="I297" s="74"/>
      <x:c r="J297" s="74" t="n">
        <x:f>MAX(H297-I297,0)</x:f>
        <x:v>0</x:v>
      </x:c>
      <x:c r="K297" s="77"/>
      <x:c r="L297" s="77"/>
      <x:c r="O297" t="str">
        <x:f>IF(A297="","",IF(J297=0,"Paid",IF(AND(K297&lt;&gt;"",TODAY()&gt;K297),"Overdue",IF(I297&gt;0,"Part Paid","Due"))))</x:f>
      </x:c>
      <x:c r="S297" s="79"/>
      <x:c r="T297" s="79"/>
      <x:c r="U297" s="80" t="str">
        <x:f>IF(OR(S297="",S297=0),"",T297/S297)</x:f>
      </x:c>
    </x:row>
    <x:row r="298">
      <x:c r="A298" s="76"/>
      <x:c r="F298" s="74"/>
      <x:c r="G298" s="74"/>
      <x:c r="H298" s="74" t="n">
        <x:f>MAX(F298-G298,0)</x:f>
        <x:v>0</x:v>
      </x:c>
      <x:c r="I298" s="74"/>
      <x:c r="J298" s="74" t="n">
        <x:f>MAX(H298-I298,0)</x:f>
        <x:v>0</x:v>
      </x:c>
      <x:c r="K298" s="77"/>
      <x:c r="L298" s="77"/>
      <x:c r="O298" t="str">
        <x:f>IF(A298="","",IF(J298=0,"Paid",IF(AND(K298&lt;&gt;"",TODAY()&gt;K298),"Overdue",IF(I298&gt;0,"Part Paid","Due"))))</x:f>
      </x:c>
      <x:c r="S298" s="79"/>
      <x:c r="T298" s="79"/>
      <x:c r="U298" s="80" t="str">
        <x:f>IF(OR(S298="",S298=0),"",T298/S298)</x:f>
      </x:c>
    </x:row>
    <x:row r="299">
      <x:c r="A299" s="76"/>
      <x:c r="F299" s="74"/>
      <x:c r="G299" s="74"/>
      <x:c r="H299" s="74" t="n">
        <x:f>MAX(F299-G299,0)</x:f>
        <x:v>0</x:v>
      </x:c>
      <x:c r="I299" s="74"/>
      <x:c r="J299" s="74" t="n">
        <x:f>MAX(H299-I299,0)</x:f>
        <x:v>0</x:v>
      </x:c>
      <x:c r="K299" s="77"/>
      <x:c r="L299" s="77"/>
      <x:c r="O299" t="str">
        <x:f>IF(A299="","",IF(J299=0,"Paid",IF(AND(K299&lt;&gt;"",TODAY()&gt;K299),"Overdue",IF(I299&gt;0,"Part Paid","Due"))))</x:f>
      </x:c>
      <x:c r="S299" s="79"/>
      <x:c r="T299" s="79"/>
      <x:c r="U299" s="80" t="str">
        <x:f>IF(OR(S299="",S299=0),"",T299/S299)</x:f>
      </x:c>
    </x:row>
    <x:row r="300">
      <x:c r="A300" s="76"/>
      <x:c r="F300" s="74"/>
      <x:c r="G300" s="74"/>
      <x:c r="H300" s="74" t="n">
        <x:f>MAX(F300-G300,0)</x:f>
        <x:v>0</x:v>
      </x:c>
      <x:c r="I300" s="74"/>
      <x:c r="J300" s="74" t="n">
        <x:f>MAX(H300-I300,0)</x:f>
        <x:v>0</x:v>
      </x:c>
      <x:c r="K300" s="77"/>
      <x:c r="L300" s="77"/>
      <x:c r="O300" t="str">
        <x:f>IF(A300="","",IF(J300=0,"Paid",IF(AND(K300&lt;&gt;"",TODAY()&gt;K300),"Overdue",IF(I300&gt;0,"Part Paid","Due"))))</x:f>
      </x:c>
      <x:c r="S300" s="79"/>
      <x:c r="T300" s="79"/>
      <x:c r="U300" s="80" t="str">
        <x:f>IF(OR(S300="",S300=0),"",T300/S300)</x:f>
      </x:c>
    </x:row>
  </x:sheetData>
  <x:dataValidations count="3">
    <x:dataValidation type="list" sqref="B2:B300">
      <x:formula1>'Lists'!$A$2:$A$12</x:formula1>
    </x:dataValidation>
    <x:dataValidation type="list" sqref="E2:E300">
      <x:formula1>'Lists'!$O$2:$O$6</x:formula1>
    </x:dataValidation>
    <x:dataValidation type="list" sqref="M2:M300">
      <x:formula1>'Lists'!$C$2:$C$7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0.220000267028809" hidden="0" customWidth="1"/>
    <x:col min="2" max="2" width="11.5600004196167" hidden="0" customWidth="1"/>
    <x:col min="3" max="3" width="6.889999866485596" hidden="0" customWidth="1"/>
    <x:col min="4" max="4" width="11.220000267028809" hidden="0" customWidth="1"/>
    <x:col min="5" max="5" width="14.4399995803833" hidden="0" customWidth="1"/>
    <x:col min="6" max="6" width="14.5600004196167" hidden="0" customWidth="1"/>
    <x:col min="7" max="7" width="15.109999656677246" hidden="0" customWidth="1"/>
    <x:col min="8" max="8" width="15.4399995803833" hidden="0" customWidth="1"/>
    <x:col min="9" max="9" width="7.670000076293945" hidden="0" customWidth="1"/>
    <x:col min="10" max="10" width="11.4399995803833" hidden="0" customWidth="1"/>
    <x:col min="11" max="11" width="13.670000076293945" hidden="0" customWidth="1"/>
    <x:col min="12" max="12" width="21.670000076293945" hidden="0" customWidth="1"/>
    <x:col min="13" max="13" width="5.440000057220459" hidden="0" customWidth="1"/>
    <x:col min="14" max="14" width="5.110000133514404" hidden="0" customWidth="1"/>
  </x:cols>
  <x:sheetData>
    <x:row r="1">
      <x:c r="A1" s="6" t="str">
        <x:v>Invoice Date</x:v>
      </x:c>
      <x:c r="B1" s="6" t="str">
        <x:v>Business Area</x:v>
      </x:c>
      <x:c r="C1" s="6" t="str">
        <x:v>Supplier</x:v>
      </x:c>
      <x:c r="D1" s="6" t="str">
        <x:v>Expense Type</x:v>
      </x:c>
      <x:c r="E1" s="6" t="str">
        <x:v>Item / Description</x:v>
      </x:c>
      <x:c r="F1" s="6" t="str">
        <x:v>Invoice Reference</x:v>
      </x:c>
      <x:c r="G1" s="6" t="str">
        <x:v>Amount Due (GHS)</x:v>
      </x:c>
      <x:c r="H1" s="6" t="str">
        <x:v>Amount Paid (GHS)</x:v>
      </x:c>
      <x:c r="I1" s="6" t="str">
        <x:v>Due Date</x:v>
      </x:c>
      <x:c r="J1" s="6" t="str">
        <x:v>Payment Date</x:v>
      </x:c>
      <x:c r="K1" s="6" t="str">
        <x:v>Payment Method</x:v>
      </x:c>
      <x:c r="L1" s="6" t="str">
        <x:v>Outstanding Balance (GHS)</x:v>
      </x:c>
      <x:c r="M1" s="6" t="str">
        <x:v>Status</x:v>
      </x:c>
      <x:c r="N1" s="6" t="str">
        <x:v>Notes</x:v>
      </x:c>
    </x:row>
    <x:row r="2">
      <x:c r="A2" s="77"/>
      <x:c r="G2" s="74"/>
      <x:c r="H2" s="74"/>
      <x:c r="I2" s="77"/>
      <x:c r="J2" s="77"/>
      <x:c r="L2" s="74" t="n">
        <x:f>MAX(G2-H2,0)</x:f>
        <x:v>0</x:v>
      </x:c>
      <x:c r="M2" t="str">
        <x:f>IF(A2="","",IF(L2=0,"Paid",IF(AND(I2&lt;&gt;"",TODAY()&gt;I2),"Overdue",IF(H2&gt;0,"Part Paid","Due"))))</x:f>
      </x:c>
    </x:row>
    <x:row r="3">
      <x:c r="A3" s="77"/>
      <x:c r="G3" s="74"/>
      <x:c r="H3" s="74"/>
      <x:c r="I3" s="77"/>
      <x:c r="J3" s="77"/>
      <x:c r="L3" s="74" t="n">
        <x:f>MAX(G3-H3,0)</x:f>
        <x:v>0</x:v>
      </x:c>
      <x:c r="M3" t="str">
        <x:f>IF(A3="","",IF(L3=0,"Paid",IF(AND(I3&lt;&gt;"",TODAY()&gt;I3),"Overdue",IF(H3&gt;0,"Part Paid","Due"))))</x:f>
      </x:c>
    </x:row>
    <x:row r="4">
      <x:c r="A4" s="77"/>
      <x:c r="G4" s="74"/>
      <x:c r="H4" s="74"/>
      <x:c r="I4" s="77"/>
      <x:c r="J4" s="77"/>
      <x:c r="L4" s="74" t="n">
        <x:f>MAX(G4-H4,0)</x:f>
        <x:v>0</x:v>
      </x:c>
      <x:c r="M4" t="str">
        <x:f>IF(A4="","",IF(L4=0,"Paid",IF(AND(I4&lt;&gt;"",TODAY()&gt;I4),"Overdue",IF(H4&gt;0,"Part Paid","Due"))))</x:f>
      </x:c>
    </x:row>
    <x:row r="5">
      <x:c r="A5" s="77"/>
      <x:c r="G5" s="74"/>
      <x:c r="H5" s="74"/>
      <x:c r="I5" s="77"/>
      <x:c r="J5" s="77"/>
      <x:c r="L5" s="74" t="n">
        <x:f>MAX(G5-H5,0)</x:f>
        <x:v>0</x:v>
      </x:c>
      <x:c r="M5" t="str">
        <x:f>IF(A5="","",IF(L5=0,"Paid",IF(AND(I5&lt;&gt;"",TODAY()&gt;I5),"Overdue",IF(H5&gt;0,"Part Paid","Due"))))</x:f>
      </x:c>
    </x:row>
    <x:row r="6">
      <x:c r="A6" s="77"/>
      <x:c r="G6" s="74"/>
      <x:c r="H6" s="74"/>
      <x:c r="I6" s="77"/>
      <x:c r="J6" s="77"/>
      <x:c r="L6" s="74" t="n">
        <x:f>MAX(G6-H6,0)</x:f>
        <x:v>0</x:v>
      </x:c>
      <x:c r="M6" t="str">
        <x:f>IF(A6="","",IF(L6=0,"Paid",IF(AND(I6&lt;&gt;"",TODAY()&gt;I6),"Overdue",IF(H6&gt;0,"Part Paid","Due"))))</x:f>
      </x:c>
    </x:row>
    <x:row r="7">
      <x:c r="A7" s="77"/>
      <x:c r="G7" s="74"/>
      <x:c r="H7" s="74"/>
      <x:c r="I7" s="77"/>
      <x:c r="J7" s="77"/>
      <x:c r="L7" s="74" t="n">
        <x:f>MAX(G7-H7,0)</x:f>
        <x:v>0</x:v>
      </x:c>
      <x:c r="M7" t="str">
        <x:f>IF(A7="","",IF(L7=0,"Paid",IF(AND(I7&lt;&gt;"",TODAY()&gt;I7),"Overdue",IF(H7&gt;0,"Part Paid","Due"))))</x:f>
      </x:c>
    </x:row>
    <x:row r="8">
      <x:c r="A8" s="77"/>
      <x:c r="G8" s="74"/>
      <x:c r="H8" s="74"/>
      <x:c r="I8" s="77"/>
      <x:c r="J8" s="77"/>
      <x:c r="L8" s="74" t="n">
        <x:f>MAX(G8-H8,0)</x:f>
        <x:v>0</x:v>
      </x:c>
      <x:c r="M8" t="str">
        <x:f>IF(A8="","",IF(L8=0,"Paid",IF(AND(I8&lt;&gt;"",TODAY()&gt;I8),"Overdue",IF(H8&gt;0,"Part Paid","Due"))))</x:f>
      </x:c>
    </x:row>
    <x:row r="9">
      <x:c r="A9" s="77"/>
      <x:c r="G9" s="74"/>
      <x:c r="H9" s="74"/>
      <x:c r="I9" s="77"/>
      <x:c r="J9" s="77"/>
      <x:c r="L9" s="74" t="n">
        <x:f>MAX(G9-H9,0)</x:f>
        <x:v>0</x:v>
      </x:c>
      <x:c r="M9" t="str">
        <x:f>IF(A9="","",IF(L9=0,"Paid",IF(AND(I9&lt;&gt;"",TODAY()&gt;I9),"Overdue",IF(H9&gt;0,"Part Paid","Due"))))</x:f>
      </x:c>
    </x:row>
    <x:row r="10">
      <x:c r="A10" s="77"/>
      <x:c r="G10" s="74"/>
      <x:c r="H10" s="74"/>
      <x:c r="I10" s="77"/>
      <x:c r="J10" s="77"/>
      <x:c r="L10" s="74" t="n">
        <x:f>MAX(G10-H10,0)</x:f>
        <x:v>0</x:v>
      </x:c>
      <x:c r="M10" t="str">
        <x:f>IF(A10="","",IF(L10=0,"Paid",IF(AND(I10&lt;&gt;"",TODAY()&gt;I10),"Overdue",IF(H10&gt;0,"Part Paid","Due"))))</x:f>
      </x:c>
    </x:row>
    <x:row r="11">
      <x:c r="A11" s="77"/>
      <x:c r="G11" s="74"/>
      <x:c r="H11" s="74"/>
      <x:c r="I11" s="77"/>
      <x:c r="J11" s="77"/>
      <x:c r="L11" s="74" t="n">
        <x:f>MAX(G11-H11,0)</x:f>
        <x:v>0</x:v>
      </x:c>
      <x:c r="M11" t="str">
        <x:f>IF(A11="","",IF(L11=0,"Paid",IF(AND(I11&lt;&gt;"",TODAY()&gt;I11),"Overdue",IF(H11&gt;0,"Part Paid","Due"))))</x:f>
      </x:c>
    </x:row>
    <x:row r="12">
      <x:c r="A12" s="77"/>
      <x:c r="G12" s="74"/>
      <x:c r="H12" s="74"/>
      <x:c r="I12" s="77"/>
      <x:c r="J12" s="77"/>
      <x:c r="L12" s="74" t="n">
        <x:f>MAX(G12-H12,0)</x:f>
        <x:v>0</x:v>
      </x:c>
      <x:c r="M12" t="str">
        <x:f>IF(A12="","",IF(L12=0,"Paid",IF(AND(I12&lt;&gt;"",TODAY()&gt;I12),"Overdue",IF(H12&gt;0,"Part Paid","Due"))))</x:f>
      </x:c>
    </x:row>
    <x:row r="13">
      <x:c r="A13" s="77"/>
      <x:c r="G13" s="74"/>
      <x:c r="H13" s="74"/>
      <x:c r="I13" s="77"/>
      <x:c r="J13" s="77"/>
      <x:c r="L13" s="74" t="n">
        <x:f>MAX(G13-H13,0)</x:f>
        <x:v>0</x:v>
      </x:c>
      <x:c r="M13" t="str">
        <x:f>IF(A13="","",IF(L13=0,"Paid",IF(AND(I13&lt;&gt;"",TODAY()&gt;I13),"Overdue",IF(H13&gt;0,"Part Paid","Due"))))</x:f>
      </x:c>
    </x:row>
    <x:row r="14">
      <x:c r="A14" s="77"/>
      <x:c r="G14" s="74"/>
      <x:c r="H14" s="74"/>
      <x:c r="I14" s="77"/>
      <x:c r="J14" s="77"/>
      <x:c r="L14" s="74" t="n">
        <x:f>MAX(G14-H14,0)</x:f>
        <x:v>0</x:v>
      </x:c>
      <x:c r="M14" t="str">
        <x:f>IF(A14="","",IF(L14=0,"Paid",IF(AND(I14&lt;&gt;"",TODAY()&gt;I14),"Overdue",IF(H14&gt;0,"Part Paid","Due"))))</x:f>
      </x:c>
    </x:row>
    <x:row r="15">
      <x:c r="A15" s="77"/>
      <x:c r="G15" s="74"/>
      <x:c r="H15" s="74"/>
      <x:c r="I15" s="77"/>
      <x:c r="J15" s="77"/>
      <x:c r="L15" s="74" t="n">
        <x:f>MAX(G15-H15,0)</x:f>
        <x:v>0</x:v>
      </x:c>
      <x:c r="M15" t="str">
        <x:f>IF(A15="","",IF(L15=0,"Paid",IF(AND(I15&lt;&gt;"",TODAY()&gt;I15),"Overdue",IF(H15&gt;0,"Part Paid","Due"))))</x:f>
      </x:c>
    </x:row>
    <x:row r="16">
      <x:c r="A16" s="77"/>
      <x:c r="G16" s="74"/>
      <x:c r="H16" s="74"/>
      <x:c r="I16" s="77"/>
      <x:c r="J16" s="77"/>
      <x:c r="L16" s="74" t="n">
        <x:f>MAX(G16-H16,0)</x:f>
        <x:v>0</x:v>
      </x:c>
      <x:c r="M16" t="str">
        <x:f>IF(A16="","",IF(L16=0,"Paid",IF(AND(I16&lt;&gt;"",TODAY()&gt;I16),"Overdue",IF(H16&gt;0,"Part Paid","Due"))))</x:f>
      </x:c>
    </x:row>
    <x:row r="17">
      <x:c r="A17" s="77"/>
      <x:c r="G17" s="74"/>
      <x:c r="H17" s="74"/>
      <x:c r="I17" s="77"/>
      <x:c r="J17" s="77"/>
      <x:c r="L17" s="74" t="n">
        <x:f>MAX(G17-H17,0)</x:f>
        <x:v>0</x:v>
      </x:c>
      <x:c r="M17" t="str">
        <x:f>IF(A17="","",IF(L17=0,"Paid",IF(AND(I17&lt;&gt;"",TODAY()&gt;I17),"Overdue",IF(H17&gt;0,"Part Paid","Due"))))</x:f>
      </x:c>
    </x:row>
    <x:row r="18">
      <x:c r="A18" s="77"/>
      <x:c r="G18" s="74"/>
      <x:c r="H18" s="74"/>
      <x:c r="I18" s="77"/>
      <x:c r="J18" s="77"/>
      <x:c r="L18" s="74" t="n">
        <x:f>MAX(G18-H18,0)</x:f>
        <x:v>0</x:v>
      </x:c>
      <x:c r="M18" t="str">
        <x:f>IF(A18="","",IF(L18=0,"Paid",IF(AND(I18&lt;&gt;"",TODAY()&gt;I18),"Overdue",IF(H18&gt;0,"Part Paid","Due"))))</x:f>
      </x:c>
    </x:row>
    <x:row r="19">
      <x:c r="A19" s="77"/>
      <x:c r="G19" s="74"/>
      <x:c r="H19" s="74"/>
      <x:c r="I19" s="77"/>
      <x:c r="J19" s="77"/>
      <x:c r="L19" s="74" t="n">
        <x:f>MAX(G19-H19,0)</x:f>
        <x:v>0</x:v>
      </x:c>
      <x:c r="M19" t="str">
        <x:f>IF(A19="","",IF(L19=0,"Paid",IF(AND(I19&lt;&gt;"",TODAY()&gt;I19),"Overdue",IF(H19&gt;0,"Part Paid","Due"))))</x:f>
      </x:c>
    </x:row>
    <x:row r="20">
      <x:c r="A20" s="77"/>
      <x:c r="G20" s="74"/>
      <x:c r="H20" s="74"/>
      <x:c r="I20" s="77"/>
      <x:c r="J20" s="77"/>
      <x:c r="L20" s="74" t="n">
        <x:f>MAX(G20-H20,0)</x:f>
        <x:v>0</x:v>
      </x:c>
      <x:c r="M20" t="str">
        <x:f>IF(A20="","",IF(L20=0,"Paid",IF(AND(I20&lt;&gt;"",TODAY()&gt;I20),"Overdue",IF(H20&gt;0,"Part Paid","Due"))))</x:f>
      </x:c>
    </x:row>
    <x:row r="21">
      <x:c r="A21" s="77"/>
      <x:c r="G21" s="74"/>
      <x:c r="H21" s="74"/>
      <x:c r="I21" s="77"/>
      <x:c r="J21" s="77"/>
      <x:c r="L21" s="74" t="n">
        <x:f>MAX(G21-H21,0)</x:f>
        <x:v>0</x:v>
      </x:c>
      <x:c r="M21" t="str">
        <x:f>IF(A21="","",IF(L21=0,"Paid",IF(AND(I21&lt;&gt;"",TODAY()&gt;I21),"Overdue",IF(H21&gt;0,"Part Paid","Due"))))</x:f>
      </x:c>
    </x:row>
    <x:row r="22">
      <x:c r="A22" s="77"/>
      <x:c r="G22" s="74"/>
      <x:c r="H22" s="74"/>
      <x:c r="I22" s="77"/>
      <x:c r="J22" s="77"/>
      <x:c r="L22" s="74" t="n">
        <x:f>MAX(G22-H22,0)</x:f>
        <x:v>0</x:v>
      </x:c>
      <x:c r="M22" t="str">
        <x:f>IF(A22="","",IF(L22=0,"Paid",IF(AND(I22&lt;&gt;"",TODAY()&gt;I22),"Overdue",IF(H22&gt;0,"Part Paid","Due"))))</x:f>
      </x:c>
    </x:row>
    <x:row r="23">
      <x:c r="A23" s="77"/>
      <x:c r="G23" s="74"/>
      <x:c r="H23" s="74"/>
      <x:c r="I23" s="77"/>
      <x:c r="J23" s="77"/>
      <x:c r="L23" s="74" t="n">
        <x:f>MAX(G23-H23,0)</x:f>
        <x:v>0</x:v>
      </x:c>
      <x:c r="M23" t="str">
        <x:f>IF(A23="","",IF(L23=0,"Paid",IF(AND(I23&lt;&gt;"",TODAY()&gt;I23),"Overdue",IF(H23&gt;0,"Part Paid","Due"))))</x:f>
      </x:c>
    </x:row>
    <x:row r="24">
      <x:c r="A24" s="77"/>
      <x:c r="G24" s="74"/>
      <x:c r="H24" s="74"/>
      <x:c r="I24" s="77"/>
      <x:c r="J24" s="77"/>
      <x:c r="L24" s="74" t="n">
        <x:f>MAX(G24-H24,0)</x:f>
        <x:v>0</x:v>
      </x:c>
      <x:c r="M24" t="str">
        <x:f>IF(A24="","",IF(L24=0,"Paid",IF(AND(I24&lt;&gt;"",TODAY()&gt;I24),"Overdue",IF(H24&gt;0,"Part Paid","Due"))))</x:f>
      </x:c>
    </x:row>
    <x:row r="25">
      <x:c r="A25" s="77"/>
      <x:c r="G25" s="74"/>
      <x:c r="H25" s="74"/>
      <x:c r="I25" s="77"/>
      <x:c r="J25" s="77"/>
      <x:c r="L25" s="74" t="n">
        <x:f>MAX(G25-H25,0)</x:f>
        <x:v>0</x:v>
      </x:c>
      <x:c r="M25" t="str">
        <x:f>IF(A25="","",IF(L25=0,"Paid",IF(AND(I25&lt;&gt;"",TODAY()&gt;I25),"Overdue",IF(H25&gt;0,"Part Paid","Due"))))</x:f>
      </x:c>
    </x:row>
    <x:row r="26">
      <x:c r="A26" s="77"/>
      <x:c r="G26" s="74"/>
      <x:c r="H26" s="74"/>
      <x:c r="I26" s="77"/>
      <x:c r="J26" s="77"/>
      <x:c r="L26" s="74" t="n">
        <x:f>MAX(G26-H26,0)</x:f>
        <x:v>0</x:v>
      </x:c>
      <x:c r="M26" t="str">
        <x:f>IF(A26="","",IF(L26=0,"Paid",IF(AND(I26&lt;&gt;"",TODAY()&gt;I26),"Overdue",IF(H26&gt;0,"Part Paid","Due"))))</x:f>
      </x:c>
    </x:row>
    <x:row r="27">
      <x:c r="A27" s="77"/>
      <x:c r="G27" s="74"/>
      <x:c r="H27" s="74"/>
      <x:c r="I27" s="77"/>
      <x:c r="J27" s="77"/>
      <x:c r="L27" s="74" t="n">
        <x:f>MAX(G27-H27,0)</x:f>
        <x:v>0</x:v>
      </x:c>
      <x:c r="M27" t="str">
        <x:f>IF(A27="","",IF(L27=0,"Paid",IF(AND(I27&lt;&gt;"",TODAY()&gt;I27),"Overdue",IF(H27&gt;0,"Part Paid","Due"))))</x:f>
      </x:c>
    </x:row>
    <x:row r="28">
      <x:c r="A28" s="77"/>
      <x:c r="G28" s="74"/>
      <x:c r="H28" s="74"/>
      <x:c r="I28" s="77"/>
      <x:c r="J28" s="77"/>
      <x:c r="L28" s="74" t="n">
        <x:f>MAX(G28-H28,0)</x:f>
        <x:v>0</x:v>
      </x:c>
      <x:c r="M28" t="str">
        <x:f>IF(A28="","",IF(L28=0,"Paid",IF(AND(I28&lt;&gt;"",TODAY()&gt;I28),"Overdue",IF(H28&gt;0,"Part Paid","Due"))))</x:f>
      </x:c>
    </x:row>
    <x:row r="29">
      <x:c r="A29" s="77"/>
      <x:c r="G29" s="74"/>
      <x:c r="H29" s="74"/>
      <x:c r="I29" s="77"/>
      <x:c r="J29" s="77"/>
      <x:c r="L29" s="74" t="n">
        <x:f>MAX(G29-H29,0)</x:f>
        <x:v>0</x:v>
      </x:c>
      <x:c r="M29" t="str">
        <x:f>IF(A29="","",IF(L29=0,"Paid",IF(AND(I29&lt;&gt;"",TODAY()&gt;I29),"Overdue",IF(H29&gt;0,"Part Paid","Due"))))</x:f>
      </x:c>
    </x:row>
    <x:row r="30">
      <x:c r="A30" s="77"/>
      <x:c r="G30" s="74"/>
      <x:c r="H30" s="74"/>
      <x:c r="I30" s="77"/>
      <x:c r="J30" s="77"/>
      <x:c r="L30" s="74" t="n">
        <x:f>MAX(G30-H30,0)</x:f>
        <x:v>0</x:v>
      </x:c>
      <x:c r="M30" t="str">
        <x:f>IF(A30="","",IF(L30=0,"Paid",IF(AND(I30&lt;&gt;"",TODAY()&gt;I30),"Overdue",IF(H30&gt;0,"Part Paid","Due"))))</x:f>
      </x:c>
    </x:row>
    <x:row r="31">
      <x:c r="A31" s="77"/>
      <x:c r="G31" s="74"/>
      <x:c r="H31" s="74"/>
      <x:c r="I31" s="77"/>
      <x:c r="J31" s="77"/>
      <x:c r="L31" s="74" t="n">
        <x:f>MAX(G31-H31,0)</x:f>
        <x:v>0</x:v>
      </x:c>
      <x:c r="M31" t="str">
        <x:f>IF(A31="","",IF(L31=0,"Paid",IF(AND(I31&lt;&gt;"",TODAY()&gt;I31),"Overdue",IF(H31&gt;0,"Part Paid","Due"))))</x:f>
      </x:c>
    </x:row>
    <x:row r="32">
      <x:c r="A32" s="77"/>
      <x:c r="G32" s="74"/>
      <x:c r="H32" s="74"/>
      <x:c r="I32" s="77"/>
      <x:c r="J32" s="77"/>
      <x:c r="L32" s="74" t="n">
        <x:f>MAX(G32-H32,0)</x:f>
        <x:v>0</x:v>
      </x:c>
      <x:c r="M32" t="str">
        <x:f>IF(A32="","",IF(L32=0,"Paid",IF(AND(I32&lt;&gt;"",TODAY()&gt;I32),"Overdue",IF(H32&gt;0,"Part Paid","Due"))))</x:f>
      </x:c>
    </x:row>
    <x:row r="33">
      <x:c r="A33" s="77"/>
      <x:c r="G33" s="74"/>
      <x:c r="H33" s="74"/>
      <x:c r="I33" s="77"/>
      <x:c r="J33" s="77"/>
      <x:c r="L33" s="74" t="n">
        <x:f>MAX(G33-H33,0)</x:f>
        <x:v>0</x:v>
      </x:c>
      <x:c r="M33" t="str">
        <x:f>IF(A33="","",IF(L33=0,"Paid",IF(AND(I33&lt;&gt;"",TODAY()&gt;I33),"Overdue",IF(H33&gt;0,"Part Paid","Due"))))</x:f>
      </x:c>
    </x:row>
    <x:row r="34">
      <x:c r="A34" s="77"/>
      <x:c r="G34" s="74"/>
      <x:c r="H34" s="74"/>
      <x:c r="I34" s="77"/>
      <x:c r="J34" s="77"/>
      <x:c r="L34" s="74" t="n">
        <x:f>MAX(G34-H34,0)</x:f>
        <x:v>0</x:v>
      </x:c>
      <x:c r="M34" t="str">
        <x:f>IF(A34="","",IF(L34=0,"Paid",IF(AND(I34&lt;&gt;"",TODAY()&gt;I34),"Overdue",IF(H34&gt;0,"Part Paid","Due"))))</x:f>
      </x:c>
    </x:row>
    <x:row r="35">
      <x:c r="A35" s="77"/>
      <x:c r="G35" s="74"/>
      <x:c r="H35" s="74"/>
      <x:c r="I35" s="77"/>
      <x:c r="J35" s="77"/>
      <x:c r="L35" s="74" t="n">
        <x:f>MAX(G35-H35,0)</x:f>
        <x:v>0</x:v>
      </x:c>
      <x:c r="M35" t="str">
        <x:f>IF(A35="","",IF(L35=0,"Paid",IF(AND(I35&lt;&gt;"",TODAY()&gt;I35),"Overdue",IF(H35&gt;0,"Part Paid","Due"))))</x:f>
      </x:c>
    </x:row>
    <x:row r="36">
      <x:c r="A36" s="77"/>
      <x:c r="G36" s="74"/>
      <x:c r="H36" s="74"/>
      <x:c r="I36" s="77"/>
      <x:c r="J36" s="77"/>
      <x:c r="L36" s="74" t="n">
        <x:f>MAX(G36-H36,0)</x:f>
        <x:v>0</x:v>
      </x:c>
      <x:c r="M36" t="str">
        <x:f>IF(A36="","",IF(L36=0,"Paid",IF(AND(I36&lt;&gt;"",TODAY()&gt;I36),"Overdue",IF(H36&gt;0,"Part Paid","Due"))))</x:f>
      </x:c>
    </x:row>
    <x:row r="37">
      <x:c r="A37" s="77"/>
      <x:c r="G37" s="74"/>
      <x:c r="H37" s="74"/>
      <x:c r="I37" s="77"/>
      <x:c r="J37" s="77"/>
      <x:c r="L37" s="74" t="n">
        <x:f>MAX(G37-H37,0)</x:f>
        <x:v>0</x:v>
      </x:c>
      <x:c r="M37" t="str">
        <x:f>IF(A37="","",IF(L37=0,"Paid",IF(AND(I37&lt;&gt;"",TODAY()&gt;I37),"Overdue",IF(H37&gt;0,"Part Paid","Due"))))</x:f>
      </x:c>
    </x:row>
    <x:row r="38">
      <x:c r="A38" s="77"/>
      <x:c r="G38" s="74"/>
      <x:c r="H38" s="74"/>
      <x:c r="I38" s="77"/>
      <x:c r="J38" s="77"/>
      <x:c r="L38" s="74" t="n">
        <x:f>MAX(G38-H38,0)</x:f>
        <x:v>0</x:v>
      </x:c>
      <x:c r="M38" t="str">
        <x:f>IF(A38="","",IF(L38=0,"Paid",IF(AND(I38&lt;&gt;"",TODAY()&gt;I38),"Overdue",IF(H38&gt;0,"Part Paid","Due"))))</x:f>
      </x:c>
    </x:row>
    <x:row r="39">
      <x:c r="A39" s="77"/>
      <x:c r="G39" s="74"/>
      <x:c r="H39" s="74"/>
      <x:c r="I39" s="77"/>
      <x:c r="J39" s="77"/>
      <x:c r="L39" s="74" t="n">
        <x:f>MAX(G39-H39,0)</x:f>
        <x:v>0</x:v>
      </x:c>
      <x:c r="M39" t="str">
        <x:f>IF(A39="","",IF(L39=0,"Paid",IF(AND(I39&lt;&gt;"",TODAY()&gt;I39),"Overdue",IF(H39&gt;0,"Part Paid","Due"))))</x:f>
      </x:c>
    </x:row>
    <x:row r="40">
      <x:c r="A40" s="77"/>
      <x:c r="G40" s="74"/>
      <x:c r="H40" s="74"/>
      <x:c r="I40" s="77"/>
      <x:c r="J40" s="77"/>
      <x:c r="L40" s="74" t="n">
        <x:f>MAX(G40-H40,0)</x:f>
        <x:v>0</x:v>
      </x:c>
      <x:c r="M40" t="str">
        <x:f>IF(A40="","",IF(L40=0,"Paid",IF(AND(I40&lt;&gt;"",TODAY()&gt;I40),"Overdue",IF(H40&gt;0,"Part Paid","Due"))))</x:f>
      </x:c>
    </x:row>
    <x:row r="41">
      <x:c r="A41" s="77"/>
      <x:c r="G41" s="74"/>
      <x:c r="H41" s="74"/>
      <x:c r="I41" s="77"/>
      <x:c r="J41" s="77"/>
      <x:c r="L41" s="74" t="n">
        <x:f>MAX(G41-H41,0)</x:f>
        <x:v>0</x:v>
      </x:c>
      <x:c r="M41" t="str">
        <x:f>IF(A41="","",IF(L41=0,"Paid",IF(AND(I41&lt;&gt;"",TODAY()&gt;I41),"Overdue",IF(H41&gt;0,"Part Paid","Due"))))</x:f>
      </x:c>
    </x:row>
    <x:row r="42">
      <x:c r="A42" s="77"/>
      <x:c r="G42" s="74"/>
      <x:c r="H42" s="74"/>
      <x:c r="I42" s="77"/>
      <x:c r="J42" s="77"/>
      <x:c r="L42" s="74" t="n">
        <x:f>MAX(G42-H42,0)</x:f>
        <x:v>0</x:v>
      </x:c>
      <x:c r="M42" t="str">
        <x:f>IF(A42="","",IF(L42=0,"Paid",IF(AND(I42&lt;&gt;"",TODAY()&gt;I42),"Overdue",IF(H42&gt;0,"Part Paid","Due"))))</x:f>
      </x:c>
    </x:row>
    <x:row r="43">
      <x:c r="A43" s="77"/>
      <x:c r="G43" s="74"/>
      <x:c r="H43" s="74"/>
      <x:c r="I43" s="77"/>
      <x:c r="J43" s="77"/>
      <x:c r="L43" s="74" t="n">
        <x:f>MAX(G43-H43,0)</x:f>
        <x:v>0</x:v>
      </x:c>
      <x:c r="M43" t="str">
        <x:f>IF(A43="","",IF(L43=0,"Paid",IF(AND(I43&lt;&gt;"",TODAY()&gt;I43),"Overdue",IF(H43&gt;0,"Part Paid","Due"))))</x:f>
      </x:c>
    </x:row>
    <x:row r="44">
      <x:c r="A44" s="77"/>
      <x:c r="G44" s="74"/>
      <x:c r="H44" s="74"/>
      <x:c r="I44" s="77"/>
      <x:c r="J44" s="77"/>
      <x:c r="L44" s="74" t="n">
        <x:f>MAX(G44-H44,0)</x:f>
        <x:v>0</x:v>
      </x:c>
      <x:c r="M44" t="str">
        <x:f>IF(A44="","",IF(L44=0,"Paid",IF(AND(I44&lt;&gt;"",TODAY()&gt;I44),"Overdue",IF(H44&gt;0,"Part Paid","Due"))))</x:f>
      </x:c>
    </x:row>
    <x:row r="45">
      <x:c r="A45" s="77"/>
      <x:c r="G45" s="74"/>
      <x:c r="H45" s="74"/>
      <x:c r="I45" s="77"/>
      <x:c r="J45" s="77"/>
      <x:c r="L45" s="74" t="n">
        <x:f>MAX(G45-H45,0)</x:f>
        <x:v>0</x:v>
      </x:c>
      <x:c r="M45" t="str">
        <x:f>IF(A45="","",IF(L45=0,"Paid",IF(AND(I45&lt;&gt;"",TODAY()&gt;I45),"Overdue",IF(H45&gt;0,"Part Paid","Due"))))</x:f>
      </x:c>
    </x:row>
    <x:row r="46">
      <x:c r="A46" s="77"/>
      <x:c r="G46" s="74"/>
      <x:c r="H46" s="74"/>
      <x:c r="I46" s="77"/>
      <x:c r="J46" s="77"/>
      <x:c r="L46" s="74" t="n">
        <x:f>MAX(G46-H46,0)</x:f>
        <x:v>0</x:v>
      </x:c>
      <x:c r="M46" t="str">
        <x:f>IF(A46="","",IF(L46=0,"Paid",IF(AND(I46&lt;&gt;"",TODAY()&gt;I46),"Overdue",IF(H46&gt;0,"Part Paid","Due"))))</x:f>
      </x:c>
    </x:row>
    <x:row r="47">
      <x:c r="A47" s="77"/>
      <x:c r="G47" s="74"/>
      <x:c r="H47" s="74"/>
      <x:c r="I47" s="77"/>
      <x:c r="J47" s="77"/>
      <x:c r="L47" s="74" t="n">
        <x:f>MAX(G47-H47,0)</x:f>
        <x:v>0</x:v>
      </x:c>
      <x:c r="M47" t="str">
        <x:f>IF(A47="","",IF(L47=0,"Paid",IF(AND(I47&lt;&gt;"",TODAY()&gt;I47),"Overdue",IF(H47&gt;0,"Part Paid","Due"))))</x:f>
      </x:c>
    </x:row>
    <x:row r="48">
      <x:c r="A48" s="77"/>
      <x:c r="G48" s="74"/>
      <x:c r="H48" s="74"/>
      <x:c r="I48" s="77"/>
      <x:c r="J48" s="77"/>
      <x:c r="L48" s="74" t="n">
        <x:f>MAX(G48-H48,0)</x:f>
        <x:v>0</x:v>
      </x:c>
      <x:c r="M48" t="str">
        <x:f>IF(A48="","",IF(L48=0,"Paid",IF(AND(I48&lt;&gt;"",TODAY()&gt;I48),"Overdue",IF(H48&gt;0,"Part Paid","Due"))))</x:f>
      </x:c>
    </x:row>
    <x:row r="49">
      <x:c r="A49" s="77"/>
      <x:c r="G49" s="74"/>
      <x:c r="H49" s="74"/>
      <x:c r="I49" s="77"/>
      <x:c r="J49" s="77"/>
      <x:c r="L49" s="74" t="n">
        <x:f>MAX(G49-H49,0)</x:f>
        <x:v>0</x:v>
      </x:c>
      <x:c r="M49" t="str">
        <x:f>IF(A49="","",IF(L49=0,"Paid",IF(AND(I49&lt;&gt;"",TODAY()&gt;I49),"Overdue",IF(H49&gt;0,"Part Paid","Due"))))</x:f>
      </x:c>
    </x:row>
    <x:row r="50">
      <x:c r="A50" s="77"/>
      <x:c r="G50" s="74"/>
      <x:c r="H50" s="74"/>
      <x:c r="I50" s="77"/>
      <x:c r="J50" s="77"/>
      <x:c r="L50" s="74" t="n">
        <x:f>MAX(G50-H50,0)</x:f>
        <x:v>0</x:v>
      </x:c>
      <x:c r="M50" t="str">
        <x:f>IF(A50="","",IF(L50=0,"Paid",IF(AND(I50&lt;&gt;"",TODAY()&gt;I50),"Overdue",IF(H50&gt;0,"Part Paid","Due"))))</x:f>
      </x:c>
    </x:row>
    <x:row r="51">
      <x:c r="A51" s="77"/>
      <x:c r="G51" s="74"/>
      <x:c r="H51" s="74"/>
      <x:c r="I51" s="77"/>
      <x:c r="J51" s="77"/>
      <x:c r="L51" s="74" t="n">
        <x:f>MAX(G51-H51,0)</x:f>
        <x:v>0</x:v>
      </x:c>
      <x:c r="M51" t="str">
        <x:f>IF(A51="","",IF(L51=0,"Paid",IF(AND(I51&lt;&gt;"",TODAY()&gt;I51),"Overdue",IF(H51&gt;0,"Part Paid","Due"))))</x:f>
      </x:c>
    </x:row>
    <x:row r="52">
      <x:c r="A52" s="77"/>
      <x:c r="G52" s="74"/>
      <x:c r="H52" s="74"/>
      <x:c r="I52" s="77"/>
      <x:c r="J52" s="77"/>
      <x:c r="L52" s="74" t="n">
        <x:f>MAX(G52-H52,0)</x:f>
        <x:v>0</x:v>
      </x:c>
      <x:c r="M52" t="str">
        <x:f>IF(A52="","",IF(L52=0,"Paid",IF(AND(I52&lt;&gt;"",TODAY()&gt;I52),"Overdue",IF(H52&gt;0,"Part Paid","Due"))))</x:f>
      </x:c>
    </x:row>
    <x:row r="53">
      <x:c r="A53" s="77"/>
      <x:c r="G53" s="74"/>
      <x:c r="H53" s="74"/>
      <x:c r="I53" s="77"/>
      <x:c r="J53" s="77"/>
      <x:c r="L53" s="74" t="n">
        <x:f>MAX(G53-H53,0)</x:f>
        <x:v>0</x:v>
      </x:c>
      <x:c r="M53" t="str">
        <x:f>IF(A53="","",IF(L53=0,"Paid",IF(AND(I53&lt;&gt;"",TODAY()&gt;I53),"Overdue",IF(H53&gt;0,"Part Paid","Due"))))</x:f>
      </x:c>
    </x:row>
    <x:row r="54">
      <x:c r="A54" s="77"/>
      <x:c r="G54" s="74"/>
      <x:c r="H54" s="74"/>
      <x:c r="I54" s="77"/>
      <x:c r="J54" s="77"/>
      <x:c r="L54" s="74" t="n">
        <x:f>MAX(G54-H54,0)</x:f>
        <x:v>0</x:v>
      </x:c>
      <x:c r="M54" t="str">
        <x:f>IF(A54="","",IF(L54=0,"Paid",IF(AND(I54&lt;&gt;"",TODAY()&gt;I54),"Overdue",IF(H54&gt;0,"Part Paid","Due"))))</x:f>
      </x:c>
    </x:row>
    <x:row r="55">
      <x:c r="A55" s="77"/>
      <x:c r="G55" s="74"/>
      <x:c r="H55" s="74"/>
      <x:c r="I55" s="77"/>
      <x:c r="J55" s="77"/>
      <x:c r="L55" s="74" t="n">
        <x:f>MAX(G55-H55,0)</x:f>
        <x:v>0</x:v>
      </x:c>
      <x:c r="M55" t="str">
        <x:f>IF(A55="","",IF(L55=0,"Paid",IF(AND(I55&lt;&gt;"",TODAY()&gt;I55),"Overdue",IF(H55&gt;0,"Part Paid","Due"))))</x:f>
      </x:c>
    </x:row>
    <x:row r="56">
      <x:c r="A56" s="77"/>
      <x:c r="G56" s="74"/>
      <x:c r="H56" s="74"/>
      <x:c r="I56" s="77"/>
      <x:c r="J56" s="77"/>
      <x:c r="L56" s="74" t="n">
        <x:f>MAX(G56-H56,0)</x:f>
        <x:v>0</x:v>
      </x:c>
      <x:c r="M56" t="str">
        <x:f>IF(A56="","",IF(L56=0,"Paid",IF(AND(I56&lt;&gt;"",TODAY()&gt;I56),"Overdue",IF(H56&gt;0,"Part Paid","Due"))))</x:f>
      </x:c>
    </x:row>
    <x:row r="57">
      <x:c r="A57" s="77"/>
      <x:c r="G57" s="74"/>
      <x:c r="H57" s="74"/>
      <x:c r="I57" s="77"/>
      <x:c r="J57" s="77"/>
      <x:c r="L57" s="74" t="n">
        <x:f>MAX(G57-H57,0)</x:f>
        <x:v>0</x:v>
      </x:c>
      <x:c r="M57" t="str">
        <x:f>IF(A57="","",IF(L57=0,"Paid",IF(AND(I57&lt;&gt;"",TODAY()&gt;I57),"Overdue",IF(H57&gt;0,"Part Paid","Due"))))</x:f>
      </x:c>
    </x:row>
    <x:row r="58">
      <x:c r="A58" s="77"/>
      <x:c r="G58" s="74"/>
      <x:c r="H58" s="74"/>
      <x:c r="I58" s="77"/>
      <x:c r="J58" s="77"/>
      <x:c r="L58" s="74" t="n">
        <x:f>MAX(G58-H58,0)</x:f>
        <x:v>0</x:v>
      </x:c>
      <x:c r="M58" t="str">
        <x:f>IF(A58="","",IF(L58=0,"Paid",IF(AND(I58&lt;&gt;"",TODAY()&gt;I58),"Overdue",IF(H58&gt;0,"Part Paid","Due"))))</x:f>
      </x:c>
    </x:row>
    <x:row r="59">
      <x:c r="A59" s="77"/>
      <x:c r="G59" s="74"/>
      <x:c r="H59" s="74"/>
      <x:c r="I59" s="77"/>
      <x:c r="J59" s="77"/>
      <x:c r="L59" s="74" t="n">
        <x:f>MAX(G59-H59,0)</x:f>
        <x:v>0</x:v>
      </x:c>
      <x:c r="M59" t="str">
        <x:f>IF(A59="","",IF(L59=0,"Paid",IF(AND(I59&lt;&gt;"",TODAY()&gt;I59),"Overdue",IF(H59&gt;0,"Part Paid","Due"))))</x:f>
      </x:c>
    </x:row>
    <x:row r="60">
      <x:c r="A60" s="77"/>
      <x:c r="G60" s="74"/>
      <x:c r="H60" s="74"/>
      <x:c r="I60" s="77"/>
      <x:c r="J60" s="77"/>
      <x:c r="L60" s="74" t="n">
        <x:f>MAX(G60-H60,0)</x:f>
        <x:v>0</x:v>
      </x:c>
      <x:c r="M60" t="str">
        <x:f>IF(A60="","",IF(L60=0,"Paid",IF(AND(I60&lt;&gt;"",TODAY()&gt;I60),"Overdue",IF(H60&gt;0,"Part Paid","Due"))))</x:f>
      </x:c>
    </x:row>
    <x:row r="61">
      <x:c r="A61" s="77"/>
      <x:c r="G61" s="74"/>
      <x:c r="H61" s="74"/>
      <x:c r="I61" s="77"/>
      <x:c r="J61" s="77"/>
      <x:c r="L61" s="74" t="n">
        <x:f>MAX(G61-H61,0)</x:f>
        <x:v>0</x:v>
      </x:c>
      <x:c r="M61" t="str">
        <x:f>IF(A61="","",IF(L61=0,"Paid",IF(AND(I61&lt;&gt;"",TODAY()&gt;I61),"Overdue",IF(H61&gt;0,"Part Paid","Due"))))</x:f>
      </x:c>
    </x:row>
    <x:row r="62">
      <x:c r="A62" s="77"/>
      <x:c r="G62" s="74"/>
      <x:c r="H62" s="74"/>
      <x:c r="I62" s="77"/>
      <x:c r="J62" s="77"/>
      <x:c r="L62" s="74" t="n">
        <x:f>MAX(G62-H62,0)</x:f>
        <x:v>0</x:v>
      </x:c>
      <x:c r="M62" t="str">
        <x:f>IF(A62="","",IF(L62=0,"Paid",IF(AND(I62&lt;&gt;"",TODAY()&gt;I62),"Overdue",IF(H62&gt;0,"Part Paid","Due"))))</x:f>
      </x:c>
    </x:row>
    <x:row r="63">
      <x:c r="A63" s="77"/>
      <x:c r="G63" s="74"/>
      <x:c r="H63" s="74"/>
      <x:c r="I63" s="77"/>
      <x:c r="J63" s="77"/>
      <x:c r="L63" s="74" t="n">
        <x:f>MAX(G63-H63,0)</x:f>
        <x:v>0</x:v>
      </x:c>
      <x:c r="M63" t="str">
        <x:f>IF(A63="","",IF(L63=0,"Paid",IF(AND(I63&lt;&gt;"",TODAY()&gt;I63),"Overdue",IF(H63&gt;0,"Part Paid","Due"))))</x:f>
      </x:c>
    </x:row>
    <x:row r="64">
      <x:c r="A64" s="77"/>
      <x:c r="G64" s="74"/>
      <x:c r="H64" s="74"/>
      <x:c r="I64" s="77"/>
      <x:c r="J64" s="77"/>
      <x:c r="L64" s="74" t="n">
        <x:f>MAX(G64-H64,0)</x:f>
        <x:v>0</x:v>
      </x:c>
      <x:c r="M64" t="str">
        <x:f>IF(A64="","",IF(L64=0,"Paid",IF(AND(I64&lt;&gt;"",TODAY()&gt;I64),"Overdue",IF(H64&gt;0,"Part Paid","Due"))))</x:f>
      </x:c>
    </x:row>
    <x:row r="65">
      <x:c r="A65" s="77"/>
      <x:c r="G65" s="74"/>
      <x:c r="H65" s="74"/>
      <x:c r="I65" s="77"/>
      <x:c r="J65" s="77"/>
      <x:c r="L65" s="74" t="n">
        <x:f>MAX(G65-H65,0)</x:f>
        <x:v>0</x:v>
      </x:c>
      <x:c r="M65" t="str">
        <x:f>IF(A65="","",IF(L65=0,"Paid",IF(AND(I65&lt;&gt;"",TODAY()&gt;I65),"Overdue",IF(H65&gt;0,"Part Paid","Due"))))</x:f>
      </x:c>
    </x:row>
    <x:row r="66">
      <x:c r="A66" s="77"/>
      <x:c r="G66" s="74"/>
      <x:c r="H66" s="74"/>
      <x:c r="I66" s="77"/>
      <x:c r="J66" s="77"/>
      <x:c r="L66" s="74" t="n">
        <x:f>MAX(G66-H66,0)</x:f>
        <x:v>0</x:v>
      </x:c>
      <x:c r="M66" t="str">
        <x:f>IF(A66="","",IF(L66=0,"Paid",IF(AND(I66&lt;&gt;"",TODAY()&gt;I66),"Overdue",IF(H66&gt;0,"Part Paid","Due"))))</x:f>
      </x:c>
    </x:row>
    <x:row r="67">
      <x:c r="A67" s="77"/>
      <x:c r="G67" s="74"/>
      <x:c r="H67" s="74"/>
      <x:c r="I67" s="77"/>
      <x:c r="J67" s="77"/>
      <x:c r="L67" s="74" t="n">
        <x:f>MAX(G67-H67,0)</x:f>
        <x:v>0</x:v>
      </x:c>
      <x:c r="M67" t="str">
        <x:f>IF(A67="","",IF(L67=0,"Paid",IF(AND(I67&lt;&gt;"",TODAY()&gt;I67),"Overdue",IF(H67&gt;0,"Part Paid","Due"))))</x:f>
      </x:c>
    </x:row>
    <x:row r="68">
      <x:c r="A68" s="77"/>
      <x:c r="G68" s="74"/>
      <x:c r="H68" s="74"/>
      <x:c r="I68" s="77"/>
      <x:c r="J68" s="77"/>
      <x:c r="L68" s="74" t="n">
        <x:f>MAX(G68-H68,0)</x:f>
        <x:v>0</x:v>
      </x:c>
      <x:c r="M68" t="str">
        <x:f>IF(A68="","",IF(L68=0,"Paid",IF(AND(I68&lt;&gt;"",TODAY()&gt;I68),"Overdue",IF(H68&gt;0,"Part Paid","Due"))))</x:f>
      </x:c>
    </x:row>
    <x:row r="69">
      <x:c r="A69" s="77"/>
      <x:c r="G69" s="74"/>
      <x:c r="H69" s="74"/>
      <x:c r="I69" s="77"/>
      <x:c r="J69" s="77"/>
      <x:c r="L69" s="74" t="n">
        <x:f>MAX(G69-H69,0)</x:f>
        <x:v>0</x:v>
      </x:c>
      <x:c r="M69" t="str">
        <x:f>IF(A69="","",IF(L69=0,"Paid",IF(AND(I69&lt;&gt;"",TODAY()&gt;I69),"Overdue",IF(H69&gt;0,"Part Paid","Due"))))</x:f>
      </x:c>
    </x:row>
    <x:row r="70">
      <x:c r="A70" s="77"/>
      <x:c r="G70" s="74"/>
      <x:c r="H70" s="74"/>
      <x:c r="I70" s="77"/>
      <x:c r="J70" s="77"/>
      <x:c r="L70" s="74" t="n">
        <x:f>MAX(G70-H70,0)</x:f>
        <x:v>0</x:v>
      </x:c>
      <x:c r="M70" t="str">
        <x:f>IF(A70="","",IF(L70=0,"Paid",IF(AND(I70&lt;&gt;"",TODAY()&gt;I70),"Overdue",IF(H70&gt;0,"Part Paid","Due"))))</x:f>
      </x:c>
    </x:row>
    <x:row r="71">
      <x:c r="A71" s="77"/>
      <x:c r="G71" s="74"/>
      <x:c r="H71" s="74"/>
      <x:c r="I71" s="77"/>
      <x:c r="J71" s="77"/>
      <x:c r="L71" s="74" t="n">
        <x:f>MAX(G71-H71,0)</x:f>
        <x:v>0</x:v>
      </x:c>
      <x:c r="M71" t="str">
        <x:f>IF(A71="","",IF(L71=0,"Paid",IF(AND(I71&lt;&gt;"",TODAY()&gt;I71),"Overdue",IF(H71&gt;0,"Part Paid","Due"))))</x:f>
      </x:c>
    </x:row>
    <x:row r="72">
      <x:c r="A72" s="77"/>
      <x:c r="G72" s="74"/>
      <x:c r="H72" s="74"/>
      <x:c r="I72" s="77"/>
      <x:c r="J72" s="77"/>
      <x:c r="L72" s="74" t="n">
        <x:f>MAX(G72-H72,0)</x:f>
        <x:v>0</x:v>
      </x:c>
      <x:c r="M72" t="str">
        <x:f>IF(A72="","",IF(L72=0,"Paid",IF(AND(I72&lt;&gt;"",TODAY()&gt;I72),"Overdue",IF(H72&gt;0,"Part Paid","Due"))))</x:f>
      </x:c>
    </x:row>
    <x:row r="73">
      <x:c r="A73" s="77"/>
      <x:c r="G73" s="74"/>
      <x:c r="H73" s="74"/>
      <x:c r="I73" s="77"/>
      <x:c r="J73" s="77"/>
      <x:c r="L73" s="74" t="n">
        <x:f>MAX(G73-H73,0)</x:f>
        <x:v>0</x:v>
      </x:c>
      <x:c r="M73" t="str">
        <x:f>IF(A73="","",IF(L73=0,"Paid",IF(AND(I73&lt;&gt;"",TODAY()&gt;I73),"Overdue",IF(H73&gt;0,"Part Paid","Due"))))</x:f>
      </x:c>
    </x:row>
    <x:row r="74">
      <x:c r="A74" s="77"/>
      <x:c r="G74" s="74"/>
      <x:c r="H74" s="74"/>
      <x:c r="I74" s="77"/>
      <x:c r="J74" s="77"/>
      <x:c r="L74" s="74" t="n">
        <x:f>MAX(G74-H74,0)</x:f>
        <x:v>0</x:v>
      </x:c>
      <x:c r="M74" t="str">
        <x:f>IF(A74="","",IF(L74=0,"Paid",IF(AND(I74&lt;&gt;"",TODAY()&gt;I74),"Overdue",IF(H74&gt;0,"Part Paid","Due"))))</x:f>
      </x:c>
    </x:row>
    <x:row r="75">
      <x:c r="A75" s="77"/>
      <x:c r="G75" s="74"/>
      <x:c r="H75" s="74"/>
      <x:c r="I75" s="77"/>
      <x:c r="J75" s="77"/>
      <x:c r="L75" s="74" t="n">
        <x:f>MAX(G75-H75,0)</x:f>
        <x:v>0</x:v>
      </x:c>
      <x:c r="M75" t="str">
        <x:f>IF(A75="","",IF(L75=0,"Paid",IF(AND(I75&lt;&gt;"",TODAY()&gt;I75),"Overdue",IF(H75&gt;0,"Part Paid","Due"))))</x:f>
      </x:c>
    </x:row>
    <x:row r="76">
      <x:c r="A76" s="77"/>
      <x:c r="G76" s="74"/>
      <x:c r="H76" s="74"/>
      <x:c r="I76" s="77"/>
      <x:c r="J76" s="77"/>
      <x:c r="L76" s="74" t="n">
        <x:f>MAX(G76-H76,0)</x:f>
        <x:v>0</x:v>
      </x:c>
      <x:c r="M76" t="str">
        <x:f>IF(A76="","",IF(L76=0,"Paid",IF(AND(I76&lt;&gt;"",TODAY()&gt;I76),"Overdue",IF(H76&gt;0,"Part Paid","Due"))))</x:f>
      </x:c>
    </x:row>
    <x:row r="77">
      <x:c r="A77" s="77"/>
      <x:c r="G77" s="74"/>
      <x:c r="H77" s="74"/>
      <x:c r="I77" s="77"/>
      <x:c r="J77" s="77"/>
      <x:c r="L77" s="74" t="n">
        <x:f>MAX(G77-H77,0)</x:f>
        <x:v>0</x:v>
      </x:c>
      <x:c r="M77" t="str">
        <x:f>IF(A77="","",IF(L77=0,"Paid",IF(AND(I77&lt;&gt;"",TODAY()&gt;I77),"Overdue",IF(H77&gt;0,"Part Paid","Due"))))</x:f>
      </x:c>
    </x:row>
    <x:row r="78">
      <x:c r="A78" s="77"/>
      <x:c r="G78" s="74"/>
      <x:c r="H78" s="74"/>
      <x:c r="I78" s="77"/>
      <x:c r="J78" s="77"/>
      <x:c r="L78" s="74" t="n">
        <x:f>MAX(G78-H78,0)</x:f>
        <x:v>0</x:v>
      </x:c>
      <x:c r="M78" t="str">
        <x:f>IF(A78="","",IF(L78=0,"Paid",IF(AND(I78&lt;&gt;"",TODAY()&gt;I78),"Overdue",IF(H78&gt;0,"Part Paid","Due"))))</x:f>
      </x:c>
    </x:row>
    <x:row r="79">
      <x:c r="A79" s="77"/>
      <x:c r="G79" s="74"/>
      <x:c r="H79" s="74"/>
      <x:c r="I79" s="77"/>
      <x:c r="J79" s="77"/>
      <x:c r="L79" s="74" t="n">
        <x:f>MAX(G79-H79,0)</x:f>
        <x:v>0</x:v>
      </x:c>
      <x:c r="M79" t="str">
        <x:f>IF(A79="","",IF(L79=0,"Paid",IF(AND(I79&lt;&gt;"",TODAY()&gt;I79),"Overdue",IF(H79&gt;0,"Part Paid","Due"))))</x:f>
      </x:c>
    </x:row>
    <x:row r="80">
      <x:c r="A80" s="77"/>
      <x:c r="G80" s="74"/>
      <x:c r="H80" s="74"/>
      <x:c r="I80" s="77"/>
      <x:c r="J80" s="77"/>
      <x:c r="L80" s="74" t="n">
        <x:f>MAX(G80-H80,0)</x:f>
        <x:v>0</x:v>
      </x:c>
      <x:c r="M80" t="str">
        <x:f>IF(A80="","",IF(L80=0,"Paid",IF(AND(I80&lt;&gt;"",TODAY()&gt;I80),"Overdue",IF(H80&gt;0,"Part Paid","Due"))))</x:f>
      </x:c>
    </x:row>
    <x:row r="81">
      <x:c r="A81" s="77"/>
      <x:c r="G81" s="74"/>
      <x:c r="H81" s="74"/>
      <x:c r="I81" s="77"/>
      <x:c r="J81" s="77"/>
      <x:c r="L81" s="74" t="n">
        <x:f>MAX(G81-H81,0)</x:f>
        <x:v>0</x:v>
      </x:c>
      <x:c r="M81" t="str">
        <x:f>IF(A81="","",IF(L81=0,"Paid",IF(AND(I81&lt;&gt;"",TODAY()&gt;I81),"Overdue",IF(H81&gt;0,"Part Paid","Due"))))</x:f>
      </x:c>
    </x:row>
    <x:row r="82">
      <x:c r="A82" s="77"/>
      <x:c r="G82" s="74"/>
      <x:c r="H82" s="74"/>
      <x:c r="I82" s="77"/>
      <x:c r="J82" s="77"/>
      <x:c r="L82" s="74" t="n">
        <x:f>MAX(G82-H82,0)</x:f>
        <x:v>0</x:v>
      </x:c>
      <x:c r="M82" t="str">
        <x:f>IF(A82="","",IF(L82=0,"Paid",IF(AND(I82&lt;&gt;"",TODAY()&gt;I82),"Overdue",IF(H82&gt;0,"Part Paid","Due"))))</x:f>
      </x:c>
    </x:row>
    <x:row r="83">
      <x:c r="A83" s="77"/>
      <x:c r="G83" s="74"/>
      <x:c r="H83" s="74"/>
      <x:c r="I83" s="77"/>
      <x:c r="J83" s="77"/>
      <x:c r="L83" s="74" t="n">
        <x:f>MAX(G83-H83,0)</x:f>
        <x:v>0</x:v>
      </x:c>
      <x:c r="M83" t="str">
        <x:f>IF(A83="","",IF(L83=0,"Paid",IF(AND(I83&lt;&gt;"",TODAY()&gt;I83),"Overdue",IF(H83&gt;0,"Part Paid","Due"))))</x:f>
      </x:c>
    </x:row>
    <x:row r="84">
      <x:c r="A84" s="77"/>
      <x:c r="G84" s="74"/>
      <x:c r="H84" s="74"/>
      <x:c r="I84" s="77"/>
      <x:c r="J84" s="77"/>
      <x:c r="L84" s="74" t="n">
        <x:f>MAX(G84-H84,0)</x:f>
        <x:v>0</x:v>
      </x:c>
      <x:c r="M84" t="str">
        <x:f>IF(A84="","",IF(L84=0,"Paid",IF(AND(I84&lt;&gt;"",TODAY()&gt;I84),"Overdue",IF(H84&gt;0,"Part Paid","Due"))))</x:f>
      </x:c>
    </x:row>
    <x:row r="85">
      <x:c r="A85" s="77"/>
      <x:c r="G85" s="74"/>
      <x:c r="H85" s="74"/>
      <x:c r="I85" s="77"/>
      <x:c r="J85" s="77"/>
      <x:c r="L85" s="74" t="n">
        <x:f>MAX(G85-H85,0)</x:f>
        <x:v>0</x:v>
      </x:c>
      <x:c r="M85" t="str">
        <x:f>IF(A85="","",IF(L85=0,"Paid",IF(AND(I85&lt;&gt;"",TODAY()&gt;I85),"Overdue",IF(H85&gt;0,"Part Paid","Due"))))</x:f>
      </x:c>
    </x:row>
    <x:row r="86">
      <x:c r="A86" s="77"/>
      <x:c r="G86" s="74"/>
      <x:c r="H86" s="74"/>
      <x:c r="I86" s="77"/>
      <x:c r="J86" s="77"/>
      <x:c r="L86" s="74" t="n">
        <x:f>MAX(G86-H86,0)</x:f>
        <x:v>0</x:v>
      </x:c>
      <x:c r="M86" t="str">
        <x:f>IF(A86="","",IF(L86=0,"Paid",IF(AND(I86&lt;&gt;"",TODAY()&gt;I86),"Overdue",IF(H86&gt;0,"Part Paid","Due"))))</x:f>
      </x:c>
    </x:row>
    <x:row r="87">
      <x:c r="A87" s="77"/>
      <x:c r="G87" s="74"/>
      <x:c r="H87" s="74"/>
      <x:c r="I87" s="77"/>
      <x:c r="J87" s="77"/>
      <x:c r="L87" s="74" t="n">
        <x:f>MAX(G87-H87,0)</x:f>
        <x:v>0</x:v>
      </x:c>
      <x:c r="M87" t="str">
        <x:f>IF(A87="","",IF(L87=0,"Paid",IF(AND(I87&lt;&gt;"",TODAY()&gt;I87),"Overdue",IF(H87&gt;0,"Part Paid","Due"))))</x:f>
      </x:c>
    </x:row>
    <x:row r="88">
      <x:c r="A88" s="77"/>
      <x:c r="G88" s="74"/>
      <x:c r="H88" s="74"/>
      <x:c r="I88" s="77"/>
      <x:c r="J88" s="77"/>
      <x:c r="L88" s="74" t="n">
        <x:f>MAX(G88-H88,0)</x:f>
        <x:v>0</x:v>
      </x:c>
      <x:c r="M88" t="str">
        <x:f>IF(A88="","",IF(L88=0,"Paid",IF(AND(I88&lt;&gt;"",TODAY()&gt;I88),"Overdue",IF(H88&gt;0,"Part Paid","Due"))))</x:f>
      </x:c>
    </x:row>
    <x:row r="89">
      <x:c r="A89" s="77"/>
      <x:c r="G89" s="74"/>
      <x:c r="H89" s="74"/>
      <x:c r="I89" s="77"/>
      <x:c r="J89" s="77"/>
      <x:c r="L89" s="74" t="n">
        <x:f>MAX(G89-H89,0)</x:f>
        <x:v>0</x:v>
      </x:c>
      <x:c r="M89" t="str">
        <x:f>IF(A89="","",IF(L89=0,"Paid",IF(AND(I89&lt;&gt;"",TODAY()&gt;I89),"Overdue",IF(H89&gt;0,"Part Paid","Due"))))</x:f>
      </x:c>
    </x:row>
    <x:row r="90">
      <x:c r="A90" s="77"/>
      <x:c r="G90" s="74"/>
      <x:c r="H90" s="74"/>
      <x:c r="I90" s="77"/>
      <x:c r="J90" s="77"/>
      <x:c r="L90" s="74" t="n">
        <x:f>MAX(G90-H90,0)</x:f>
        <x:v>0</x:v>
      </x:c>
      <x:c r="M90" t="str">
        <x:f>IF(A90="","",IF(L90=0,"Paid",IF(AND(I90&lt;&gt;"",TODAY()&gt;I90),"Overdue",IF(H90&gt;0,"Part Paid","Due"))))</x:f>
      </x:c>
    </x:row>
    <x:row r="91">
      <x:c r="A91" s="77"/>
      <x:c r="G91" s="74"/>
      <x:c r="H91" s="74"/>
      <x:c r="I91" s="77"/>
      <x:c r="J91" s="77"/>
      <x:c r="L91" s="74" t="n">
        <x:f>MAX(G91-H91,0)</x:f>
        <x:v>0</x:v>
      </x:c>
      <x:c r="M91" t="str">
        <x:f>IF(A91="","",IF(L91=0,"Paid",IF(AND(I91&lt;&gt;"",TODAY()&gt;I91),"Overdue",IF(H91&gt;0,"Part Paid","Due"))))</x:f>
      </x:c>
    </x:row>
    <x:row r="92">
      <x:c r="A92" s="77"/>
      <x:c r="G92" s="74"/>
      <x:c r="H92" s="74"/>
      <x:c r="I92" s="77"/>
      <x:c r="J92" s="77"/>
      <x:c r="L92" s="74" t="n">
        <x:f>MAX(G92-H92,0)</x:f>
        <x:v>0</x:v>
      </x:c>
      <x:c r="M92" t="str">
        <x:f>IF(A92="","",IF(L92=0,"Paid",IF(AND(I92&lt;&gt;"",TODAY()&gt;I92),"Overdue",IF(H92&gt;0,"Part Paid","Due"))))</x:f>
      </x:c>
    </x:row>
    <x:row r="93">
      <x:c r="A93" s="77"/>
      <x:c r="G93" s="74"/>
      <x:c r="H93" s="74"/>
      <x:c r="I93" s="77"/>
      <x:c r="J93" s="77"/>
      <x:c r="L93" s="74" t="n">
        <x:f>MAX(G93-H93,0)</x:f>
        <x:v>0</x:v>
      </x:c>
      <x:c r="M93" t="str">
        <x:f>IF(A93="","",IF(L93=0,"Paid",IF(AND(I93&lt;&gt;"",TODAY()&gt;I93),"Overdue",IF(H93&gt;0,"Part Paid","Due"))))</x:f>
      </x:c>
    </x:row>
    <x:row r="94">
      <x:c r="A94" s="77"/>
      <x:c r="G94" s="74"/>
      <x:c r="H94" s="74"/>
      <x:c r="I94" s="77"/>
      <x:c r="J94" s="77"/>
      <x:c r="L94" s="74" t="n">
        <x:f>MAX(G94-H94,0)</x:f>
        <x:v>0</x:v>
      </x:c>
      <x:c r="M94" t="str">
        <x:f>IF(A94="","",IF(L94=0,"Paid",IF(AND(I94&lt;&gt;"",TODAY()&gt;I94),"Overdue",IF(H94&gt;0,"Part Paid","Due"))))</x:f>
      </x:c>
    </x:row>
    <x:row r="95">
      <x:c r="A95" s="77"/>
      <x:c r="G95" s="74"/>
      <x:c r="H95" s="74"/>
      <x:c r="I95" s="77"/>
      <x:c r="J95" s="77"/>
      <x:c r="L95" s="74" t="n">
        <x:f>MAX(G95-H95,0)</x:f>
        <x:v>0</x:v>
      </x:c>
      <x:c r="M95" t="str">
        <x:f>IF(A95="","",IF(L95=0,"Paid",IF(AND(I95&lt;&gt;"",TODAY()&gt;I95),"Overdue",IF(H95&gt;0,"Part Paid","Due"))))</x:f>
      </x:c>
    </x:row>
    <x:row r="96">
      <x:c r="A96" s="77"/>
      <x:c r="G96" s="74"/>
      <x:c r="H96" s="74"/>
      <x:c r="I96" s="77"/>
      <x:c r="J96" s="77"/>
      <x:c r="L96" s="74" t="n">
        <x:f>MAX(G96-H96,0)</x:f>
        <x:v>0</x:v>
      </x:c>
      <x:c r="M96" t="str">
        <x:f>IF(A96="","",IF(L96=0,"Paid",IF(AND(I96&lt;&gt;"",TODAY()&gt;I96),"Overdue",IF(H96&gt;0,"Part Paid","Due"))))</x:f>
      </x:c>
    </x:row>
    <x:row r="97">
      <x:c r="A97" s="77"/>
      <x:c r="G97" s="74"/>
      <x:c r="H97" s="74"/>
      <x:c r="I97" s="77"/>
      <x:c r="J97" s="77"/>
      <x:c r="L97" s="74" t="n">
        <x:f>MAX(G97-H97,0)</x:f>
        <x:v>0</x:v>
      </x:c>
      <x:c r="M97" t="str">
        <x:f>IF(A97="","",IF(L97=0,"Paid",IF(AND(I97&lt;&gt;"",TODAY()&gt;I97),"Overdue",IF(H97&gt;0,"Part Paid","Due"))))</x:f>
      </x:c>
    </x:row>
    <x:row r="98">
      <x:c r="A98" s="77"/>
      <x:c r="G98" s="74"/>
      <x:c r="H98" s="74"/>
      <x:c r="I98" s="77"/>
      <x:c r="J98" s="77"/>
      <x:c r="L98" s="74" t="n">
        <x:f>MAX(G98-H98,0)</x:f>
        <x:v>0</x:v>
      </x:c>
      <x:c r="M98" t="str">
        <x:f>IF(A98="","",IF(L98=0,"Paid",IF(AND(I98&lt;&gt;"",TODAY()&gt;I98),"Overdue",IF(H98&gt;0,"Part Paid","Due"))))</x:f>
      </x:c>
    </x:row>
    <x:row r="99">
      <x:c r="A99" s="77"/>
      <x:c r="G99" s="74"/>
      <x:c r="H99" s="74"/>
      <x:c r="I99" s="77"/>
      <x:c r="J99" s="77"/>
      <x:c r="L99" s="74" t="n">
        <x:f>MAX(G99-H99,0)</x:f>
        <x:v>0</x:v>
      </x:c>
      <x:c r="M99" t="str">
        <x:f>IF(A99="","",IF(L99=0,"Paid",IF(AND(I99&lt;&gt;"",TODAY()&gt;I99),"Overdue",IF(H99&gt;0,"Part Paid","Due"))))</x:f>
      </x:c>
    </x:row>
    <x:row r="100">
      <x:c r="A100" s="77"/>
      <x:c r="G100" s="74"/>
      <x:c r="H100" s="74"/>
      <x:c r="I100" s="77"/>
      <x:c r="J100" s="77"/>
      <x:c r="L100" s="74" t="n">
        <x:f>MAX(G100-H100,0)</x:f>
        <x:v>0</x:v>
      </x:c>
      <x:c r="M100" t="str">
        <x:f>IF(A100="","",IF(L100=0,"Paid",IF(AND(I100&lt;&gt;"",TODAY()&gt;I100),"Overdue",IF(H100&gt;0,"Part Paid","Due"))))</x:f>
      </x:c>
    </x:row>
    <x:row r="101">
      <x:c r="A101" s="77"/>
      <x:c r="G101" s="74"/>
      <x:c r="H101" s="74"/>
      <x:c r="I101" s="77"/>
      <x:c r="J101" s="77"/>
      <x:c r="L101" s="74" t="n">
        <x:f>MAX(G101-H101,0)</x:f>
        <x:v>0</x:v>
      </x:c>
      <x:c r="M101" t="str">
        <x:f>IF(A101="","",IF(L101=0,"Paid",IF(AND(I101&lt;&gt;"",TODAY()&gt;I101),"Overdue",IF(H101&gt;0,"Part Paid","Due"))))</x:f>
      </x:c>
    </x:row>
    <x:row r="102">
      <x:c r="A102" s="77"/>
      <x:c r="G102" s="74"/>
      <x:c r="H102" s="74"/>
      <x:c r="I102" s="77"/>
      <x:c r="J102" s="77"/>
      <x:c r="L102" s="74" t="n">
        <x:f>MAX(G102-H102,0)</x:f>
        <x:v>0</x:v>
      </x:c>
      <x:c r="M102" t="str">
        <x:f>IF(A102="","",IF(L102=0,"Paid",IF(AND(I102&lt;&gt;"",TODAY()&gt;I102),"Overdue",IF(H102&gt;0,"Part Paid","Due"))))</x:f>
      </x:c>
    </x:row>
    <x:row r="103">
      <x:c r="A103" s="77"/>
      <x:c r="G103" s="74"/>
      <x:c r="H103" s="74"/>
      <x:c r="I103" s="77"/>
      <x:c r="J103" s="77"/>
      <x:c r="L103" s="74" t="n">
        <x:f>MAX(G103-H103,0)</x:f>
        <x:v>0</x:v>
      </x:c>
      <x:c r="M103" t="str">
        <x:f>IF(A103="","",IF(L103=0,"Paid",IF(AND(I103&lt;&gt;"",TODAY()&gt;I103),"Overdue",IF(H103&gt;0,"Part Paid","Due"))))</x:f>
      </x:c>
    </x:row>
    <x:row r="104">
      <x:c r="A104" s="77"/>
      <x:c r="G104" s="74"/>
      <x:c r="H104" s="74"/>
      <x:c r="I104" s="77"/>
      <x:c r="J104" s="77"/>
      <x:c r="L104" s="74" t="n">
        <x:f>MAX(G104-H104,0)</x:f>
        <x:v>0</x:v>
      </x:c>
      <x:c r="M104" t="str">
        <x:f>IF(A104="","",IF(L104=0,"Paid",IF(AND(I104&lt;&gt;"",TODAY()&gt;I104),"Overdue",IF(H104&gt;0,"Part Paid","Due"))))</x:f>
      </x:c>
    </x:row>
    <x:row r="105">
      <x:c r="A105" s="77"/>
      <x:c r="G105" s="74"/>
      <x:c r="H105" s="74"/>
      <x:c r="I105" s="77"/>
      <x:c r="J105" s="77"/>
      <x:c r="L105" s="74" t="n">
        <x:f>MAX(G105-H105,0)</x:f>
        <x:v>0</x:v>
      </x:c>
      <x:c r="M105" t="str">
        <x:f>IF(A105="","",IF(L105=0,"Paid",IF(AND(I105&lt;&gt;"",TODAY()&gt;I105),"Overdue",IF(H105&gt;0,"Part Paid","Due"))))</x:f>
      </x:c>
    </x:row>
    <x:row r="106">
      <x:c r="A106" s="77"/>
      <x:c r="G106" s="74"/>
      <x:c r="H106" s="74"/>
      <x:c r="I106" s="77"/>
      <x:c r="J106" s="77"/>
      <x:c r="L106" s="74" t="n">
        <x:f>MAX(G106-H106,0)</x:f>
        <x:v>0</x:v>
      </x:c>
      <x:c r="M106" t="str">
        <x:f>IF(A106="","",IF(L106=0,"Paid",IF(AND(I106&lt;&gt;"",TODAY()&gt;I106),"Overdue",IF(H106&gt;0,"Part Paid","Due"))))</x:f>
      </x:c>
    </x:row>
    <x:row r="107">
      <x:c r="A107" s="77"/>
      <x:c r="G107" s="74"/>
      <x:c r="H107" s="74"/>
      <x:c r="I107" s="77"/>
      <x:c r="J107" s="77"/>
      <x:c r="L107" s="74" t="n">
        <x:f>MAX(G107-H107,0)</x:f>
        <x:v>0</x:v>
      </x:c>
      <x:c r="M107" t="str">
        <x:f>IF(A107="","",IF(L107=0,"Paid",IF(AND(I107&lt;&gt;"",TODAY()&gt;I107),"Overdue",IF(H107&gt;0,"Part Paid","Due"))))</x:f>
      </x:c>
    </x:row>
    <x:row r="108">
      <x:c r="A108" s="77"/>
      <x:c r="G108" s="74"/>
      <x:c r="H108" s="74"/>
      <x:c r="I108" s="77"/>
      <x:c r="J108" s="77"/>
      <x:c r="L108" s="74" t="n">
        <x:f>MAX(G108-H108,0)</x:f>
        <x:v>0</x:v>
      </x:c>
      <x:c r="M108" t="str">
        <x:f>IF(A108="","",IF(L108=0,"Paid",IF(AND(I108&lt;&gt;"",TODAY()&gt;I108),"Overdue",IF(H108&gt;0,"Part Paid","Due"))))</x:f>
      </x:c>
    </x:row>
    <x:row r="109">
      <x:c r="A109" s="77"/>
      <x:c r="G109" s="74"/>
      <x:c r="H109" s="74"/>
      <x:c r="I109" s="77"/>
      <x:c r="J109" s="77"/>
      <x:c r="L109" s="74" t="n">
        <x:f>MAX(G109-H109,0)</x:f>
        <x:v>0</x:v>
      </x:c>
      <x:c r="M109" t="str">
        <x:f>IF(A109="","",IF(L109=0,"Paid",IF(AND(I109&lt;&gt;"",TODAY()&gt;I109),"Overdue",IF(H109&gt;0,"Part Paid","Due"))))</x:f>
      </x:c>
    </x:row>
    <x:row r="110">
      <x:c r="A110" s="77"/>
      <x:c r="G110" s="74"/>
      <x:c r="H110" s="74"/>
      <x:c r="I110" s="77"/>
      <x:c r="J110" s="77"/>
      <x:c r="L110" s="74" t="n">
        <x:f>MAX(G110-H110,0)</x:f>
        <x:v>0</x:v>
      </x:c>
      <x:c r="M110" t="str">
        <x:f>IF(A110="","",IF(L110=0,"Paid",IF(AND(I110&lt;&gt;"",TODAY()&gt;I110),"Overdue",IF(H110&gt;0,"Part Paid","Due"))))</x:f>
      </x:c>
    </x:row>
    <x:row r="111">
      <x:c r="A111" s="77"/>
      <x:c r="G111" s="74"/>
      <x:c r="H111" s="74"/>
      <x:c r="I111" s="77"/>
      <x:c r="J111" s="77"/>
      <x:c r="L111" s="74" t="n">
        <x:f>MAX(G111-H111,0)</x:f>
        <x:v>0</x:v>
      </x:c>
      <x:c r="M111" t="str">
        <x:f>IF(A111="","",IF(L111=0,"Paid",IF(AND(I111&lt;&gt;"",TODAY()&gt;I111),"Overdue",IF(H111&gt;0,"Part Paid","Due"))))</x:f>
      </x:c>
    </x:row>
    <x:row r="112">
      <x:c r="A112" s="77"/>
      <x:c r="G112" s="74"/>
      <x:c r="H112" s="74"/>
      <x:c r="I112" s="77"/>
      <x:c r="J112" s="77"/>
      <x:c r="L112" s="74" t="n">
        <x:f>MAX(G112-H112,0)</x:f>
        <x:v>0</x:v>
      </x:c>
      <x:c r="M112" t="str">
        <x:f>IF(A112="","",IF(L112=0,"Paid",IF(AND(I112&lt;&gt;"",TODAY()&gt;I112),"Overdue",IF(H112&gt;0,"Part Paid","Due"))))</x:f>
      </x:c>
    </x:row>
    <x:row r="113">
      <x:c r="A113" s="77"/>
      <x:c r="G113" s="74"/>
      <x:c r="H113" s="74"/>
      <x:c r="I113" s="77"/>
      <x:c r="J113" s="77"/>
      <x:c r="L113" s="74" t="n">
        <x:f>MAX(G113-H113,0)</x:f>
        <x:v>0</x:v>
      </x:c>
      <x:c r="M113" t="str">
        <x:f>IF(A113="","",IF(L113=0,"Paid",IF(AND(I113&lt;&gt;"",TODAY()&gt;I113),"Overdue",IF(H113&gt;0,"Part Paid","Due"))))</x:f>
      </x:c>
    </x:row>
    <x:row r="114">
      <x:c r="A114" s="77"/>
      <x:c r="G114" s="74"/>
      <x:c r="H114" s="74"/>
      <x:c r="I114" s="77"/>
      <x:c r="J114" s="77"/>
      <x:c r="L114" s="74" t="n">
        <x:f>MAX(G114-H114,0)</x:f>
        <x:v>0</x:v>
      </x:c>
      <x:c r="M114" t="str">
        <x:f>IF(A114="","",IF(L114=0,"Paid",IF(AND(I114&lt;&gt;"",TODAY()&gt;I114),"Overdue",IF(H114&gt;0,"Part Paid","Due"))))</x:f>
      </x:c>
    </x:row>
    <x:row r="115">
      <x:c r="A115" s="77"/>
      <x:c r="G115" s="74"/>
      <x:c r="H115" s="74"/>
      <x:c r="I115" s="77"/>
      <x:c r="J115" s="77"/>
      <x:c r="L115" s="74" t="n">
        <x:f>MAX(G115-H115,0)</x:f>
        <x:v>0</x:v>
      </x:c>
      <x:c r="M115" t="str">
        <x:f>IF(A115="","",IF(L115=0,"Paid",IF(AND(I115&lt;&gt;"",TODAY()&gt;I115),"Overdue",IF(H115&gt;0,"Part Paid","Due"))))</x:f>
      </x:c>
    </x:row>
    <x:row r="116">
      <x:c r="A116" s="77"/>
      <x:c r="G116" s="74"/>
      <x:c r="H116" s="74"/>
      <x:c r="I116" s="77"/>
      <x:c r="J116" s="77"/>
      <x:c r="L116" s="74" t="n">
        <x:f>MAX(G116-H116,0)</x:f>
        <x:v>0</x:v>
      </x:c>
      <x:c r="M116" t="str">
        <x:f>IF(A116="","",IF(L116=0,"Paid",IF(AND(I116&lt;&gt;"",TODAY()&gt;I116),"Overdue",IF(H116&gt;0,"Part Paid","Due"))))</x:f>
      </x:c>
    </x:row>
    <x:row r="117">
      <x:c r="A117" s="77"/>
      <x:c r="G117" s="74"/>
      <x:c r="H117" s="74"/>
      <x:c r="I117" s="77"/>
      <x:c r="J117" s="77"/>
      <x:c r="L117" s="74" t="n">
        <x:f>MAX(G117-H117,0)</x:f>
        <x:v>0</x:v>
      </x:c>
      <x:c r="M117" t="str">
        <x:f>IF(A117="","",IF(L117=0,"Paid",IF(AND(I117&lt;&gt;"",TODAY()&gt;I117),"Overdue",IF(H117&gt;0,"Part Paid","Due"))))</x:f>
      </x:c>
    </x:row>
    <x:row r="118">
      <x:c r="A118" s="77"/>
      <x:c r="G118" s="74"/>
      <x:c r="H118" s="74"/>
      <x:c r="I118" s="77"/>
      <x:c r="J118" s="77"/>
      <x:c r="L118" s="74" t="n">
        <x:f>MAX(G118-H118,0)</x:f>
        <x:v>0</x:v>
      </x:c>
      <x:c r="M118" t="str">
        <x:f>IF(A118="","",IF(L118=0,"Paid",IF(AND(I118&lt;&gt;"",TODAY()&gt;I118),"Overdue",IF(H118&gt;0,"Part Paid","Due"))))</x:f>
      </x:c>
    </x:row>
    <x:row r="119">
      <x:c r="A119" s="77"/>
      <x:c r="G119" s="74"/>
      <x:c r="H119" s="74"/>
      <x:c r="I119" s="77"/>
      <x:c r="J119" s="77"/>
      <x:c r="L119" s="74" t="n">
        <x:f>MAX(G119-H119,0)</x:f>
        <x:v>0</x:v>
      </x:c>
      <x:c r="M119" t="str">
        <x:f>IF(A119="","",IF(L119=0,"Paid",IF(AND(I119&lt;&gt;"",TODAY()&gt;I119),"Overdue",IF(H119&gt;0,"Part Paid","Due"))))</x:f>
      </x:c>
    </x:row>
    <x:row r="120">
      <x:c r="A120" s="77"/>
      <x:c r="G120" s="74"/>
      <x:c r="H120" s="74"/>
      <x:c r="I120" s="77"/>
      <x:c r="J120" s="77"/>
      <x:c r="L120" s="74" t="n">
        <x:f>MAX(G120-H120,0)</x:f>
        <x:v>0</x:v>
      </x:c>
      <x:c r="M120" t="str">
        <x:f>IF(A120="","",IF(L120=0,"Paid",IF(AND(I120&lt;&gt;"",TODAY()&gt;I120),"Overdue",IF(H120&gt;0,"Part Paid","Due"))))</x:f>
      </x:c>
    </x:row>
    <x:row r="121">
      <x:c r="A121" s="77"/>
      <x:c r="G121" s="74"/>
      <x:c r="H121" s="74"/>
      <x:c r="I121" s="77"/>
      <x:c r="J121" s="77"/>
      <x:c r="L121" s="74" t="n">
        <x:f>MAX(G121-H121,0)</x:f>
        <x:v>0</x:v>
      </x:c>
      <x:c r="M121" t="str">
        <x:f>IF(A121="","",IF(L121=0,"Paid",IF(AND(I121&lt;&gt;"",TODAY()&gt;I121),"Overdue",IF(H121&gt;0,"Part Paid","Due"))))</x:f>
      </x:c>
    </x:row>
    <x:row r="122">
      <x:c r="A122" s="77"/>
      <x:c r="G122" s="74"/>
      <x:c r="H122" s="74"/>
      <x:c r="I122" s="77"/>
      <x:c r="J122" s="77"/>
      <x:c r="L122" s="74" t="n">
        <x:f>MAX(G122-H122,0)</x:f>
        <x:v>0</x:v>
      </x:c>
      <x:c r="M122" t="str">
        <x:f>IF(A122="","",IF(L122=0,"Paid",IF(AND(I122&lt;&gt;"",TODAY()&gt;I122),"Overdue",IF(H122&gt;0,"Part Paid","Due"))))</x:f>
      </x:c>
    </x:row>
    <x:row r="123">
      <x:c r="A123" s="77"/>
      <x:c r="G123" s="74"/>
      <x:c r="H123" s="74"/>
      <x:c r="I123" s="77"/>
      <x:c r="J123" s="77"/>
      <x:c r="L123" s="74" t="n">
        <x:f>MAX(G123-H123,0)</x:f>
        <x:v>0</x:v>
      </x:c>
      <x:c r="M123" t="str">
        <x:f>IF(A123="","",IF(L123=0,"Paid",IF(AND(I123&lt;&gt;"",TODAY()&gt;I123),"Overdue",IF(H123&gt;0,"Part Paid","Due"))))</x:f>
      </x:c>
    </x:row>
    <x:row r="124">
      <x:c r="A124" s="77"/>
      <x:c r="G124" s="74"/>
      <x:c r="H124" s="74"/>
      <x:c r="I124" s="77"/>
      <x:c r="J124" s="77"/>
      <x:c r="L124" s="74" t="n">
        <x:f>MAX(G124-H124,0)</x:f>
        <x:v>0</x:v>
      </x:c>
      <x:c r="M124" t="str">
        <x:f>IF(A124="","",IF(L124=0,"Paid",IF(AND(I124&lt;&gt;"",TODAY()&gt;I124),"Overdue",IF(H124&gt;0,"Part Paid","Due"))))</x:f>
      </x:c>
    </x:row>
    <x:row r="125">
      <x:c r="A125" s="77"/>
      <x:c r="G125" s="74"/>
      <x:c r="H125" s="74"/>
      <x:c r="I125" s="77"/>
      <x:c r="J125" s="77"/>
      <x:c r="L125" s="74" t="n">
        <x:f>MAX(G125-H125,0)</x:f>
        <x:v>0</x:v>
      </x:c>
      <x:c r="M125" t="str">
        <x:f>IF(A125="","",IF(L125=0,"Paid",IF(AND(I125&lt;&gt;"",TODAY()&gt;I125),"Overdue",IF(H125&gt;0,"Part Paid","Due"))))</x:f>
      </x:c>
    </x:row>
    <x:row r="126">
      <x:c r="A126" s="77"/>
      <x:c r="G126" s="74"/>
      <x:c r="H126" s="74"/>
      <x:c r="I126" s="77"/>
      <x:c r="J126" s="77"/>
      <x:c r="L126" s="74" t="n">
        <x:f>MAX(G126-H126,0)</x:f>
        <x:v>0</x:v>
      </x:c>
      <x:c r="M126" t="str">
        <x:f>IF(A126="","",IF(L126=0,"Paid",IF(AND(I126&lt;&gt;"",TODAY()&gt;I126),"Overdue",IF(H126&gt;0,"Part Paid","Due"))))</x:f>
      </x:c>
    </x:row>
    <x:row r="127">
      <x:c r="A127" s="77"/>
      <x:c r="G127" s="74"/>
      <x:c r="H127" s="74"/>
      <x:c r="I127" s="77"/>
      <x:c r="J127" s="77"/>
      <x:c r="L127" s="74" t="n">
        <x:f>MAX(G127-H127,0)</x:f>
        <x:v>0</x:v>
      </x:c>
      <x:c r="M127" t="str">
        <x:f>IF(A127="","",IF(L127=0,"Paid",IF(AND(I127&lt;&gt;"",TODAY()&gt;I127),"Overdue",IF(H127&gt;0,"Part Paid","Due"))))</x:f>
      </x:c>
    </x:row>
    <x:row r="128">
      <x:c r="A128" s="77"/>
      <x:c r="G128" s="74"/>
      <x:c r="H128" s="74"/>
      <x:c r="I128" s="77"/>
      <x:c r="J128" s="77"/>
      <x:c r="L128" s="74" t="n">
        <x:f>MAX(G128-H128,0)</x:f>
        <x:v>0</x:v>
      </x:c>
      <x:c r="M128" t="str">
        <x:f>IF(A128="","",IF(L128=0,"Paid",IF(AND(I128&lt;&gt;"",TODAY()&gt;I128),"Overdue",IF(H128&gt;0,"Part Paid","Due"))))</x:f>
      </x:c>
    </x:row>
    <x:row r="129">
      <x:c r="A129" s="77"/>
      <x:c r="G129" s="74"/>
      <x:c r="H129" s="74"/>
      <x:c r="I129" s="77"/>
      <x:c r="J129" s="77"/>
      <x:c r="L129" s="74" t="n">
        <x:f>MAX(G129-H129,0)</x:f>
        <x:v>0</x:v>
      </x:c>
      <x:c r="M129" t="str">
        <x:f>IF(A129="","",IF(L129=0,"Paid",IF(AND(I129&lt;&gt;"",TODAY()&gt;I129),"Overdue",IF(H129&gt;0,"Part Paid","Due"))))</x:f>
      </x:c>
    </x:row>
    <x:row r="130">
      <x:c r="A130" s="77"/>
      <x:c r="G130" s="74"/>
      <x:c r="H130" s="74"/>
      <x:c r="I130" s="77"/>
      <x:c r="J130" s="77"/>
      <x:c r="L130" s="74" t="n">
        <x:f>MAX(G130-H130,0)</x:f>
        <x:v>0</x:v>
      </x:c>
      <x:c r="M130" t="str">
        <x:f>IF(A130="","",IF(L130=0,"Paid",IF(AND(I130&lt;&gt;"",TODAY()&gt;I130),"Overdue",IF(H130&gt;0,"Part Paid","Due"))))</x:f>
      </x:c>
    </x:row>
    <x:row r="131">
      <x:c r="A131" s="77"/>
      <x:c r="G131" s="74"/>
      <x:c r="H131" s="74"/>
      <x:c r="I131" s="77"/>
      <x:c r="J131" s="77"/>
      <x:c r="L131" s="74" t="n">
        <x:f>MAX(G131-H131,0)</x:f>
        <x:v>0</x:v>
      </x:c>
      <x:c r="M131" t="str">
        <x:f>IF(A131="","",IF(L131=0,"Paid",IF(AND(I131&lt;&gt;"",TODAY()&gt;I131),"Overdue",IF(H131&gt;0,"Part Paid","Due"))))</x:f>
      </x:c>
    </x:row>
    <x:row r="132">
      <x:c r="A132" s="77"/>
      <x:c r="G132" s="74"/>
      <x:c r="H132" s="74"/>
      <x:c r="I132" s="77"/>
      <x:c r="J132" s="77"/>
      <x:c r="L132" s="74" t="n">
        <x:f>MAX(G132-H132,0)</x:f>
        <x:v>0</x:v>
      </x:c>
      <x:c r="M132" t="str">
        <x:f>IF(A132="","",IF(L132=0,"Paid",IF(AND(I132&lt;&gt;"",TODAY()&gt;I132),"Overdue",IF(H132&gt;0,"Part Paid","Due"))))</x:f>
      </x:c>
    </x:row>
    <x:row r="133">
      <x:c r="A133" s="77"/>
      <x:c r="G133" s="74"/>
      <x:c r="H133" s="74"/>
      <x:c r="I133" s="77"/>
      <x:c r="J133" s="77"/>
      <x:c r="L133" s="74" t="n">
        <x:f>MAX(G133-H133,0)</x:f>
        <x:v>0</x:v>
      </x:c>
      <x:c r="M133" t="str">
        <x:f>IF(A133="","",IF(L133=0,"Paid",IF(AND(I133&lt;&gt;"",TODAY()&gt;I133),"Overdue",IF(H133&gt;0,"Part Paid","Due"))))</x:f>
      </x:c>
    </x:row>
    <x:row r="134">
      <x:c r="A134" s="77"/>
      <x:c r="G134" s="74"/>
      <x:c r="H134" s="74"/>
      <x:c r="I134" s="77"/>
      <x:c r="J134" s="77"/>
      <x:c r="L134" s="74" t="n">
        <x:f>MAX(G134-H134,0)</x:f>
        <x:v>0</x:v>
      </x:c>
      <x:c r="M134" t="str">
        <x:f>IF(A134="","",IF(L134=0,"Paid",IF(AND(I134&lt;&gt;"",TODAY()&gt;I134),"Overdue",IF(H134&gt;0,"Part Paid","Due"))))</x:f>
      </x:c>
    </x:row>
    <x:row r="135">
      <x:c r="A135" s="77"/>
      <x:c r="G135" s="74"/>
      <x:c r="H135" s="74"/>
      <x:c r="I135" s="77"/>
      <x:c r="J135" s="77"/>
      <x:c r="L135" s="74" t="n">
        <x:f>MAX(G135-H135,0)</x:f>
        <x:v>0</x:v>
      </x:c>
      <x:c r="M135" t="str">
        <x:f>IF(A135="","",IF(L135=0,"Paid",IF(AND(I135&lt;&gt;"",TODAY()&gt;I135),"Overdue",IF(H135&gt;0,"Part Paid","Due"))))</x:f>
      </x:c>
    </x:row>
    <x:row r="136">
      <x:c r="A136" s="77"/>
      <x:c r="G136" s="74"/>
      <x:c r="H136" s="74"/>
      <x:c r="I136" s="77"/>
      <x:c r="J136" s="77"/>
      <x:c r="L136" s="74" t="n">
        <x:f>MAX(G136-H136,0)</x:f>
        <x:v>0</x:v>
      </x:c>
      <x:c r="M136" t="str">
        <x:f>IF(A136="","",IF(L136=0,"Paid",IF(AND(I136&lt;&gt;"",TODAY()&gt;I136),"Overdue",IF(H136&gt;0,"Part Paid","Due"))))</x:f>
      </x:c>
    </x:row>
    <x:row r="137">
      <x:c r="A137" s="77"/>
      <x:c r="G137" s="74"/>
      <x:c r="H137" s="74"/>
      <x:c r="I137" s="77"/>
      <x:c r="J137" s="77"/>
      <x:c r="L137" s="74" t="n">
        <x:f>MAX(G137-H137,0)</x:f>
        <x:v>0</x:v>
      </x:c>
      <x:c r="M137" t="str">
        <x:f>IF(A137="","",IF(L137=0,"Paid",IF(AND(I137&lt;&gt;"",TODAY()&gt;I137),"Overdue",IF(H137&gt;0,"Part Paid","Due"))))</x:f>
      </x:c>
    </x:row>
    <x:row r="138">
      <x:c r="A138" s="77"/>
      <x:c r="G138" s="74"/>
      <x:c r="H138" s="74"/>
      <x:c r="I138" s="77"/>
      <x:c r="J138" s="77"/>
      <x:c r="L138" s="74" t="n">
        <x:f>MAX(G138-H138,0)</x:f>
        <x:v>0</x:v>
      </x:c>
      <x:c r="M138" t="str">
        <x:f>IF(A138="","",IF(L138=0,"Paid",IF(AND(I138&lt;&gt;"",TODAY()&gt;I138),"Overdue",IF(H138&gt;0,"Part Paid","Due"))))</x:f>
      </x:c>
    </x:row>
    <x:row r="139">
      <x:c r="A139" s="77"/>
      <x:c r="G139" s="74"/>
      <x:c r="H139" s="74"/>
      <x:c r="I139" s="77"/>
      <x:c r="J139" s="77"/>
      <x:c r="L139" s="74" t="n">
        <x:f>MAX(G139-H139,0)</x:f>
        <x:v>0</x:v>
      </x:c>
      <x:c r="M139" t="str">
        <x:f>IF(A139="","",IF(L139=0,"Paid",IF(AND(I139&lt;&gt;"",TODAY()&gt;I139),"Overdue",IF(H139&gt;0,"Part Paid","Due"))))</x:f>
      </x:c>
    </x:row>
    <x:row r="140">
      <x:c r="A140" s="77"/>
      <x:c r="G140" s="74"/>
      <x:c r="H140" s="74"/>
      <x:c r="I140" s="77"/>
      <x:c r="J140" s="77"/>
      <x:c r="L140" s="74" t="n">
        <x:f>MAX(G140-H140,0)</x:f>
        <x:v>0</x:v>
      </x:c>
      <x:c r="M140" t="str">
        <x:f>IF(A140="","",IF(L140=0,"Paid",IF(AND(I140&lt;&gt;"",TODAY()&gt;I140),"Overdue",IF(H140&gt;0,"Part Paid","Due"))))</x:f>
      </x:c>
    </x:row>
    <x:row r="141">
      <x:c r="A141" s="77"/>
      <x:c r="G141" s="74"/>
      <x:c r="H141" s="74"/>
      <x:c r="I141" s="77"/>
      <x:c r="J141" s="77"/>
      <x:c r="L141" s="74" t="n">
        <x:f>MAX(G141-H141,0)</x:f>
        <x:v>0</x:v>
      </x:c>
      <x:c r="M141" t="str">
        <x:f>IF(A141="","",IF(L141=0,"Paid",IF(AND(I141&lt;&gt;"",TODAY()&gt;I141),"Overdue",IF(H141&gt;0,"Part Paid","Due"))))</x:f>
      </x:c>
    </x:row>
    <x:row r="142">
      <x:c r="A142" s="77"/>
      <x:c r="G142" s="74"/>
      <x:c r="H142" s="74"/>
      <x:c r="I142" s="77"/>
      <x:c r="J142" s="77"/>
      <x:c r="L142" s="74" t="n">
        <x:f>MAX(G142-H142,0)</x:f>
        <x:v>0</x:v>
      </x:c>
      <x:c r="M142" t="str">
        <x:f>IF(A142="","",IF(L142=0,"Paid",IF(AND(I142&lt;&gt;"",TODAY()&gt;I142),"Overdue",IF(H142&gt;0,"Part Paid","Due"))))</x:f>
      </x:c>
    </x:row>
    <x:row r="143">
      <x:c r="A143" s="77"/>
      <x:c r="G143" s="74"/>
      <x:c r="H143" s="74"/>
      <x:c r="I143" s="77"/>
      <x:c r="J143" s="77"/>
      <x:c r="L143" s="74" t="n">
        <x:f>MAX(G143-H143,0)</x:f>
        <x:v>0</x:v>
      </x:c>
      <x:c r="M143" t="str">
        <x:f>IF(A143="","",IF(L143=0,"Paid",IF(AND(I143&lt;&gt;"",TODAY()&gt;I143),"Overdue",IF(H143&gt;0,"Part Paid","Due"))))</x:f>
      </x:c>
    </x:row>
    <x:row r="144">
      <x:c r="A144" s="77"/>
      <x:c r="G144" s="74"/>
      <x:c r="H144" s="74"/>
      <x:c r="I144" s="77"/>
      <x:c r="J144" s="77"/>
      <x:c r="L144" s="74" t="n">
        <x:f>MAX(G144-H144,0)</x:f>
        <x:v>0</x:v>
      </x:c>
      <x:c r="M144" t="str">
        <x:f>IF(A144="","",IF(L144=0,"Paid",IF(AND(I144&lt;&gt;"",TODAY()&gt;I144),"Overdue",IF(H144&gt;0,"Part Paid","Due"))))</x:f>
      </x:c>
    </x:row>
    <x:row r="145">
      <x:c r="A145" s="77"/>
      <x:c r="G145" s="74"/>
      <x:c r="H145" s="74"/>
      <x:c r="I145" s="77"/>
      <x:c r="J145" s="77"/>
      <x:c r="L145" s="74" t="n">
        <x:f>MAX(G145-H145,0)</x:f>
        <x:v>0</x:v>
      </x:c>
      <x:c r="M145" t="str">
        <x:f>IF(A145="","",IF(L145=0,"Paid",IF(AND(I145&lt;&gt;"",TODAY()&gt;I145),"Overdue",IF(H145&gt;0,"Part Paid","Due"))))</x:f>
      </x:c>
    </x:row>
    <x:row r="146">
      <x:c r="A146" s="77"/>
      <x:c r="G146" s="74"/>
      <x:c r="H146" s="74"/>
      <x:c r="I146" s="77"/>
      <x:c r="J146" s="77"/>
      <x:c r="L146" s="74" t="n">
        <x:f>MAX(G146-H146,0)</x:f>
        <x:v>0</x:v>
      </x:c>
      <x:c r="M146" t="str">
        <x:f>IF(A146="","",IF(L146=0,"Paid",IF(AND(I146&lt;&gt;"",TODAY()&gt;I146),"Overdue",IF(H146&gt;0,"Part Paid","Due"))))</x:f>
      </x:c>
    </x:row>
    <x:row r="147">
      <x:c r="A147" s="77"/>
      <x:c r="G147" s="74"/>
      <x:c r="H147" s="74"/>
      <x:c r="I147" s="77"/>
      <x:c r="J147" s="77"/>
      <x:c r="L147" s="74" t="n">
        <x:f>MAX(G147-H147,0)</x:f>
        <x:v>0</x:v>
      </x:c>
      <x:c r="M147" t="str">
        <x:f>IF(A147="","",IF(L147=0,"Paid",IF(AND(I147&lt;&gt;"",TODAY()&gt;I147),"Overdue",IF(H147&gt;0,"Part Paid","Due"))))</x:f>
      </x:c>
    </x:row>
    <x:row r="148">
      <x:c r="A148" s="77"/>
      <x:c r="G148" s="74"/>
      <x:c r="H148" s="74"/>
      <x:c r="I148" s="77"/>
      <x:c r="J148" s="77"/>
      <x:c r="L148" s="74" t="n">
        <x:f>MAX(G148-H148,0)</x:f>
        <x:v>0</x:v>
      </x:c>
      <x:c r="M148" t="str">
        <x:f>IF(A148="","",IF(L148=0,"Paid",IF(AND(I148&lt;&gt;"",TODAY()&gt;I148),"Overdue",IF(H148&gt;0,"Part Paid","Due"))))</x:f>
      </x:c>
    </x:row>
    <x:row r="149">
      <x:c r="A149" s="77"/>
      <x:c r="G149" s="74"/>
      <x:c r="H149" s="74"/>
      <x:c r="I149" s="77"/>
      <x:c r="J149" s="77"/>
      <x:c r="L149" s="74" t="n">
        <x:f>MAX(G149-H149,0)</x:f>
        <x:v>0</x:v>
      </x:c>
      <x:c r="M149" t="str">
        <x:f>IF(A149="","",IF(L149=0,"Paid",IF(AND(I149&lt;&gt;"",TODAY()&gt;I149),"Overdue",IF(H149&gt;0,"Part Paid","Due"))))</x:f>
      </x:c>
    </x:row>
    <x:row r="150">
      <x:c r="A150" s="77"/>
      <x:c r="G150" s="74"/>
      <x:c r="H150" s="74"/>
      <x:c r="I150" s="77"/>
      <x:c r="J150" s="77"/>
      <x:c r="L150" s="74" t="n">
        <x:f>MAX(G150-H150,0)</x:f>
        <x:v>0</x:v>
      </x:c>
      <x:c r="M150" t="str">
        <x:f>IF(A150="","",IF(L150=0,"Paid",IF(AND(I150&lt;&gt;"",TODAY()&gt;I150),"Overdue",IF(H150&gt;0,"Part Paid","Due"))))</x:f>
      </x:c>
    </x:row>
    <x:row r="151">
      <x:c r="A151" s="77"/>
      <x:c r="G151" s="74"/>
      <x:c r="H151" s="74"/>
      <x:c r="I151" s="77"/>
      <x:c r="J151" s="77"/>
      <x:c r="L151" s="74" t="n">
        <x:f>MAX(G151-H151,0)</x:f>
        <x:v>0</x:v>
      </x:c>
      <x:c r="M151" t="str">
        <x:f>IF(A151="","",IF(L151=0,"Paid",IF(AND(I151&lt;&gt;"",TODAY()&gt;I151),"Overdue",IF(H151&gt;0,"Part Paid","Due"))))</x:f>
      </x:c>
    </x:row>
    <x:row r="152">
      <x:c r="A152" s="77"/>
      <x:c r="G152" s="74"/>
      <x:c r="H152" s="74"/>
      <x:c r="I152" s="77"/>
      <x:c r="J152" s="77"/>
      <x:c r="L152" s="74" t="n">
        <x:f>MAX(G152-H152,0)</x:f>
        <x:v>0</x:v>
      </x:c>
      <x:c r="M152" t="str">
        <x:f>IF(A152="","",IF(L152=0,"Paid",IF(AND(I152&lt;&gt;"",TODAY()&gt;I152),"Overdue",IF(H152&gt;0,"Part Paid","Due"))))</x:f>
      </x:c>
    </x:row>
    <x:row r="153">
      <x:c r="A153" s="77"/>
      <x:c r="G153" s="74"/>
      <x:c r="H153" s="74"/>
      <x:c r="I153" s="77"/>
      <x:c r="J153" s="77"/>
      <x:c r="L153" s="74" t="n">
        <x:f>MAX(G153-H153,0)</x:f>
        <x:v>0</x:v>
      </x:c>
      <x:c r="M153" t="str">
        <x:f>IF(A153="","",IF(L153=0,"Paid",IF(AND(I153&lt;&gt;"",TODAY()&gt;I153),"Overdue",IF(H153&gt;0,"Part Paid","Due"))))</x:f>
      </x:c>
    </x:row>
    <x:row r="154">
      <x:c r="A154" s="77"/>
      <x:c r="G154" s="74"/>
      <x:c r="H154" s="74"/>
      <x:c r="I154" s="77"/>
      <x:c r="J154" s="77"/>
      <x:c r="L154" s="74" t="n">
        <x:f>MAX(G154-H154,0)</x:f>
        <x:v>0</x:v>
      </x:c>
      <x:c r="M154" t="str">
        <x:f>IF(A154="","",IF(L154=0,"Paid",IF(AND(I154&lt;&gt;"",TODAY()&gt;I154),"Overdue",IF(H154&gt;0,"Part Paid","Due"))))</x:f>
      </x:c>
    </x:row>
    <x:row r="155">
      <x:c r="A155" s="77"/>
      <x:c r="G155" s="74"/>
      <x:c r="H155" s="74"/>
      <x:c r="I155" s="77"/>
      <x:c r="J155" s="77"/>
      <x:c r="L155" s="74" t="n">
        <x:f>MAX(G155-H155,0)</x:f>
        <x:v>0</x:v>
      </x:c>
      <x:c r="M155" t="str">
        <x:f>IF(A155="","",IF(L155=0,"Paid",IF(AND(I155&lt;&gt;"",TODAY()&gt;I155),"Overdue",IF(H155&gt;0,"Part Paid","Due"))))</x:f>
      </x:c>
    </x:row>
    <x:row r="156">
      <x:c r="A156" s="77"/>
      <x:c r="G156" s="74"/>
      <x:c r="H156" s="74"/>
      <x:c r="I156" s="77"/>
      <x:c r="J156" s="77"/>
      <x:c r="L156" s="74" t="n">
        <x:f>MAX(G156-H156,0)</x:f>
        <x:v>0</x:v>
      </x:c>
      <x:c r="M156" t="str">
        <x:f>IF(A156="","",IF(L156=0,"Paid",IF(AND(I156&lt;&gt;"",TODAY()&gt;I156),"Overdue",IF(H156&gt;0,"Part Paid","Due"))))</x:f>
      </x:c>
    </x:row>
    <x:row r="157">
      <x:c r="A157" s="77"/>
      <x:c r="G157" s="74"/>
      <x:c r="H157" s="74"/>
      <x:c r="I157" s="77"/>
      <x:c r="J157" s="77"/>
      <x:c r="L157" s="74" t="n">
        <x:f>MAX(G157-H157,0)</x:f>
        <x:v>0</x:v>
      </x:c>
      <x:c r="M157" t="str">
        <x:f>IF(A157="","",IF(L157=0,"Paid",IF(AND(I157&lt;&gt;"",TODAY()&gt;I157),"Overdue",IF(H157&gt;0,"Part Paid","Due"))))</x:f>
      </x:c>
    </x:row>
    <x:row r="158">
      <x:c r="A158" s="77"/>
      <x:c r="G158" s="74"/>
      <x:c r="H158" s="74"/>
      <x:c r="I158" s="77"/>
      <x:c r="J158" s="77"/>
      <x:c r="L158" s="74" t="n">
        <x:f>MAX(G158-H158,0)</x:f>
        <x:v>0</x:v>
      </x:c>
      <x:c r="M158" t="str">
        <x:f>IF(A158="","",IF(L158=0,"Paid",IF(AND(I158&lt;&gt;"",TODAY()&gt;I158),"Overdue",IF(H158&gt;0,"Part Paid","Due"))))</x:f>
      </x:c>
    </x:row>
    <x:row r="159">
      <x:c r="A159" s="77"/>
      <x:c r="G159" s="74"/>
      <x:c r="H159" s="74"/>
      <x:c r="I159" s="77"/>
      <x:c r="J159" s="77"/>
      <x:c r="L159" s="74" t="n">
        <x:f>MAX(G159-H159,0)</x:f>
        <x:v>0</x:v>
      </x:c>
      <x:c r="M159" t="str">
        <x:f>IF(A159="","",IF(L159=0,"Paid",IF(AND(I159&lt;&gt;"",TODAY()&gt;I159),"Overdue",IF(H159&gt;0,"Part Paid","Due"))))</x:f>
      </x:c>
    </x:row>
    <x:row r="160">
      <x:c r="A160" s="77"/>
      <x:c r="G160" s="74"/>
      <x:c r="H160" s="74"/>
      <x:c r="I160" s="77"/>
      <x:c r="J160" s="77"/>
      <x:c r="L160" s="74" t="n">
        <x:f>MAX(G160-H160,0)</x:f>
        <x:v>0</x:v>
      </x:c>
      <x:c r="M160" t="str">
        <x:f>IF(A160="","",IF(L160=0,"Paid",IF(AND(I160&lt;&gt;"",TODAY()&gt;I160),"Overdue",IF(H160&gt;0,"Part Paid","Due"))))</x:f>
      </x:c>
    </x:row>
    <x:row r="161">
      <x:c r="A161" s="77"/>
      <x:c r="G161" s="74"/>
      <x:c r="H161" s="74"/>
      <x:c r="I161" s="77"/>
      <x:c r="J161" s="77"/>
      <x:c r="L161" s="74" t="n">
        <x:f>MAX(G161-H161,0)</x:f>
        <x:v>0</x:v>
      </x:c>
      <x:c r="M161" t="str">
        <x:f>IF(A161="","",IF(L161=0,"Paid",IF(AND(I161&lt;&gt;"",TODAY()&gt;I161),"Overdue",IF(H161&gt;0,"Part Paid","Due"))))</x:f>
      </x:c>
    </x:row>
    <x:row r="162">
      <x:c r="A162" s="77"/>
      <x:c r="G162" s="74"/>
      <x:c r="H162" s="74"/>
      <x:c r="I162" s="77"/>
      <x:c r="J162" s="77"/>
      <x:c r="L162" s="74" t="n">
        <x:f>MAX(G162-H162,0)</x:f>
        <x:v>0</x:v>
      </x:c>
      <x:c r="M162" t="str">
        <x:f>IF(A162="","",IF(L162=0,"Paid",IF(AND(I162&lt;&gt;"",TODAY()&gt;I162),"Overdue",IF(H162&gt;0,"Part Paid","Due"))))</x:f>
      </x:c>
    </x:row>
    <x:row r="163">
      <x:c r="A163" s="77"/>
      <x:c r="G163" s="74"/>
      <x:c r="H163" s="74"/>
      <x:c r="I163" s="77"/>
      <x:c r="J163" s="77"/>
      <x:c r="L163" s="74" t="n">
        <x:f>MAX(G163-H163,0)</x:f>
        <x:v>0</x:v>
      </x:c>
      <x:c r="M163" t="str">
        <x:f>IF(A163="","",IF(L163=0,"Paid",IF(AND(I163&lt;&gt;"",TODAY()&gt;I163),"Overdue",IF(H163&gt;0,"Part Paid","Due"))))</x:f>
      </x:c>
    </x:row>
    <x:row r="164">
      <x:c r="A164" s="77"/>
      <x:c r="G164" s="74"/>
      <x:c r="H164" s="74"/>
      <x:c r="I164" s="77"/>
      <x:c r="J164" s="77"/>
      <x:c r="L164" s="74" t="n">
        <x:f>MAX(G164-H164,0)</x:f>
        <x:v>0</x:v>
      </x:c>
      <x:c r="M164" t="str">
        <x:f>IF(A164="","",IF(L164=0,"Paid",IF(AND(I164&lt;&gt;"",TODAY()&gt;I164),"Overdue",IF(H164&gt;0,"Part Paid","Due"))))</x:f>
      </x:c>
    </x:row>
    <x:row r="165">
      <x:c r="A165" s="77"/>
      <x:c r="G165" s="74"/>
      <x:c r="H165" s="74"/>
      <x:c r="I165" s="77"/>
      <x:c r="J165" s="77"/>
      <x:c r="L165" s="74" t="n">
        <x:f>MAX(G165-H165,0)</x:f>
        <x:v>0</x:v>
      </x:c>
      <x:c r="M165" t="str">
        <x:f>IF(A165="","",IF(L165=0,"Paid",IF(AND(I165&lt;&gt;"",TODAY()&gt;I165),"Overdue",IF(H165&gt;0,"Part Paid","Due"))))</x:f>
      </x:c>
    </x:row>
    <x:row r="166">
      <x:c r="A166" s="77"/>
      <x:c r="G166" s="74"/>
      <x:c r="H166" s="74"/>
      <x:c r="I166" s="77"/>
      <x:c r="J166" s="77"/>
      <x:c r="L166" s="74" t="n">
        <x:f>MAX(G166-H166,0)</x:f>
        <x:v>0</x:v>
      </x:c>
      <x:c r="M166" t="str">
        <x:f>IF(A166="","",IF(L166=0,"Paid",IF(AND(I166&lt;&gt;"",TODAY()&gt;I166),"Overdue",IF(H166&gt;0,"Part Paid","Due"))))</x:f>
      </x:c>
    </x:row>
    <x:row r="167">
      <x:c r="A167" s="77"/>
      <x:c r="G167" s="74"/>
      <x:c r="H167" s="74"/>
      <x:c r="I167" s="77"/>
      <x:c r="J167" s="77"/>
      <x:c r="L167" s="74" t="n">
        <x:f>MAX(G167-H167,0)</x:f>
        <x:v>0</x:v>
      </x:c>
      <x:c r="M167" t="str">
        <x:f>IF(A167="","",IF(L167=0,"Paid",IF(AND(I167&lt;&gt;"",TODAY()&gt;I167),"Overdue",IF(H167&gt;0,"Part Paid","Due"))))</x:f>
      </x:c>
    </x:row>
    <x:row r="168">
      <x:c r="A168" s="77"/>
      <x:c r="G168" s="74"/>
      <x:c r="H168" s="74"/>
      <x:c r="I168" s="77"/>
      <x:c r="J168" s="77"/>
      <x:c r="L168" s="74" t="n">
        <x:f>MAX(G168-H168,0)</x:f>
        <x:v>0</x:v>
      </x:c>
      <x:c r="M168" t="str">
        <x:f>IF(A168="","",IF(L168=0,"Paid",IF(AND(I168&lt;&gt;"",TODAY()&gt;I168),"Overdue",IF(H168&gt;0,"Part Paid","Due"))))</x:f>
      </x:c>
    </x:row>
    <x:row r="169">
      <x:c r="A169" s="77"/>
      <x:c r="G169" s="74"/>
      <x:c r="H169" s="74"/>
      <x:c r="I169" s="77"/>
      <x:c r="J169" s="77"/>
      <x:c r="L169" s="74" t="n">
        <x:f>MAX(G169-H169,0)</x:f>
        <x:v>0</x:v>
      </x:c>
      <x:c r="M169" t="str">
        <x:f>IF(A169="","",IF(L169=0,"Paid",IF(AND(I169&lt;&gt;"",TODAY()&gt;I169),"Overdue",IF(H169&gt;0,"Part Paid","Due"))))</x:f>
      </x:c>
    </x:row>
    <x:row r="170">
      <x:c r="A170" s="77"/>
      <x:c r="G170" s="74"/>
      <x:c r="H170" s="74"/>
      <x:c r="I170" s="77"/>
      <x:c r="J170" s="77"/>
      <x:c r="L170" s="74" t="n">
        <x:f>MAX(G170-H170,0)</x:f>
        <x:v>0</x:v>
      </x:c>
      <x:c r="M170" t="str">
        <x:f>IF(A170="","",IF(L170=0,"Paid",IF(AND(I170&lt;&gt;"",TODAY()&gt;I170),"Overdue",IF(H170&gt;0,"Part Paid","Due"))))</x:f>
      </x:c>
    </x:row>
    <x:row r="171">
      <x:c r="A171" s="77"/>
      <x:c r="G171" s="74"/>
      <x:c r="H171" s="74"/>
      <x:c r="I171" s="77"/>
      <x:c r="J171" s="77"/>
      <x:c r="L171" s="74" t="n">
        <x:f>MAX(G171-H171,0)</x:f>
        <x:v>0</x:v>
      </x:c>
      <x:c r="M171" t="str">
        <x:f>IF(A171="","",IF(L171=0,"Paid",IF(AND(I171&lt;&gt;"",TODAY()&gt;I171),"Overdue",IF(H171&gt;0,"Part Paid","Due"))))</x:f>
      </x:c>
    </x:row>
    <x:row r="172">
      <x:c r="A172" s="77"/>
      <x:c r="G172" s="74"/>
      <x:c r="H172" s="74"/>
      <x:c r="I172" s="77"/>
      <x:c r="J172" s="77"/>
      <x:c r="L172" s="74" t="n">
        <x:f>MAX(G172-H172,0)</x:f>
        <x:v>0</x:v>
      </x:c>
      <x:c r="M172" t="str">
        <x:f>IF(A172="","",IF(L172=0,"Paid",IF(AND(I172&lt;&gt;"",TODAY()&gt;I172),"Overdue",IF(H172&gt;0,"Part Paid","Due"))))</x:f>
      </x:c>
    </x:row>
    <x:row r="173">
      <x:c r="A173" s="77"/>
      <x:c r="G173" s="74"/>
      <x:c r="H173" s="74"/>
      <x:c r="I173" s="77"/>
      <x:c r="J173" s="77"/>
      <x:c r="L173" s="74" t="n">
        <x:f>MAX(G173-H173,0)</x:f>
        <x:v>0</x:v>
      </x:c>
      <x:c r="M173" t="str">
        <x:f>IF(A173="","",IF(L173=0,"Paid",IF(AND(I173&lt;&gt;"",TODAY()&gt;I173),"Overdue",IF(H173&gt;0,"Part Paid","Due"))))</x:f>
      </x:c>
    </x:row>
    <x:row r="174">
      <x:c r="A174" s="77"/>
      <x:c r="G174" s="74"/>
      <x:c r="H174" s="74"/>
      <x:c r="I174" s="77"/>
      <x:c r="J174" s="77"/>
      <x:c r="L174" s="74" t="n">
        <x:f>MAX(G174-H174,0)</x:f>
        <x:v>0</x:v>
      </x:c>
      <x:c r="M174" t="str">
        <x:f>IF(A174="","",IF(L174=0,"Paid",IF(AND(I174&lt;&gt;"",TODAY()&gt;I174),"Overdue",IF(H174&gt;0,"Part Paid","Due"))))</x:f>
      </x:c>
    </x:row>
    <x:row r="175">
      <x:c r="A175" s="77"/>
      <x:c r="G175" s="74"/>
      <x:c r="H175" s="74"/>
      <x:c r="I175" s="77"/>
      <x:c r="J175" s="77"/>
      <x:c r="L175" s="74" t="n">
        <x:f>MAX(G175-H175,0)</x:f>
        <x:v>0</x:v>
      </x:c>
      <x:c r="M175" t="str">
        <x:f>IF(A175="","",IF(L175=0,"Paid",IF(AND(I175&lt;&gt;"",TODAY()&gt;I175),"Overdue",IF(H175&gt;0,"Part Paid","Due"))))</x:f>
      </x:c>
    </x:row>
    <x:row r="176">
      <x:c r="A176" s="77"/>
      <x:c r="G176" s="74"/>
      <x:c r="H176" s="74"/>
      <x:c r="I176" s="77"/>
      <x:c r="J176" s="77"/>
      <x:c r="L176" s="74" t="n">
        <x:f>MAX(G176-H176,0)</x:f>
        <x:v>0</x:v>
      </x:c>
      <x:c r="M176" t="str">
        <x:f>IF(A176="","",IF(L176=0,"Paid",IF(AND(I176&lt;&gt;"",TODAY()&gt;I176),"Overdue",IF(H176&gt;0,"Part Paid","Due"))))</x:f>
      </x:c>
    </x:row>
    <x:row r="177">
      <x:c r="A177" s="77"/>
      <x:c r="G177" s="74"/>
      <x:c r="H177" s="74"/>
      <x:c r="I177" s="77"/>
      <x:c r="J177" s="77"/>
      <x:c r="L177" s="74" t="n">
        <x:f>MAX(G177-H177,0)</x:f>
        <x:v>0</x:v>
      </x:c>
      <x:c r="M177" t="str">
        <x:f>IF(A177="","",IF(L177=0,"Paid",IF(AND(I177&lt;&gt;"",TODAY()&gt;I177),"Overdue",IF(H177&gt;0,"Part Paid","Due"))))</x:f>
      </x:c>
    </x:row>
    <x:row r="178">
      <x:c r="A178" s="77"/>
      <x:c r="G178" s="74"/>
      <x:c r="H178" s="74"/>
      <x:c r="I178" s="77"/>
      <x:c r="J178" s="77"/>
      <x:c r="L178" s="74" t="n">
        <x:f>MAX(G178-H178,0)</x:f>
        <x:v>0</x:v>
      </x:c>
      <x:c r="M178" t="str">
        <x:f>IF(A178="","",IF(L178=0,"Paid",IF(AND(I178&lt;&gt;"",TODAY()&gt;I178),"Overdue",IF(H178&gt;0,"Part Paid","Due"))))</x:f>
      </x:c>
    </x:row>
    <x:row r="179">
      <x:c r="A179" s="77"/>
      <x:c r="G179" s="74"/>
      <x:c r="H179" s="74"/>
      <x:c r="I179" s="77"/>
      <x:c r="J179" s="77"/>
      <x:c r="L179" s="74" t="n">
        <x:f>MAX(G179-H179,0)</x:f>
        <x:v>0</x:v>
      </x:c>
      <x:c r="M179" t="str">
        <x:f>IF(A179="","",IF(L179=0,"Paid",IF(AND(I179&lt;&gt;"",TODAY()&gt;I179),"Overdue",IF(H179&gt;0,"Part Paid","Due"))))</x:f>
      </x:c>
    </x:row>
    <x:row r="180">
      <x:c r="A180" s="77"/>
      <x:c r="G180" s="74"/>
      <x:c r="H180" s="74"/>
      <x:c r="I180" s="77"/>
      <x:c r="J180" s="77"/>
      <x:c r="L180" s="74" t="n">
        <x:f>MAX(G180-H180,0)</x:f>
        <x:v>0</x:v>
      </x:c>
      <x:c r="M180" t="str">
        <x:f>IF(A180="","",IF(L180=0,"Paid",IF(AND(I180&lt;&gt;"",TODAY()&gt;I180),"Overdue",IF(H180&gt;0,"Part Paid","Due"))))</x:f>
      </x:c>
    </x:row>
    <x:row r="181">
      <x:c r="A181" s="77"/>
      <x:c r="G181" s="74"/>
      <x:c r="H181" s="74"/>
      <x:c r="I181" s="77"/>
      <x:c r="J181" s="77"/>
      <x:c r="L181" s="74" t="n">
        <x:f>MAX(G181-H181,0)</x:f>
        <x:v>0</x:v>
      </x:c>
      <x:c r="M181" t="str">
        <x:f>IF(A181="","",IF(L181=0,"Paid",IF(AND(I181&lt;&gt;"",TODAY()&gt;I181),"Overdue",IF(H181&gt;0,"Part Paid","Due"))))</x:f>
      </x:c>
    </x:row>
    <x:row r="182">
      <x:c r="A182" s="77"/>
      <x:c r="G182" s="74"/>
      <x:c r="H182" s="74"/>
      <x:c r="I182" s="77"/>
      <x:c r="J182" s="77"/>
      <x:c r="L182" s="74" t="n">
        <x:f>MAX(G182-H182,0)</x:f>
        <x:v>0</x:v>
      </x:c>
      <x:c r="M182" t="str">
        <x:f>IF(A182="","",IF(L182=0,"Paid",IF(AND(I182&lt;&gt;"",TODAY()&gt;I182),"Overdue",IF(H182&gt;0,"Part Paid","Due"))))</x:f>
      </x:c>
    </x:row>
    <x:row r="183">
      <x:c r="A183" s="77"/>
      <x:c r="G183" s="74"/>
      <x:c r="H183" s="74"/>
      <x:c r="I183" s="77"/>
      <x:c r="J183" s="77"/>
      <x:c r="L183" s="74" t="n">
        <x:f>MAX(G183-H183,0)</x:f>
        <x:v>0</x:v>
      </x:c>
      <x:c r="M183" t="str">
        <x:f>IF(A183="","",IF(L183=0,"Paid",IF(AND(I183&lt;&gt;"",TODAY()&gt;I183),"Overdue",IF(H183&gt;0,"Part Paid","Due"))))</x:f>
      </x:c>
    </x:row>
    <x:row r="184">
      <x:c r="A184" s="77"/>
      <x:c r="G184" s="74"/>
      <x:c r="H184" s="74"/>
      <x:c r="I184" s="77"/>
      <x:c r="J184" s="77"/>
      <x:c r="L184" s="74" t="n">
        <x:f>MAX(G184-H184,0)</x:f>
        <x:v>0</x:v>
      </x:c>
      <x:c r="M184" t="str">
        <x:f>IF(A184="","",IF(L184=0,"Paid",IF(AND(I184&lt;&gt;"",TODAY()&gt;I184),"Overdue",IF(H184&gt;0,"Part Paid","Due"))))</x:f>
      </x:c>
    </x:row>
    <x:row r="185">
      <x:c r="A185" s="77"/>
      <x:c r="G185" s="74"/>
      <x:c r="H185" s="74"/>
      <x:c r="I185" s="77"/>
      <x:c r="J185" s="77"/>
      <x:c r="L185" s="74" t="n">
        <x:f>MAX(G185-H185,0)</x:f>
        <x:v>0</x:v>
      </x:c>
      <x:c r="M185" t="str">
        <x:f>IF(A185="","",IF(L185=0,"Paid",IF(AND(I185&lt;&gt;"",TODAY()&gt;I185),"Overdue",IF(H185&gt;0,"Part Paid","Due"))))</x:f>
      </x:c>
    </x:row>
    <x:row r="186">
      <x:c r="A186" s="77"/>
      <x:c r="G186" s="74"/>
      <x:c r="H186" s="74"/>
      <x:c r="I186" s="77"/>
      <x:c r="J186" s="77"/>
      <x:c r="L186" s="74" t="n">
        <x:f>MAX(G186-H186,0)</x:f>
        <x:v>0</x:v>
      </x:c>
      <x:c r="M186" t="str">
        <x:f>IF(A186="","",IF(L186=0,"Paid",IF(AND(I186&lt;&gt;"",TODAY()&gt;I186),"Overdue",IF(H186&gt;0,"Part Paid","Due"))))</x:f>
      </x:c>
    </x:row>
    <x:row r="187">
      <x:c r="A187" s="77"/>
      <x:c r="G187" s="74"/>
      <x:c r="H187" s="74"/>
      <x:c r="I187" s="77"/>
      <x:c r="J187" s="77"/>
      <x:c r="L187" s="74" t="n">
        <x:f>MAX(G187-H187,0)</x:f>
        <x:v>0</x:v>
      </x:c>
      <x:c r="M187" t="str">
        <x:f>IF(A187="","",IF(L187=0,"Paid",IF(AND(I187&lt;&gt;"",TODAY()&gt;I187),"Overdue",IF(H187&gt;0,"Part Paid","Due"))))</x:f>
      </x:c>
    </x:row>
    <x:row r="188">
      <x:c r="A188" s="77"/>
      <x:c r="G188" s="74"/>
      <x:c r="H188" s="74"/>
      <x:c r="I188" s="77"/>
      <x:c r="J188" s="77"/>
      <x:c r="L188" s="74" t="n">
        <x:f>MAX(G188-H188,0)</x:f>
        <x:v>0</x:v>
      </x:c>
      <x:c r="M188" t="str">
        <x:f>IF(A188="","",IF(L188=0,"Paid",IF(AND(I188&lt;&gt;"",TODAY()&gt;I188),"Overdue",IF(H188&gt;0,"Part Paid","Due"))))</x:f>
      </x:c>
    </x:row>
    <x:row r="189">
      <x:c r="A189" s="77"/>
      <x:c r="G189" s="74"/>
      <x:c r="H189" s="74"/>
      <x:c r="I189" s="77"/>
      <x:c r="J189" s="77"/>
      <x:c r="L189" s="74" t="n">
        <x:f>MAX(G189-H189,0)</x:f>
        <x:v>0</x:v>
      </x:c>
      <x:c r="M189" t="str">
        <x:f>IF(A189="","",IF(L189=0,"Paid",IF(AND(I189&lt;&gt;"",TODAY()&gt;I189),"Overdue",IF(H189&gt;0,"Part Paid","Due"))))</x:f>
      </x:c>
    </x:row>
    <x:row r="190">
      <x:c r="A190" s="77"/>
      <x:c r="G190" s="74"/>
      <x:c r="H190" s="74"/>
      <x:c r="I190" s="77"/>
      <x:c r="J190" s="77"/>
      <x:c r="L190" s="74" t="n">
        <x:f>MAX(G190-H190,0)</x:f>
        <x:v>0</x:v>
      </x:c>
      <x:c r="M190" t="str">
        <x:f>IF(A190="","",IF(L190=0,"Paid",IF(AND(I190&lt;&gt;"",TODAY()&gt;I190),"Overdue",IF(H190&gt;0,"Part Paid","Due"))))</x:f>
      </x:c>
    </x:row>
    <x:row r="191">
      <x:c r="A191" s="77"/>
      <x:c r="G191" s="74"/>
      <x:c r="H191" s="74"/>
      <x:c r="I191" s="77"/>
      <x:c r="J191" s="77"/>
      <x:c r="L191" s="74" t="n">
        <x:f>MAX(G191-H191,0)</x:f>
        <x:v>0</x:v>
      </x:c>
      <x:c r="M191" t="str">
        <x:f>IF(A191="","",IF(L191=0,"Paid",IF(AND(I191&lt;&gt;"",TODAY()&gt;I191),"Overdue",IF(H191&gt;0,"Part Paid","Due"))))</x:f>
      </x:c>
    </x:row>
    <x:row r="192">
      <x:c r="A192" s="77"/>
      <x:c r="G192" s="74"/>
      <x:c r="H192" s="74"/>
      <x:c r="I192" s="77"/>
      <x:c r="J192" s="77"/>
      <x:c r="L192" s="74" t="n">
        <x:f>MAX(G192-H192,0)</x:f>
        <x:v>0</x:v>
      </x:c>
      <x:c r="M192" t="str">
        <x:f>IF(A192="","",IF(L192=0,"Paid",IF(AND(I192&lt;&gt;"",TODAY()&gt;I192),"Overdue",IF(H192&gt;0,"Part Paid","Due"))))</x:f>
      </x:c>
    </x:row>
    <x:row r="193">
      <x:c r="A193" s="77"/>
      <x:c r="G193" s="74"/>
      <x:c r="H193" s="74"/>
      <x:c r="I193" s="77"/>
      <x:c r="J193" s="77"/>
      <x:c r="L193" s="74" t="n">
        <x:f>MAX(G193-H193,0)</x:f>
        <x:v>0</x:v>
      </x:c>
      <x:c r="M193" t="str">
        <x:f>IF(A193="","",IF(L193=0,"Paid",IF(AND(I193&lt;&gt;"",TODAY()&gt;I193),"Overdue",IF(H193&gt;0,"Part Paid","Due"))))</x:f>
      </x:c>
    </x:row>
    <x:row r="194">
      <x:c r="A194" s="77"/>
      <x:c r="G194" s="74"/>
      <x:c r="H194" s="74"/>
      <x:c r="I194" s="77"/>
      <x:c r="J194" s="77"/>
      <x:c r="L194" s="74" t="n">
        <x:f>MAX(G194-H194,0)</x:f>
        <x:v>0</x:v>
      </x:c>
      <x:c r="M194" t="str">
        <x:f>IF(A194="","",IF(L194=0,"Paid",IF(AND(I194&lt;&gt;"",TODAY()&gt;I194),"Overdue",IF(H194&gt;0,"Part Paid","Due"))))</x:f>
      </x:c>
    </x:row>
    <x:row r="195">
      <x:c r="A195" s="77"/>
      <x:c r="G195" s="74"/>
      <x:c r="H195" s="74"/>
      <x:c r="I195" s="77"/>
      <x:c r="J195" s="77"/>
      <x:c r="L195" s="74" t="n">
        <x:f>MAX(G195-H195,0)</x:f>
        <x:v>0</x:v>
      </x:c>
      <x:c r="M195" t="str">
        <x:f>IF(A195="","",IF(L195=0,"Paid",IF(AND(I195&lt;&gt;"",TODAY()&gt;I195),"Overdue",IF(H195&gt;0,"Part Paid","Due"))))</x:f>
      </x:c>
    </x:row>
    <x:row r="196">
      <x:c r="A196" s="77"/>
      <x:c r="G196" s="74"/>
      <x:c r="H196" s="74"/>
      <x:c r="I196" s="77"/>
      <x:c r="J196" s="77"/>
      <x:c r="L196" s="74" t="n">
        <x:f>MAX(G196-H196,0)</x:f>
        <x:v>0</x:v>
      </x:c>
      <x:c r="M196" t="str">
        <x:f>IF(A196="","",IF(L196=0,"Paid",IF(AND(I196&lt;&gt;"",TODAY()&gt;I196),"Overdue",IF(H196&gt;0,"Part Paid","Due"))))</x:f>
      </x:c>
    </x:row>
    <x:row r="197">
      <x:c r="A197" s="77"/>
      <x:c r="G197" s="74"/>
      <x:c r="H197" s="74"/>
      <x:c r="I197" s="77"/>
      <x:c r="J197" s="77"/>
      <x:c r="L197" s="74" t="n">
        <x:f>MAX(G197-H197,0)</x:f>
        <x:v>0</x:v>
      </x:c>
      <x:c r="M197" t="str">
        <x:f>IF(A197="","",IF(L197=0,"Paid",IF(AND(I197&lt;&gt;"",TODAY()&gt;I197),"Overdue",IF(H197&gt;0,"Part Paid","Due"))))</x:f>
      </x:c>
    </x:row>
    <x:row r="198">
      <x:c r="A198" s="77"/>
      <x:c r="G198" s="74"/>
      <x:c r="H198" s="74"/>
      <x:c r="I198" s="77"/>
      <x:c r="J198" s="77"/>
      <x:c r="L198" s="74" t="n">
        <x:f>MAX(G198-H198,0)</x:f>
        <x:v>0</x:v>
      </x:c>
      <x:c r="M198" t="str">
        <x:f>IF(A198="","",IF(L198=0,"Paid",IF(AND(I198&lt;&gt;"",TODAY()&gt;I198),"Overdue",IF(H198&gt;0,"Part Paid","Due"))))</x:f>
      </x:c>
    </x:row>
    <x:row r="199">
      <x:c r="A199" s="77"/>
      <x:c r="G199" s="74"/>
      <x:c r="H199" s="74"/>
      <x:c r="I199" s="77"/>
      <x:c r="J199" s="77"/>
      <x:c r="L199" s="74" t="n">
        <x:f>MAX(G199-H199,0)</x:f>
        <x:v>0</x:v>
      </x:c>
      <x:c r="M199" t="str">
        <x:f>IF(A199="","",IF(L199=0,"Paid",IF(AND(I199&lt;&gt;"",TODAY()&gt;I199),"Overdue",IF(H199&gt;0,"Part Paid","Due"))))</x:f>
      </x:c>
    </x:row>
    <x:row r="200">
      <x:c r="A200" s="77"/>
      <x:c r="G200" s="74"/>
      <x:c r="H200" s="74"/>
      <x:c r="I200" s="77"/>
      <x:c r="J200" s="77"/>
      <x:c r="L200" s="74" t="n">
        <x:f>MAX(G200-H200,0)</x:f>
        <x:v>0</x:v>
      </x:c>
      <x:c r="M200" t="str">
        <x:f>IF(A200="","",IF(L200=0,"Paid",IF(AND(I200&lt;&gt;"",TODAY()&gt;I200),"Overdue",IF(H200&gt;0,"Part Paid","Due"))))</x:f>
      </x:c>
    </x:row>
    <x:row r="201">
      <x:c r="A201" s="77"/>
      <x:c r="G201" s="74"/>
      <x:c r="H201" s="74"/>
      <x:c r="I201" s="77"/>
      <x:c r="J201" s="77"/>
      <x:c r="L201" s="74" t="n">
        <x:f>MAX(G201-H201,0)</x:f>
        <x:v>0</x:v>
      </x:c>
      <x:c r="M201" t="str">
        <x:f>IF(A201="","",IF(L201=0,"Paid",IF(AND(I201&lt;&gt;"",TODAY()&gt;I201),"Overdue",IF(H201&gt;0,"Part Paid","Due"))))</x:f>
      </x:c>
    </x:row>
    <x:row r="202">
      <x:c r="A202" s="77"/>
      <x:c r="G202" s="74"/>
      <x:c r="H202" s="74"/>
      <x:c r="I202" s="77"/>
      <x:c r="J202" s="77"/>
      <x:c r="L202" s="74" t="n">
        <x:f>MAX(G202-H202,0)</x:f>
        <x:v>0</x:v>
      </x:c>
      <x:c r="M202" t="str">
        <x:f>IF(A202="","",IF(L202=0,"Paid",IF(AND(I202&lt;&gt;"",TODAY()&gt;I202),"Overdue",IF(H202&gt;0,"Part Paid","Due"))))</x:f>
      </x:c>
    </x:row>
    <x:row r="203">
      <x:c r="A203" s="77"/>
      <x:c r="G203" s="74"/>
      <x:c r="H203" s="74"/>
      <x:c r="I203" s="77"/>
      <x:c r="J203" s="77"/>
      <x:c r="L203" s="74" t="n">
        <x:f>MAX(G203-H203,0)</x:f>
        <x:v>0</x:v>
      </x:c>
      <x:c r="M203" t="str">
        <x:f>IF(A203="","",IF(L203=0,"Paid",IF(AND(I203&lt;&gt;"",TODAY()&gt;I203),"Overdue",IF(H203&gt;0,"Part Paid","Due"))))</x:f>
      </x:c>
    </x:row>
    <x:row r="204">
      <x:c r="A204" s="77"/>
      <x:c r="G204" s="74"/>
      <x:c r="H204" s="74"/>
      <x:c r="I204" s="77"/>
      <x:c r="J204" s="77"/>
      <x:c r="L204" s="74" t="n">
        <x:f>MAX(G204-H204,0)</x:f>
        <x:v>0</x:v>
      </x:c>
      <x:c r="M204" t="str">
        <x:f>IF(A204="","",IF(L204=0,"Paid",IF(AND(I204&lt;&gt;"",TODAY()&gt;I204),"Overdue",IF(H204&gt;0,"Part Paid","Due"))))</x:f>
      </x:c>
    </x:row>
    <x:row r="205">
      <x:c r="A205" s="77"/>
      <x:c r="G205" s="74"/>
      <x:c r="H205" s="74"/>
      <x:c r="I205" s="77"/>
      <x:c r="J205" s="77"/>
      <x:c r="L205" s="74" t="n">
        <x:f>MAX(G205-H205,0)</x:f>
        <x:v>0</x:v>
      </x:c>
      <x:c r="M205" t="str">
        <x:f>IF(A205="","",IF(L205=0,"Paid",IF(AND(I205&lt;&gt;"",TODAY()&gt;I205),"Overdue",IF(H205&gt;0,"Part Paid","Due"))))</x:f>
      </x:c>
    </x:row>
    <x:row r="206">
      <x:c r="A206" s="77"/>
      <x:c r="G206" s="74"/>
      <x:c r="H206" s="74"/>
      <x:c r="I206" s="77"/>
      <x:c r="J206" s="77"/>
      <x:c r="L206" s="74" t="n">
        <x:f>MAX(G206-H206,0)</x:f>
        <x:v>0</x:v>
      </x:c>
      <x:c r="M206" t="str">
        <x:f>IF(A206="","",IF(L206=0,"Paid",IF(AND(I206&lt;&gt;"",TODAY()&gt;I206),"Overdue",IF(H206&gt;0,"Part Paid","Due"))))</x:f>
      </x:c>
    </x:row>
    <x:row r="207">
      <x:c r="A207" s="77"/>
      <x:c r="G207" s="74"/>
      <x:c r="H207" s="74"/>
      <x:c r="I207" s="77"/>
      <x:c r="J207" s="77"/>
      <x:c r="L207" s="74" t="n">
        <x:f>MAX(G207-H207,0)</x:f>
        <x:v>0</x:v>
      </x:c>
      <x:c r="M207" t="str">
        <x:f>IF(A207="","",IF(L207=0,"Paid",IF(AND(I207&lt;&gt;"",TODAY()&gt;I207),"Overdue",IF(H207&gt;0,"Part Paid","Due"))))</x:f>
      </x:c>
    </x:row>
    <x:row r="208">
      <x:c r="A208" s="77"/>
      <x:c r="G208" s="74"/>
      <x:c r="H208" s="74"/>
      <x:c r="I208" s="77"/>
      <x:c r="J208" s="77"/>
      <x:c r="L208" s="74" t="n">
        <x:f>MAX(G208-H208,0)</x:f>
        <x:v>0</x:v>
      </x:c>
      <x:c r="M208" t="str">
        <x:f>IF(A208="","",IF(L208=0,"Paid",IF(AND(I208&lt;&gt;"",TODAY()&gt;I208),"Overdue",IF(H208&gt;0,"Part Paid","Due"))))</x:f>
      </x:c>
    </x:row>
    <x:row r="209">
      <x:c r="A209" s="77"/>
      <x:c r="G209" s="74"/>
      <x:c r="H209" s="74"/>
      <x:c r="I209" s="77"/>
      <x:c r="J209" s="77"/>
      <x:c r="L209" s="74" t="n">
        <x:f>MAX(G209-H209,0)</x:f>
        <x:v>0</x:v>
      </x:c>
      <x:c r="M209" t="str">
        <x:f>IF(A209="","",IF(L209=0,"Paid",IF(AND(I209&lt;&gt;"",TODAY()&gt;I209),"Overdue",IF(H209&gt;0,"Part Paid","Due"))))</x:f>
      </x:c>
    </x:row>
    <x:row r="210">
      <x:c r="A210" s="77"/>
      <x:c r="G210" s="74"/>
      <x:c r="H210" s="74"/>
      <x:c r="I210" s="77"/>
      <x:c r="J210" s="77"/>
      <x:c r="L210" s="74" t="n">
        <x:f>MAX(G210-H210,0)</x:f>
        <x:v>0</x:v>
      </x:c>
      <x:c r="M210" t="str">
        <x:f>IF(A210="","",IF(L210=0,"Paid",IF(AND(I210&lt;&gt;"",TODAY()&gt;I210),"Overdue",IF(H210&gt;0,"Part Paid","Due"))))</x:f>
      </x:c>
    </x:row>
    <x:row r="211">
      <x:c r="A211" s="77"/>
      <x:c r="G211" s="74"/>
      <x:c r="H211" s="74"/>
      <x:c r="I211" s="77"/>
      <x:c r="J211" s="77"/>
      <x:c r="L211" s="74" t="n">
        <x:f>MAX(G211-H211,0)</x:f>
        <x:v>0</x:v>
      </x:c>
      <x:c r="M211" t="str">
        <x:f>IF(A211="","",IF(L211=0,"Paid",IF(AND(I211&lt;&gt;"",TODAY()&gt;I211),"Overdue",IF(H211&gt;0,"Part Paid","Due"))))</x:f>
      </x:c>
    </x:row>
    <x:row r="212">
      <x:c r="A212" s="77"/>
      <x:c r="G212" s="74"/>
      <x:c r="H212" s="74"/>
      <x:c r="I212" s="77"/>
      <x:c r="J212" s="77"/>
      <x:c r="L212" s="74" t="n">
        <x:f>MAX(G212-H212,0)</x:f>
        <x:v>0</x:v>
      </x:c>
      <x:c r="M212" t="str">
        <x:f>IF(A212="","",IF(L212=0,"Paid",IF(AND(I212&lt;&gt;"",TODAY()&gt;I212),"Overdue",IF(H212&gt;0,"Part Paid","Due"))))</x:f>
      </x:c>
    </x:row>
    <x:row r="213">
      <x:c r="A213" s="77"/>
      <x:c r="G213" s="74"/>
      <x:c r="H213" s="74"/>
      <x:c r="I213" s="77"/>
      <x:c r="J213" s="77"/>
      <x:c r="L213" s="74" t="n">
        <x:f>MAX(G213-H213,0)</x:f>
        <x:v>0</x:v>
      </x:c>
      <x:c r="M213" t="str">
        <x:f>IF(A213="","",IF(L213=0,"Paid",IF(AND(I213&lt;&gt;"",TODAY()&gt;I213),"Overdue",IF(H213&gt;0,"Part Paid","Due"))))</x:f>
      </x:c>
    </x:row>
    <x:row r="214">
      <x:c r="A214" s="77"/>
      <x:c r="G214" s="74"/>
      <x:c r="H214" s="74"/>
      <x:c r="I214" s="77"/>
      <x:c r="J214" s="77"/>
      <x:c r="L214" s="74" t="n">
        <x:f>MAX(G214-H214,0)</x:f>
        <x:v>0</x:v>
      </x:c>
      <x:c r="M214" t="str">
        <x:f>IF(A214="","",IF(L214=0,"Paid",IF(AND(I214&lt;&gt;"",TODAY()&gt;I214),"Overdue",IF(H214&gt;0,"Part Paid","Due"))))</x:f>
      </x:c>
    </x:row>
    <x:row r="215">
      <x:c r="A215" s="77"/>
      <x:c r="G215" s="74"/>
      <x:c r="H215" s="74"/>
      <x:c r="I215" s="77"/>
      <x:c r="J215" s="77"/>
      <x:c r="L215" s="74" t="n">
        <x:f>MAX(G215-H215,0)</x:f>
        <x:v>0</x:v>
      </x:c>
      <x:c r="M215" t="str">
        <x:f>IF(A215="","",IF(L215=0,"Paid",IF(AND(I215&lt;&gt;"",TODAY()&gt;I215),"Overdue",IF(H215&gt;0,"Part Paid","Due"))))</x:f>
      </x:c>
    </x:row>
    <x:row r="216">
      <x:c r="A216" s="77"/>
      <x:c r="G216" s="74"/>
      <x:c r="H216" s="74"/>
      <x:c r="I216" s="77"/>
      <x:c r="J216" s="77"/>
      <x:c r="L216" s="74" t="n">
        <x:f>MAX(G216-H216,0)</x:f>
        <x:v>0</x:v>
      </x:c>
      <x:c r="M216" t="str">
        <x:f>IF(A216="","",IF(L216=0,"Paid",IF(AND(I216&lt;&gt;"",TODAY()&gt;I216),"Overdue",IF(H216&gt;0,"Part Paid","Due"))))</x:f>
      </x:c>
    </x:row>
    <x:row r="217">
      <x:c r="A217" s="77"/>
      <x:c r="G217" s="74"/>
      <x:c r="H217" s="74"/>
      <x:c r="I217" s="77"/>
      <x:c r="J217" s="77"/>
      <x:c r="L217" s="74" t="n">
        <x:f>MAX(G217-H217,0)</x:f>
        <x:v>0</x:v>
      </x:c>
      <x:c r="M217" t="str">
        <x:f>IF(A217="","",IF(L217=0,"Paid",IF(AND(I217&lt;&gt;"",TODAY()&gt;I217),"Overdue",IF(H217&gt;0,"Part Paid","Due"))))</x:f>
      </x:c>
    </x:row>
    <x:row r="218">
      <x:c r="A218" s="77"/>
      <x:c r="G218" s="74"/>
      <x:c r="H218" s="74"/>
      <x:c r="I218" s="77"/>
      <x:c r="J218" s="77"/>
      <x:c r="L218" s="74" t="n">
        <x:f>MAX(G218-H218,0)</x:f>
        <x:v>0</x:v>
      </x:c>
      <x:c r="M218" t="str">
        <x:f>IF(A218="","",IF(L218=0,"Paid",IF(AND(I218&lt;&gt;"",TODAY()&gt;I218),"Overdue",IF(H218&gt;0,"Part Paid","Due"))))</x:f>
      </x:c>
    </x:row>
    <x:row r="219">
      <x:c r="A219" s="77"/>
      <x:c r="G219" s="74"/>
      <x:c r="H219" s="74"/>
      <x:c r="I219" s="77"/>
      <x:c r="J219" s="77"/>
      <x:c r="L219" s="74" t="n">
        <x:f>MAX(G219-H219,0)</x:f>
        <x:v>0</x:v>
      </x:c>
      <x:c r="M219" t="str">
        <x:f>IF(A219="","",IF(L219=0,"Paid",IF(AND(I219&lt;&gt;"",TODAY()&gt;I219),"Overdue",IF(H219&gt;0,"Part Paid","Due"))))</x:f>
      </x:c>
    </x:row>
    <x:row r="220">
      <x:c r="A220" s="77"/>
      <x:c r="G220" s="74"/>
      <x:c r="H220" s="74"/>
      <x:c r="I220" s="77"/>
      <x:c r="J220" s="77"/>
      <x:c r="L220" s="74" t="n">
        <x:f>MAX(G220-H220,0)</x:f>
        <x:v>0</x:v>
      </x:c>
      <x:c r="M220" t="str">
        <x:f>IF(A220="","",IF(L220=0,"Paid",IF(AND(I220&lt;&gt;"",TODAY()&gt;I220),"Overdue",IF(H220&gt;0,"Part Paid","Due"))))</x:f>
      </x:c>
    </x:row>
    <x:row r="221">
      <x:c r="A221" s="77"/>
      <x:c r="G221" s="74"/>
      <x:c r="H221" s="74"/>
      <x:c r="I221" s="77"/>
      <x:c r="J221" s="77"/>
      <x:c r="L221" s="74" t="n">
        <x:f>MAX(G221-H221,0)</x:f>
        <x:v>0</x:v>
      </x:c>
      <x:c r="M221" t="str">
        <x:f>IF(A221="","",IF(L221=0,"Paid",IF(AND(I221&lt;&gt;"",TODAY()&gt;I221),"Overdue",IF(H221&gt;0,"Part Paid","Due"))))</x:f>
      </x:c>
    </x:row>
    <x:row r="222">
      <x:c r="A222" s="77"/>
      <x:c r="G222" s="74"/>
      <x:c r="H222" s="74"/>
      <x:c r="I222" s="77"/>
      <x:c r="J222" s="77"/>
      <x:c r="L222" s="74" t="n">
        <x:f>MAX(G222-H222,0)</x:f>
        <x:v>0</x:v>
      </x:c>
      <x:c r="M222" t="str">
        <x:f>IF(A222="","",IF(L222=0,"Paid",IF(AND(I222&lt;&gt;"",TODAY()&gt;I222),"Overdue",IF(H222&gt;0,"Part Paid","Due"))))</x:f>
      </x:c>
    </x:row>
    <x:row r="223">
      <x:c r="A223" s="77"/>
      <x:c r="G223" s="74"/>
      <x:c r="H223" s="74"/>
      <x:c r="I223" s="77"/>
      <x:c r="J223" s="77"/>
      <x:c r="L223" s="74" t="n">
        <x:f>MAX(G223-H223,0)</x:f>
        <x:v>0</x:v>
      </x:c>
      <x:c r="M223" t="str">
        <x:f>IF(A223="","",IF(L223=0,"Paid",IF(AND(I223&lt;&gt;"",TODAY()&gt;I223),"Overdue",IF(H223&gt;0,"Part Paid","Due"))))</x:f>
      </x:c>
    </x:row>
    <x:row r="224">
      <x:c r="A224" s="77"/>
      <x:c r="G224" s="74"/>
      <x:c r="H224" s="74"/>
      <x:c r="I224" s="77"/>
      <x:c r="J224" s="77"/>
      <x:c r="L224" s="74" t="n">
        <x:f>MAX(G224-H224,0)</x:f>
        <x:v>0</x:v>
      </x:c>
      <x:c r="M224" t="str">
        <x:f>IF(A224="","",IF(L224=0,"Paid",IF(AND(I224&lt;&gt;"",TODAY()&gt;I224),"Overdue",IF(H224&gt;0,"Part Paid","Due"))))</x:f>
      </x:c>
    </x:row>
    <x:row r="225">
      <x:c r="A225" s="77"/>
      <x:c r="G225" s="74"/>
      <x:c r="H225" s="74"/>
      <x:c r="I225" s="77"/>
      <x:c r="J225" s="77"/>
      <x:c r="L225" s="74" t="n">
        <x:f>MAX(G225-H225,0)</x:f>
        <x:v>0</x:v>
      </x:c>
      <x:c r="M225" t="str">
        <x:f>IF(A225="","",IF(L225=0,"Paid",IF(AND(I225&lt;&gt;"",TODAY()&gt;I225),"Overdue",IF(H225&gt;0,"Part Paid","Due"))))</x:f>
      </x:c>
    </x:row>
    <x:row r="226">
      <x:c r="A226" s="77"/>
      <x:c r="G226" s="74"/>
      <x:c r="H226" s="74"/>
      <x:c r="I226" s="77"/>
      <x:c r="J226" s="77"/>
      <x:c r="L226" s="74" t="n">
        <x:f>MAX(G226-H226,0)</x:f>
        <x:v>0</x:v>
      </x:c>
      <x:c r="M226" t="str">
        <x:f>IF(A226="","",IF(L226=0,"Paid",IF(AND(I226&lt;&gt;"",TODAY()&gt;I226),"Overdue",IF(H226&gt;0,"Part Paid","Due"))))</x:f>
      </x:c>
    </x:row>
    <x:row r="227">
      <x:c r="A227" s="77"/>
      <x:c r="G227" s="74"/>
      <x:c r="H227" s="74"/>
      <x:c r="I227" s="77"/>
      <x:c r="J227" s="77"/>
      <x:c r="L227" s="74" t="n">
        <x:f>MAX(G227-H227,0)</x:f>
        <x:v>0</x:v>
      </x:c>
      <x:c r="M227" t="str">
        <x:f>IF(A227="","",IF(L227=0,"Paid",IF(AND(I227&lt;&gt;"",TODAY()&gt;I227),"Overdue",IF(H227&gt;0,"Part Paid","Due"))))</x:f>
      </x:c>
    </x:row>
    <x:row r="228">
      <x:c r="A228" s="77"/>
      <x:c r="G228" s="74"/>
      <x:c r="H228" s="74"/>
      <x:c r="I228" s="77"/>
      <x:c r="J228" s="77"/>
      <x:c r="L228" s="74" t="n">
        <x:f>MAX(G228-H228,0)</x:f>
        <x:v>0</x:v>
      </x:c>
      <x:c r="M228" t="str">
        <x:f>IF(A228="","",IF(L228=0,"Paid",IF(AND(I228&lt;&gt;"",TODAY()&gt;I228),"Overdue",IF(H228&gt;0,"Part Paid","Due"))))</x:f>
      </x:c>
    </x:row>
    <x:row r="229">
      <x:c r="A229" s="77"/>
      <x:c r="G229" s="74"/>
      <x:c r="H229" s="74"/>
      <x:c r="I229" s="77"/>
      <x:c r="J229" s="77"/>
      <x:c r="L229" s="74" t="n">
        <x:f>MAX(G229-H229,0)</x:f>
        <x:v>0</x:v>
      </x:c>
      <x:c r="M229" t="str">
        <x:f>IF(A229="","",IF(L229=0,"Paid",IF(AND(I229&lt;&gt;"",TODAY()&gt;I229),"Overdue",IF(H229&gt;0,"Part Paid","Due"))))</x:f>
      </x:c>
    </x:row>
    <x:row r="230">
      <x:c r="A230" s="77"/>
      <x:c r="G230" s="74"/>
      <x:c r="H230" s="74"/>
      <x:c r="I230" s="77"/>
      <x:c r="J230" s="77"/>
      <x:c r="L230" s="74" t="n">
        <x:f>MAX(G230-H230,0)</x:f>
        <x:v>0</x:v>
      </x:c>
      <x:c r="M230" t="str">
        <x:f>IF(A230="","",IF(L230=0,"Paid",IF(AND(I230&lt;&gt;"",TODAY()&gt;I230),"Overdue",IF(H230&gt;0,"Part Paid","Due"))))</x:f>
      </x:c>
    </x:row>
    <x:row r="231">
      <x:c r="A231" s="77"/>
      <x:c r="G231" s="74"/>
      <x:c r="H231" s="74"/>
      <x:c r="I231" s="77"/>
      <x:c r="J231" s="77"/>
      <x:c r="L231" s="74" t="n">
        <x:f>MAX(G231-H231,0)</x:f>
        <x:v>0</x:v>
      </x:c>
      <x:c r="M231" t="str">
        <x:f>IF(A231="","",IF(L231=0,"Paid",IF(AND(I231&lt;&gt;"",TODAY()&gt;I231),"Overdue",IF(H231&gt;0,"Part Paid","Due"))))</x:f>
      </x:c>
    </x:row>
    <x:row r="232">
      <x:c r="A232" s="77"/>
      <x:c r="G232" s="74"/>
      <x:c r="H232" s="74"/>
      <x:c r="I232" s="77"/>
      <x:c r="J232" s="77"/>
      <x:c r="L232" s="74" t="n">
        <x:f>MAX(G232-H232,0)</x:f>
        <x:v>0</x:v>
      </x:c>
      <x:c r="M232" t="str">
        <x:f>IF(A232="","",IF(L232=0,"Paid",IF(AND(I232&lt;&gt;"",TODAY()&gt;I232),"Overdue",IF(H232&gt;0,"Part Paid","Due"))))</x:f>
      </x:c>
    </x:row>
    <x:row r="233">
      <x:c r="A233" s="77"/>
      <x:c r="G233" s="74"/>
      <x:c r="H233" s="74"/>
      <x:c r="I233" s="77"/>
      <x:c r="J233" s="77"/>
      <x:c r="L233" s="74" t="n">
        <x:f>MAX(G233-H233,0)</x:f>
        <x:v>0</x:v>
      </x:c>
      <x:c r="M233" t="str">
        <x:f>IF(A233="","",IF(L233=0,"Paid",IF(AND(I233&lt;&gt;"",TODAY()&gt;I233),"Overdue",IF(H233&gt;0,"Part Paid","Due"))))</x:f>
      </x:c>
    </x:row>
    <x:row r="234">
      <x:c r="A234" s="77"/>
      <x:c r="G234" s="74"/>
      <x:c r="H234" s="74"/>
      <x:c r="I234" s="77"/>
      <x:c r="J234" s="77"/>
      <x:c r="L234" s="74" t="n">
        <x:f>MAX(G234-H234,0)</x:f>
        <x:v>0</x:v>
      </x:c>
      <x:c r="M234" t="str">
        <x:f>IF(A234="","",IF(L234=0,"Paid",IF(AND(I234&lt;&gt;"",TODAY()&gt;I234),"Overdue",IF(H234&gt;0,"Part Paid","Due"))))</x:f>
      </x:c>
    </x:row>
    <x:row r="235">
      <x:c r="A235" s="77"/>
      <x:c r="G235" s="74"/>
      <x:c r="H235" s="74"/>
      <x:c r="I235" s="77"/>
      <x:c r="J235" s="77"/>
      <x:c r="L235" s="74" t="n">
        <x:f>MAX(G235-H235,0)</x:f>
        <x:v>0</x:v>
      </x:c>
      <x:c r="M235" t="str">
        <x:f>IF(A235="","",IF(L235=0,"Paid",IF(AND(I235&lt;&gt;"",TODAY()&gt;I235),"Overdue",IF(H235&gt;0,"Part Paid","Due"))))</x:f>
      </x:c>
    </x:row>
    <x:row r="236">
      <x:c r="A236" s="77"/>
      <x:c r="G236" s="74"/>
      <x:c r="H236" s="74"/>
      <x:c r="I236" s="77"/>
      <x:c r="J236" s="77"/>
      <x:c r="L236" s="74" t="n">
        <x:f>MAX(G236-H236,0)</x:f>
        <x:v>0</x:v>
      </x:c>
      <x:c r="M236" t="str">
        <x:f>IF(A236="","",IF(L236=0,"Paid",IF(AND(I236&lt;&gt;"",TODAY()&gt;I236),"Overdue",IF(H236&gt;0,"Part Paid","Due"))))</x:f>
      </x:c>
    </x:row>
    <x:row r="237">
      <x:c r="A237" s="77"/>
      <x:c r="G237" s="74"/>
      <x:c r="H237" s="74"/>
      <x:c r="I237" s="77"/>
      <x:c r="J237" s="77"/>
      <x:c r="L237" s="74" t="n">
        <x:f>MAX(G237-H237,0)</x:f>
        <x:v>0</x:v>
      </x:c>
      <x:c r="M237" t="str">
        <x:f>IF(A237="","",IF(L237=0,"Paid",IF(AND(I237&lt;&gt;"",TODAY()&gt;I237),"Overdue",IF(H237&gt;0,"Part Paid","Due"))))</x:f>
      </x:c>
    </x:row>
    <x:row r="238">
      <x:c r="A238" s="77"/>
      <x:c r="G238" s="74"/>
      <x:c r="H238" s="74"/>
      <x:c r="I238" s="77"/>
      <x:c r="J238" s="77"/>
      <x:c r="L238" s="74" t="n">
        <x:f>MAX(G238-H238,0)</x:f>
        <x:v>0</x:v>
      </x:c>
      <x:c r="M238" t="str">
        <x:f>IF(A238="","",IF(L238=0,"Paid",IF(AND(I238&lt;&gt;"",TODAY()&gt;I238),"Overdue",IF(H238&gt;0,"Part Paid","Due"))))</x:f>
      </x:c>
    </x:row>
    <x:row r="239">
      <x:c r="A239" s="77"/>
      <x:c r="G239" s="74"/>
      <x:c r="H239" s="74"/>
      <x:c r="I239" s="77"/>
      <x:c r="J239" s="77"/>
      <x:c r="L239" s="74" t="n">
        <x:f>MAX(G239-H239,0)</x:f>
        <x:v>0</x:v>
      </x:c>
      <x:c r="M239" t="str">
        <x:f>IF(A239="","",IF(L239=0,"Paid",IF(AND(I239&lt;&gt;"",TODAY()&gt;I239),"Overdue",IF(H239&gt;0,"Part Paid","Due"))))</x:f>
      </x:c>
    </x:row>
    <x:row r="240">
      <x:c r="A240" s="77"/>
      <x:c r="G240" s="74"/>
      <x:c r="H240" s="74"/>
      <x:c r="I240" s="77"/>
      <x:c r="J240" s="77"/>
      <x:c r="L240" s="74" t="n">
        <x:f>MAX(G240-H240,0)</x:f>
        <x:v>0</x:v>
      </x:c>
      <x:c r="M240" t="str">
        <x:f>IF(A240="","",IF(L240=0,"Paid",IF(AND(I240&lt;&gt;"",TODAY()&gt;I240),"Overdue",IF(H240&gt;0,"Part Paid","Due"))))</x:f>
      </x:c>
    </x:row>
    <x:row r="241">
      <x:c r="A241" s="77"/>
      <x:c r="G241" s="74"/>
      <x:c r="H241" s="74"/>
      <x:c r="I241" s="77"/>
      <x:c r="J241" s="77"/>
      <x:c r="L241" s="74" t="n">
        <x:f>MAX(G241-H241,0)</x:f>
        <x:v>0</x:v>
      </x:c>
      <x:c r="M241" t="str">
        <x:f>IF(A241="","",IF(L241=0,"Paid",IF(AND(I241&lt;&gt;"",TODAY()&gt;I241),"Overdue",IF(H241&gt;0,"Part Paid","Due"))))</x:f>
      </x:c>
    </x:row>
    <x:row r="242">
      <x:c r="A242" s="77"/>
      <x:c r="G242" s="74"/>
      <x:c r="H242" s="74"/>
      <x:c r="I242" s="77"/>
      <x:c r="J242" s="77"/>
      <x:c r="L242" s="74" t="n">
        <x:f>MAX(G242-H242,0)</x:f>
        <x:v>0</x:v>
      </x:c>
      <x:c r="M242" t="str">
        <x:f>IF(A242="","",IF(L242=0,"Paid",IF(AND(I242&lt;&gt;"",TODAY()&gt;I242),"Overdue",IF(H242&gt;0,"Part Paid","Due"))))</x:f>
      </x:c>
    </x:row>
    <x:row r="243">
      <x:c r="A243" s="77"/>
      <x:c r="G243" s="74"/>
      <x:c r="H243" s="74"/>
      <x:c r="I243" s="77"/>
      <x:c r="J243" s="77"/>
      <x:c r="L243" s="74" t="n">
        <x:f>MAX(G243-H243,0)</x:f>
        <x:v>0</x:v>
      </x:c>
      <x:c r="M243" t="str">
        <x:f>IF(A243="","",IF(L243=0,"Paid",IF(AND(I243&lt;&gt;"",TODAY()&gt;I243),"Overdue",IF(H243&gt;0,"Part Paid","Due"))))</x:f>
      </x:c>
    </x:row>
    <x:row r="244">
      <x:c r="A244" s="77"/>
      <x:c r="G244" s="74"/>
      <x:c r="H244" s="74"/>
      <x:c r="I244" s="77"/>
      <x:c r="J244" s="77"/>
      <x:c r="L244" s="74" t="n">
        <x:f>MAX(G244-H244,0)</x:f>
        <x:v>0</x:v>
      </x:c>
      <x:c r="M244" t="str">
        <x:f>IF(A244="","",IF(L244=0,"Paid",IF(AND(I244&lt;&gt;"",TODAY()&gt;I244),"Overdue",IF(H244&gt;0,"Part Paid","Due"))))</x:f>
      </x:c>
    </x:row>
    <x:row r="245">
      <x:c r="A245" s="77"/>
      <x:c r="G245" s="74"/>
      <x:c r="H245" s="74"/>
      <x:c r="I245" s="77"/>
      <x:c r="J245" s="77"/>
      <x:c r="L245" s="74" t="n">
        <x:f>MAX(G245-H245,0)</x:f>
        <x:v>0</x:v>
      </x:c>
      <x:c r="M245" t="str">
        <x:f>IF(A245="","",IF(L245=0,"Paid",IF(AND(I245&lt;&gt;"",TODAY()&gt;I245),"Overdue",IF(H245&gt;0,"Part Paid","Due"))))</x:f>
      </x:c>
    </x:row>
    <x:row r="246">
      <x:c r="A246" s="77"/>
      <x:c r="G246" s="74"/>
      <x:c r="H246" s="74"/>
      <x:c r="I246" s="77"/>
      <x:c r="J246" s="77"/>
      <x:c r="L246" s="74" t="n">
        <x:f>MAX(G246-H246,0)</x:f>
        <x:v>0</x:v>
      </x:c>
      <x:c r="M246" t="str">
        <x:f>IF(A246="","",IF(L246=0,"Paid",IF(AND(I246&lt;&gt;"",TODAY()&gt;I246),"Overdue",IF(H246&gt;0,"Part Paid","Due"))))</x:f>
      </x:c>
    </x:row>
    <x:row r="247">
      <x:c r="A247" s="77"/>
      <x:c r="G247" s="74"/>
      <x:c r="H247" s="74"/>
      <x:c r="I247" s="77"/>
      <x:c r="J247" s="77"/>
      <x:c r="L247" s="74" t="n">
        <x:f>MAX(G247-H247,0)</x:f>
        <x:v>0</x:v>
      </x:c>
      <x:c r="M247" t="str">
        <x:f>IF(A247="","",IF(L247=0,"Paid",IF(AND(I247&lt;&gt;"",TODAY()&gt;I247),"Overdue",IF(H247&gt;0,"Part Paid","Due"))))</x:f>
      </x:c>
    </x:row>
    <x:row r="248">
      <x:c r="A248" s="77"/>
      <x:c r="G248" s="74"/>
      <x:c r="H248" s="74"/>
      <x:c r="I248" s="77"/>
      <x:c r="J248" s="77"/>
      <x:c r="L248" s="74" t="n">
        <x:f>MAX(G248-H248,0)</x:f>
        <x:v>0</x:v>
      </x:c>
      <x:c r="M248" t="str">
        <x:f>IF(A248="","",IF(L248=0,"Paid",IF(AND(I248&lt;&gt;"",TODAY()&gt;I248),"Overdue",IF(H248&gt;0,"Part Paid","Due"))))</x:f>
      </x:c>
    </x:row>
    <x:row r="249">
      <x:c r="A249" s="77"/>
      <x:c r="G249" s="74"/>
      <x:c r="H249" s="74"/>
      <x:c r="I249" s="77"/>
      <x:c r="J249" s="77"/>
      <x:c r="L249" s="74" t="n">
        <x:f>MAX(G249-H249,0)</x:f>
        <x:v>0</x:v>
      </x:c>
      <x:c r="M249" t="str">
        <x:f>IF(A249="","",IF(L249=0,"Paid",IF(AND(I249&lt;&gt;"",TODAY()&gt;I249),"Overdue",IF(H249&gt;0,"Part Paid","Due"))))</x:f>
      </x:c>
    </x:row>
    <x:row r="250">
      <x:c r="A250" s="77"/>
      <x:c r="G250" s="74"/>
      <x:c r="H250" s="74"/>
      <x:c r="I250" s="77"/>
      <x:c r="J250" s="77"/>
      <x:c r="L250" s="74" t="n">
        <x:f>MAX(G250-H250,0)</x:f>
        <x:v>0</x:v>
      </x:c>
      <x:c r="M250" t="str">
        <x:f>IF(A250="","",IF(L250=0,"Paid",IF(AND(I250&lt;&gt;"",TODAY()&gt;I250),"Overdue",IF(H250&gt;0,"Part Paid","Due"))))</x:f>
      </x:c>
    </x:row>
    <x:row r="251">
      <x:c r="A251" s="77"/>
      <x:c r="G251" s="74"/>
      <x:c r="H251" s="74"/>
      <x:c r="I251" s="77"/>
      <x:c r="J251" s="77"/>
      <x:c r="L251" s="74" t="n">
        <x:f>MAX(G251-H251,0)</x:f>
        <x:v>0</x:v>
      </x:c>
      <x:c r="M251" t="str">
        <x:f>IF(A251="","",IF(L251=0,"Paid",IF(AND(I251&lt;&gt;"",TODAY()&gt;I251),"Overdue",IF(H251&gt;0,"Part Paid","Due"))))</x:f>
      </x:c>
    </x:row>
    <x:row r="252">
      <x:c r="A252" s="77"/>
      <x:c r="G252" s="74"/>
      <x:c r="H252" s="74"/>
      <x:c r="I252" s="77"/>
      <x:c r="J252" s="77"/>
      <x:c r="L252" s="74" t="n">
        <x:f>MAX(G252-H252,0)</x:f>
        <x:v>0</x:v>
      </x:c>
      <x:c r="M252" t="str">
        <x:f>IF(A252="","",IF(L252=0,"Paid",IF(AND(I252&lt;&gt;"",TODAY()&gt;I252),"Overdue",IF(H252&gt;0,"Part Paid","Due"))))</x:f>
      </x:c>
    </x:row>
    <x:row r="253">
      <x:c r="A253" s="77"/>
      <x:c r="G253" s="74"/>
      <x:c r="H253" s="74"/>
      <x:c r="I253" s="77"/>
      <x:c r="J253" s="77"/>
      <x:c r="L253" s="74" t="n">
        <x:f>MAX(G253-H253,0)</x:f>
        <x:v>0</x:v>
      </x:c>
      <x:c r="M253" t="str">
        <x:f>IF(A253="","",IF(L253=0,"Paid",IF(AND(I253&lt;&gt;"",TODAY()&gt;I253),"Overdue",IF(H253&gt;0,"Part Paid","Due"))))</x:f>
      </x:c>
    </x:row>
    <x:row r="254">
      <x:c r="A254" s="77"/>
      <x:c r="G254" s="74"/>
      <x:c r="H254" s="74"/>
      <x:c r="I254" s="77"/>
      <x:c r="J254" s="77"/>
      <x:c r="L254" s="74" t="n">
        <x:f>MAX(G254-H254,0)</x:f>
        <x:v>0</x:v>
      </x:c>
      <x:c r="M254" t="str">
        <x:f>IF(A254="","",IF(L254=0,"Paid",IF(AND(I254&lt;&gt;"",TODAY()&gt;I254),"Overdue",IF(H254&gt;0,"Part Paid","Due"))))</x:f>
      </x:c>
    </x:row>
    <x:row r="255">
      <x:c r="A255" s="77"/>
      <x:c r="G255" s="74"/>
      <x:c r="H255" s="74"/>
      <x:c r="I255" s="77"/>
      <x:c r="J255" s="77"/>
      <x:c r="L255" s="74" t="n">
        <x:f>MAX(G255-H255,0)</x:f>
        <x:v>0</x:v>
      </x:c>
      <x:c r="M255" t="str">
        <x:f>IF(A255="","",IF(L255=0,"Paid",IF(AND(I255&lt;&gt;"",TODAY()&gt;I255),"Overdue",IF(H255&gt;0,"Part Paid","Due"))))</x:f>
      </x:c>
    </x:row>
    <x:row r="256">
      <x:c r="A256" s="77"/>
      <x:c r="G256" s="74"/>
      <x:c r="H256" s="74"/>
      <x:c r="I256" s="77"/>
      <x:c r="J256" s="77"/>
      <x:c r="L256" s="74" t="n">
        <x:f>MAX(G256-H256,0)</x:f>
        <x:v>0</x:v>
      </x:c>
      <x:c r="M256" t="str">
        <x:f>IF(A256="","",IF(L256=0,"Paid",IF(AND(I256&lt;&gt;"",TODAY()&gt;I256),"Overdue",IF(H256&gt;0,"Part Paid","Due"))))</x:f>
      </x:c>
    </x:row>
    <x:row r="257">
      <x:c r="A257" s="77"/>
      <x:c r="G257" s="74"/>
      <x:c r="H257" s="74"/>
      <x:c r="I257" s="77"/>
      <x:c r="J257" s="77"/>
      <x:c r="L257" s="74" t="n">
        <x:f>MAX(G257-H257,0)</x:f>
        <x:v>0</x:v>
      </x:c>
      <x:c r="M257" t="str">
        <x:f>IF(A257="","",IF(L257=0,"Paid",IF(AND(I257&lt;&gt;"",TODAY()&gt;I257),"Overdue",IF(H257&gt;0,"Part Paid","Due"))))</x:f>
      </x:c>
    </x:row>
    <x:row r="258">
      <x:c r="A258" s="77"/>
      <x:c r="G258" s="74"/>
      <x:c r="H258" s="74"/>
      <x:c r="I258" s="77"/>
      <x:c r="J258" s="77"/>
      <x:c r="L258" s="74" t="n">
        <x:f>MAX(G258-H258,0)</x:f>
        <x:v>0</x:v>
      </x:c>
      <x:c r="M258" t="str">
        <x:f>IF(A258="","",IF(L258=0,"Paid",IF(AND(I258&lt;&gt;"",TODAY()&gt;I258),"Overdue",IF(H258&gt;0,"Part Paid","Due"))))</x:f>
      </x:c>
    </x:row>
    <x:row r="259">
      <x:c r="A259" s="77"/>
      <x:c r="G259" s="74"/>
      <x:c r="H259" s="74"/>
      <x:c r="I259" s="77"/>
      <x:c r="J259" s="77"/>
      <x:c r="L259" s="74" t="n">
        <x:f>MAX(G259-H259,0)</x:f>
        <x:v>0</x:v>
      </x:c>
      <x:c r="M259" t="str">
        <x:f>IF(A259="","",IF(L259=0,"Paid",IF(AND(I259&lt;&gt;"",TODAY()&gt;I259),"Overdue",IF(H259&gt;0,"Part Paid","Due"))))</x:f>
      </x:c>
    </x:row>
    <x:row r="260">
      <x:c r="A260" s="77"/>
      <x:c r="G260" s="74"/>
      <x:c r="H260" s="74"/>
      <x:c r="I260" s="77"/>
      <x:c r="J260" s="77"/>
      <x:c r="L260" s="74" t="n">
        <x:f>MAX(G260-H260,0)</x:f>
        <x:v>0</x:v>
      </x:c>
      <x:c r="M260" t="str">
        <x:f>IF(A260="","",IF(L260=0,"Paid",IF(AND(I260&lt;&gt;"",TODAY()&gt;I260),"Overdue",IF(H260&gt;0,"Part Paid","Due"))))</x:f>
      </x:c>
    </x:row>
    <x:row r="261">
      <x:c r="A261" s="77"/>
      <x:c r="G261" s="74"/>
      <x:c r="H261" s="74"/>
      <x:c r="I261" s="77"/>
      <x:c r="J261" s="77"/>
      <x:c r="L261" s="74" t="n">
        <x:f>MAX(G261-H261,0)</x:f>
        <x:v>0</x:v>
      </x:c>
      <x:c r="M261" t="str">
        <x:f>IF(A261="","",IF(L261=0,"Paid",IF(AND(I261&lt;&gt;"",TODAY()&gt;I261),"Overdue",IF(H261&gt;0,"Part Paid","Due"))))</x:f>
      </x:c>
    </x:row>
    <x:row r="262">
      <x:c r="A262" s="77"/>
      <x:c r="G262" s="74"/>
      <x:c r="H262" s="74"/>
      <x:c r="I262" s="77"/>
      <x:c r="J262" s="77"/>
      <x:c r="L262" s="74" t="n">
        <x:f>MAX(G262-H262,0)</x:f>
        <x:v>0</x:v>
      </x:c>
      <x:c r="M262" t="str">
        <x:f>IF(A262="","",IF(L262=0,"Paid",IF(AND(I262&lt;&gt;"",TODAY()&gt;I262),"Overdue",IF(H262&gt;0,"Part Paid","Due"))))</x:f>
      </x:c>
    </x:row>
    <x:row r="263">
      <x:c r="A263" s="77"/>
      <x:c r="G263" s="74"/>
      <x:c r="H263" s="74"/>
      <x:c r="I263" s="77"/>
      <x:c r="J263" s="77"/>
      <x:c r="L263" s="74" t="n">
        <x:f>MAX(G263-H263,0)</x:f>
        <x:v>0</x:v>
      </x:c>
      <x:c r="M263" t="str">
        <x:f>IF(A263="","",IF(L263=0,"Paid",IF(AND(I263&lt;&gt;"",TODAY()&gt;I263),"Overdue",IF(H263&gt;0,"Part Paid","Due"))))</x:f>
      </x:c>
    </x:row>
    <x:row r="264">
      <x:c r="A264" s="77"/>
      <x:c r="G264" s="74"/>
      <x:c r="H264" s="74"/>
      <x:c r="I264" s="77"/>
      <x:c r="J264" s="77"/>
      <x:c r="L264" s="74" t="n">
        <x:f>MAX(G264-H264,0)</x:f>
        <x:v>0</x:v>
      </x:c>
      <x:c r="M264" t="str">
        <x:f>IF(A264="","",IF(L264=0,"Paid",IF(AND(I264&lt;&gt;"",TODAY()&gt;I264),"Overdue",IF(H264&gt;0,"Part Paid","Due"))))</x:f>
      </x:c>
    </x:row>
    <x:row r="265">
      <x:c r="A265" s="77"/>
      <x:c r="G265" s="74"/>
      <x:c r="H265" s="74"/>
      <x:c r="I265" s="77"/>
      <x:c r="J265" s="77"/>
      <x:c r="L265" s="74" t="n">
        <x:f>MAX(G265-H265,0)</x:f>
        <x:v>0</x:v>
      </x:c>
      <x:c r="M265" t="str">
        <x:f>IF(A265="","",IF(L265=0,"Paid",IF(AND(I265&lt;&gt;"",TODAY()&gt;I265),"Overdue",IF(H265&gt;0,"Part Paid","Due"))))</x:f>
      </x:c>
    </x:row>
    <x:row r="266">
      <x:c r="A266" s="77"/>
      <x:c r="G266" s="74"/>
      <x:c r="H266" s="74"/>
      <x:c r="I266" s="77"/>
      <x:c r="J266" s="77"/>
      <x:c r="L266" s="74" t="n">
        <x:f>MAX(G266-H266,0)</x:f>
        <x:v>0</x:v>
      </x:c>
      <x:c r="M266" t="str">
        <x:f>IF(A266="","",IF(L266=0,"Paid",IF(AND(I266&lt;&gt;"",TODAY()&gt;I266),"Overdue",IF(H266&gt;0,"Part Paid","Due"))))</x:f>
      </x:c>
    </x:row>
    <x:row r="267">
      <x:c r="A267" s="77"/>
      <x:c r="G267" s="74"/>
      <x:c r="H267" s="74"/>
      <x:c r="I267" s="77"/>
      <x:c r="J267" s="77"/>
      <x:c r="L267" s="74" t="n">
        <x:f>MAX(G267-H267,0)</x:f>
        <x:v>0</x:v>
      </x:c>
      <x:c r="M267" t="str">
        <x:f>IF(A267="","",IF(L267=0,"Paid",IF(AND(I267&lt;&gt;"",TODAY()&gt;I267),"Overdue",IF(H267&gt;0,"Part Paid","Due"))))</x:f>
      </x:c>
    </x:row>
    <x:row r="268">
      <x:c r="A268" s="77"/>
      <x:c r="G268" s="74"/>
      <x:c r="H268" s="74"/>
      <x:c r="I268" s="77"/>
      <x:c r="J268" s="77"/>
      <x:c r="L268" s="74" t="n">
        <x:f>MAX(G268-H268,0)</x:f>
        <x:v>0</x:v>
      </x:c>
      <x:c r="M268" t="str">
        <x:f>IF(A268="","",IF(L268=0,"Paid",IF(AND(I268&lt;&gt;"",TODAY()&gt;I268),"Overdue",IF(H268&gt;0,"Part Paid","Due"))))</x:f>
      </x:c>
    </x:row>
    <x:row r="269">
      <x:c r="A269" s="77"/>
      <x:c r="G269" s="74"/>
      <x:c r="H269" s="74"/>
      <x:c r="I269" s="77"/>
      <x:c r="J269" s="77"/>
      <x:c r="L269" s="74" t="n">
        <x:f>MAX(G269-H269,0)</x:f>
        <x:v>0</x:v>
      </x:c>
      <x:c r="M269" t="str">
        <x:f>IF(A269="","",IF(L269=0,"Paid",IF(AND(I269&lt;&gt;"",TODAY()&gt;I269),"Overdue",IF(H269&gt;0,"Part Paid","Due"))))</x:f>
      </x:c>
    </x:row>
    <x:row r="270">
      <x:c r="A270" s="77"/>
      <x:c r="G270" s="74"/>
      <x:c r="H270" s="74"/>
      <x:c r="I270" s="77"/>
      <x:c r="J270" s="77"/>
      <x:c r="L270" s="74" t="n">
        <x:f>MAX(G270-H270,0)</x:f>
        <x:v>0</x:v>
      </x:c>
      <x:c r="M270" t="str">
        <x:f>IF(A270="","",IF(L270=0,"Paid",IF(AND(I270&lt;&gt;"",TODAY()&gt;I270),"Overdue",IF(H270&gt;0,"Part Paid","Due"))))</x:f>
      </x:c>
    </x:row>
    <x:row r="271">
      <x:c r="A271" s="77"/>
      <x:c r="G271" s="74"/>
      <x:c r="H271" s="74"/>
      <x:c r="I271" s="77"/>
      <x:c r="J271" s="77"/>
      <x:c r="L271" s="74" t="n">
        <x:f>MAX(G271-H271,0)</x:f>
        <x:v>0</x:v>
      </x:c>
      <x:c r="M271" t="str">
        <x:f>IF(A271="","",IF(L271=0,"Paid",IF(AND(I271&lt;&gt;"",TODAY()&gt;I271),"Overdue",IF(H271&gt;0,"Part Paid","Due"))))</x:f>
      </x:c>
    </x:row>
    <x:row r="272">
      <x:c r="A272" s="77"/>
      <x:c r="G272" s="74"/>
      <x:c r="H272" s="74"/>
      <x:c r="I272" s="77"/>
      <x:c r="J272" s="77"/>
      <x:c r="L272" s="74" t="n">
        <x:f>MAX(G272-H272,0)</x:f>
        <x:v>0</x:v>
      </x:c>
      <x:c r="M272" t="str">
        <x:f>IF(A272="","",IF(L272=0,"Paid",IF(AND(I272&lt;&gt;"",TODAY()&gt;I272),"Overdue",IF(H272&gt;0,"Part Paid","Due"))))</x:f>
      </x:c>
    </x:row>
    <x:row r="273">
      <x:c r="A273" s="77"/>
      <x:c r="G273" s="74"/>
      <x:c r="H273" s="74"/>
      <x:c r="I273" s="77"/>
      <x:c r="J273" s="77"/>
      <x:c r="L273" s="74" t="n">
        <x:f>MAX(G273-H273,0)</x:f>
        <x:v>0</x:v>
      </x:c>
      <x:c r="M273" t="str">
        <x:f>IF(A273="","",IF(L273=0,"Paid",IF(AND(I273&lt;&gt;"",TODAY()&gt;I273),"Overdue",IF(H273&gt;0,"Part Paid","Due"))))</x:f>
      </x:c>
    </x:row>
    <x:row r="274">
      <x:c r="A274" s="77"/>
      <x:c r="G274" s="74"/>
      <x:c r="H274" s="74"/>
      <x:c r="I274" s="77"/>
      <x:c r="J274" s="77"/>
      <x:c r="L274" s="74" t="n">
        <x:f>MAX(G274-H274,0)</x:f>
        <x:v>0</x:v>
      </x:c>
      <x:c r="M274" t="str">
        <x:f>IF(A274="","",IF(L274=0,"Paid",IF(AND(I274&lt;&gt;"",TODAY()&gt;I274),"Overdue",IF(H274&gt;0,"Part Paid","Due"))))</x:f>
      </x:c>
    </x:row>
    <x:row r="275">
      <x:c r="A275" s="77"/>
      <x:c r="G275" s="74"/>
      <x:c r="H275" s="74"/>
      <x:c r="I275" s="77"/>
      <x:c r="J275" s="77"/>
      <x:c r="L275" s="74" t="n">
        <x:f>MAX(G275-H275,0)</x:f>
        <x:v>0</x:v>
      </x:c>
      <x:c r="M275" t="str">
        <x:f>IF(A275="","",IF(L275=0,"Paid",IF(AND(I275&lt;&gt;"",TODAY()&gt;I275),"Overdue",IF(H275&gt;0,"Part Paid","Due"))))</x:f>
      </x:c>
    </x:row>
    <x:row r="276">
      <x:c r="A276" s="77"/>
      <x:c r="G276" s="74"/>
      <x:c r="H276" s="74"/>
      <x:c r="I276" s="77"/>
      <x:c r="J276" s="77"/>
      <x:c r="L276" s="74" t="n">
        <x:f>MAX(G276-H276,0)</x:f>
        <x:v>0</x:v>
      </x:c>
      <x:c r="M276" t="str">
        <x:f>IF(A276="","",IF(L276=0,"Paid",IF(AND(I276&lt;&gt;"",TODAY()&gt;I276),"Overdue",IF(H276&gt;0,"Part Paid","Due"))))</x:f>
      </x:c>
    </x:row>
    <x:row r="277">
      <x:c r="A277" s="77"/>
      <x:c r="G277" s="74"/>
      <x:c r="H277" s="74"/>
      <x:c r="I277" s="77"/>
      <x:c r="J277" s="77"/>
      <x:c r="L277" s="74" t="n">
        <x:f>MAX(G277-H277,0)</x:f>
        <x:v>0</x:v>
      </x:c>
      <x:c r="M277" t="str">
        <x:f>IF(A277="","",IF(L277=0,"Paid",IF(AND(I277&lt;&gt;"",TODAY()&gt;I277),"Overdue",IF(H277&gt;0,"Part Paid","Due"))))</x:f>
      </x:c>
    </x:row>
    <x:row r="278">
      <x:c r="A278" s="77"/>
      <x:c r="G278" s="74"/>
      <x:c r="H278" s="74"/>
      <x:c r="I278" s="77"/>
      <x:c r="J278" s="77"/>
      <x:c r="L278" s="74" t="n">
        <x:f>MAX(G278-H278,0)</x:f>
        <x:v>0</x:v>
      </x:c>
      <x:c r="M278" t="str">
        <x:f>IF(A278="","",IF(L278=0,"Paid",IF(AND(I278&lt;&gt;"",TODAY()&gt;I278),"Overdue",IF(H278&gt;0,"Part Paid","Due"))))</x:f>
      </x:c>
    </x:row>
    <x:row r="279">
      <x:c r="A279" s="77"/>
      <x:c r="G279" s="74"/>
      <x:c r="H279" s="74"/>
      <x:c r="I279" s="77"/>
      <x:c r="J279" s="77"/>
      <x:c r="L279" s="74" t="n">
        <x:f>MAX(G279-H279,0)</x:f>
        <x:v>0</x:v>
      </x:c>
      <x:c r="M279" t="str">
        <x:f>IF(A279="","",IF(L279=0,"Paid",IF(AND(I279&lt;&gt;"",TODAY()&gt;I279),"Overdue",IF(H279&gt;0,"Part Paid","Due"))))</x:f>
      </x:c>
    </x:row>
    <x:row r="280">
      <x:c r="A280" s="77"/>
      <x:c r="G280" s="74"/>
      <x:c r="H280" s="74"/>
      <x:c r="I280" s="77"/>
      <x:c r="J280" s="77"/>
      <x:c r="L280" s="74" t="n">
        <x:f>MAX(G280-H280,0)</x:f>
        <x:v>0</x:v>
      </x:c>
      <x:c r="M280" t="str">
        <x:f>IF(A280="","",IF(L280=0,"Paid",IF(AND(I280&lt;&gt;"",TODAY()&gt;I280),"Overdue",IF(H280&gt;0,"Part Paid","Due"))))</x:f>
      </x:c>
    </x:row>
    <x:row r="281">
      <x:c r="A281" s="77"/>
      <x:c r="G281" s="74"/>
      <x:c r="H281" s="74"/>
      <x:c r="I281" s="77"/>
      <x:c r="J281" s="77"/>
      <x:c r="L281" s="74" t="n">
        <x:f>MAX(G281-H281,0)</x:f>
        <x:v>0</x:v>
      </x:c>
      <x:c r="M281" t="str">
        <x:f>IF(A281="","",IF(L281=0,"Paid",IF(AND(I281&lt;&gt;"",TODAY()&gt;I281),"Overdue",IF(H281&gt;0,"Part Paid","Due"))))</x:f>
      </x:c>
    </x:row>
    <x:row r="282">
      <x:c r="A282" s="77"/>
      <x:c r="G282" s="74"/>
      <x:c r="H282" s="74"/>
      <x:c r="I282" s="77"/>
      <x:c r="J282" s="77"/>
      <x:c r="L282" s="74" t="n">
        <x:f>MAX(G282-H282,0)</x:f>
        <x:v>0</x:v>
      </x:c>
      <x:c r="M282" t="str">
        <x:f>IF(A282="","",IF(L282=0,"Paid",IF(AND(I282&lt;&gt;"",TODAY()&gt;I282),"Overdue",IF(H282&gt;0,"Part Paid","Due"))))</x:f>
      </x:c>
    </x:row>
    <x:row r="283">
      <x:c r="A283" s="77"/>
      <x:c r="G283" s="74"/>
      <x:c r="H283" s="74"/>
      <x:c r="I283" s="77"/>
      <x:c r="J283" s="77"/>
      <x:c r="L283" s="74" t="n">
        <x:f>MAX(G283-H283,0)</x:f>
        <x:v>0</x:v>
      </x:c>
      <x:c r="M283" t="str">
        <x:f>IF(A283="","",IF(L283=0,"Paid",IF(AND(I283&lt;&gt;"",TODAY()&gt;I283),"Overdue",IF(H283&gt;0,"Part Paid","Due"))))</x:f>
      </x:c>
    </x:row>
    <x:row r="284">
      <x:c r="A284" s="77"/>
      <x:c r="G284" s="74"/>
      <x:c r="H284" s="74"/>
      <x:c r="I284" s="77"/>
      <x:c r="J284" s="77"/>
      <x:c r="L284" s="74" t="n">
        <x:f>MAX(G284-H284,0)</x:f>
        <x:v>0</x:v>
      </x:c>
      <x:c r="M284" t="str">
        <x:f>IF(A284="","",IF(L284=0,"Paid",IF(AND(I284&lt;&gt;"",TODAY()&gt;I284),"Overdue",IF(H284&gt;0,"Part Paid","Due"))))</x:f>
      </x:c>
    </x:row>
    <x:row r="285">
      <x:c r="A285" s="77"/>
      <x:c r="G285" s="74"/>
      <x:c r="H285" s="74"/>
      <x:c r="I285" s="77"/>
      <x:c r="J285" s="77"/>
      <x:c r="L285" s="74" t="n">
        <x:f>MAX(G285-H285,0)</x:f>
        <x:v>0</x:v>
      </x:c>
      <x:c r="M285" t="str">
        <x:f>IF(A285="","",IF(L285=0,"Paid",IF(AND(I285&lt;&gt;"",TODAY()&gt;I285),"Overdue",IF(H285&gt;0,"Part Paid","Due"))))</x:f>
      </x:c>
    </x:row>
    <x:row r="286">
      <x:c r="A286" s="77"/>
      <x:c r="G286" s="74"/>
      <x:c r="H286" s="74"/>
      <x:c r="I286" s="77"/>
      <x:c r="J286" s="77"/>
      <x:c r="L286" s="74" t="n">
        <x:f>MAX(G286-H286,0)</x:f>
        <x:v>0</x:v>
      </x:c>
      <x:c r="M286" t="str">
        <x:f>IF(A286="","",IF(L286=0,"Paid",IF(AND(I286&lt;&gt;"",TODAY()&gt;I286),"Overdue",IF(H286&gt;0,"Part Paid","Due"))))</x:f>
      </x:c>
    </x:row>
    <x:row r="287">
      <x:c r="A287" s="77"/>
      <x:c r="G287" s="74"/>
      <x:c r="H287" s="74"/>
      <x:c r="I287" s="77"/>
      <x:c r="J287" s="77"/>
      <x:c r="L287" s="74" t="n">
        <x:f>MAX(G287-H287,0)</x:f>
        <x:v>0</x:v>
      </x:c>
      <x:c r="M287" t="str">
        <x:f>IF(A287="","",IF(L287=0,"Paid",IF(AND(I287&lt;&gt;"",TODAY()&gt;I287),"Overdue",IF(H287&gt;0,"Part Paid","Due"))))</x:f>
      </x:c>
    </x:row>
    <x:row r="288">
      <x:c r="A288" s="77"/>
      <x:c r="G288" s="74"/>
      <x:c r="H288" s="74"/>
      <x:c r="I288" s="77"/>
      <x:c r="J288" s="77"/>
      <x:c r="L288" s="74" t="n">
        <x:f>MAX(G288-H288,0)</x:f>
        <x:v>0</x:v>
      </x:c>
      <x:c r="M288" t="str">
        <x:f>IF(A288="","",IF(L288=0,"Paid",IF(AND(I288&lt;&gt;"",TODAY()&gt;I288),"Overdue",IF(H288&gt;0,"Part Paid","Due"))))</x:f>
      </x:c>
    </x:row>
    <x:row r="289">
      <x:c r="A289" s="77"/>
      <x:c r="G289" s="74"/>
      <x:c r="H289" s="74"/>
      <x:c r="I289" s="77"/>
      <x:c r="J289" s="77"/>
      <x:c r="L289" s="74" t="n">
        <x:f>MAX(G289-H289,0)</x:f>
        <x:v>0</x:v>
      </x:c>
      <x:c r="M289" t="str">
        <x:f>IF(A289="","",IF(L289=0,"Paid",IF(AND(I289&lt;&gt;"",TODAY()&gt;I289),"Overdue",IF(H289&gt;0,"Part Paid","Due"))))</x:f>
      </x:c>
    </x:row>
    <x:row r="290">
      <x:c r="A290" s="77"/>
      <x:c r="G290" s="74"/>
      <x:c r="H290" s="74"/>
      <x:c r="I290" s="77"/>
      <x:c r="J290" s="77"/>
      <x:c r="L290" s="74" t="n">
        <x:f>MAX(G290-H290,0)</x:f>
        <x:v>0</x:v>
      </x:c>
      <x:c r="M290" t="str">
        <x:f>IF(A290="","",IF(L290=0,"Paid",IF(AND(I290&lt;&gt;"",TODAY()&gt;I290),"Overdue",IF(H290&gt;0,"Part Paid","Due"))))</x:f>
      </x:c>
    </x:row>
    <x:row r="291">
      <x:c r="A291" s="77"/>
      <x:c r="G291" s="74"/>
      <x:c r="H291" s="74"/>
      <x:c r="I291" s="77"/>
      <x:c r="J291" s="77"/>
      <x:c r="L291" s="74" t="n">
        <x:f>MAX(G291-H291,0)</x:f>
        <x:v>0</x:v>
      </x:c>
      <x:c r="M291" t="str">
        <x:f>IF(A291="","",IF(L291=0,"Paid",IF(AND(I291&lt;&gt;"",TODAY()&gt;I291),"Overdue",IF(H291&gt;0,"Part Paid","Due"))))</x:f>
      </x:c>
    </x:row>
    <x:row r="292">
      <x:c r="A292" s="77"/>
      <x:c r="G292" s="74"/>
      <x:c r="H292" s="74"/>
      <x:c r="I292" s="77"/>
      <x:c r="J292" s="77"/>
      <x:c r="L292" s="74" t="n">
        <x:f>MAX(G292-H292,0)</x:f>
        <x:v>0</x:v>
      </x:c>
      <x:c r="M292" t="str">
        <x:f>IF(A292="","",IF(L292=0,"Paid",IF(AND(I292&lt;&gt;"",TODAY()&gt;I292),"Overdue",IF(H292&gt;0,"Part Paid","Due"))))</x:f>
      </x:c>
    </x:row>
    <x:row r="293">
      <x:c r="A293" s="77"/>
      <x:c r="G293" s="74"/>
      <x:c r="H293" s="74"/>
      <x:c r="I293" s="77"/>
      <x:c r="J293" s="77"/>
      <x:c r="L293" s="74" t="n">
        <x:f>MAX(G293-H293,0)</x:f>
        <x:v>0</x:v>
      </x:c>
      <x:c r="M293" t="str">
        <x:f>IF(A293="","",IF(L293=0,"Paid",IF(AND(I293&lt;&gt;"",TODAY()&gt;I293),"Overdue",IF(H293&gt;0,"Part Paid","Due"))))</x:f>
      </x:c>
    </x:row>
    <x:row r="294">
      <x:c r="A294" s="77"/>
      <x:c r="G294" s="74"/>
      <x:c r="H294" s="74"/>
      <x:c r="I294" s="77"/>
      <x:c r="J294" s="77"/>
      <x:c r="L294" s="74" t="n">
        <x:f>MAX(G294-H294,0)</x:f>
        <x:v>0</x:v>
      </x:c>
      <x:c r="M294" t="str">
        <x:f>IF(A294="","",IF(L294=0,"Paid",IF(AND(I294&lt;&gt;"",TODAY()&gt;I294),"Overdue",IF(H294&gt;0,"Part Paid","Due"))))</x:f>
      </x:c>
    </x:row>
    <x:row r="295">
      <x:c r="A295" s="77"/>
      <x:c r="G295" s="74"/>
      <x:c r="H295" s="74"/>
      <x:c r="I295" s="77"/>
      <x:c r="J295" s="77"/>
      <x:c r="L295" s="74" t="n">
        <x:f>MAX(G295-H295,0)</x:f>
        <x:v>0</x:v>
      </x:c>
      <x:c r="M295" t="str">
        <x:f>IF(A295="","",IF(L295=0,"Paid",IF(AND(I295&lt;&gt;"",TODAY()&gt;I295),"Overdue",IF(H295&gt;0,"Part Paid","Due"))))</x:f>
      </x:c>
    </x:row>
    <x:row r="296">
      <x:c r="A296" s="77"/>
      <x:c r="G296" s="74"/>
      <x:c r="H296" s="74"/>
      <x:c r="I296" s="77"/>
      <x:c r="J296" s="77"/>
      <x:c r="L296" s="74" t="n">
        <x:f>MAX(G296-H296,0)</x:f>
        <x:v>0</x:v>
      </x:c>
      <x:c r="M296" t="str">
        <x:f>IF(A296="","",IF(L296=0,"Paid",IF(AND(I296&lt;&gt;"",TODAY()&gt;I296),"Overdue",IF(H296&gt;0,"Part Paid","Due"))))</x:f>
      </x:c>
    </x:row>
    <x:row r="297">
      <x:c r="A297" s="77"/>
      <x:c r="G297" s="74"/>
      <x:c r="H297" s="74"/>
      <x:c r="I297" s="77"/>
      <x:c r="J297" s="77"/>
      <x:c r="L297" s="74" t="n">
        <x:f>MAX(G297-H297,0)</x:f>
        <x:v>0</x:v>
      </x:c>
      <x:c r="M297" t="str">
        <x:f>IF(A297="","",IF(L297=0,"Paid",IF(AND(I297&lt;&gt;"",TODAY()&gt;I297),"Overdue",IF(H297&gt;0,"Part Paid","Due"))))</x:f>
      </x:c>
    </x:row>
    <x:row r="298">
      <x:c r="A298" s="77"/>
      <x:c r="G298" s="74"/>
      <x:c r="H298" s="74"/>
      <x:c r="I298" s="77"/>
      <x:c r="J298" s="77"/>
      <x:c r="L298" s="74" t="n">
        <x:f>MAX(G298-H298,0)</x:f>
        <x:v>0</x:v>
      </x:c>
      <x:c r="M298" t="str">
        <x:f>IF(A298="","",IF(L298=0,"Paid",IF(AND(I298&lt;&gt;"",TODAY()&gt;I298),"Overdue",IF(H298&gt;0,"Part Paid","Due"))))</x:f>
      </x:c>
    </x:row>
    <x:row r="299">
      <x:c r="A299" s="77"/>
      <x:c r="G299" s="74"/>
      <x:c r="H299" s="74"/>
      <x:c r="I299" s="77"/>
      <x:c r="J299" s="77"/>
      <x:c r="L299" s="74" t="n">
        <x:f>MAX(G299-H299,0)</x:f>
        <x:v>0</x:v>
      </x:c>
      <x:c r="M299" t="str">
        <x:f>IF(A299="","",IF(L299=0,"Paid",IF(AND(I299&lt;&gt;"",TODAY()&gt;I299),"Overdue",IF(H299&gt;0,"Part Paid","Due"))))</x:f>
      </x:c>
    </x:row>
    <x:row r="300">
      <x:c r="A300" s="77"/>
      <x:c r="G300" s="74"/>
      <x:c r="H300" s="74"/>
      <x:c r="I300" s="77"/>
      <x:c r="J300" s="77"/>
      <x:c r="L300" s="74" t="n">
        <x:f>MAX(G300-H300,0)</x:f>
        <x:v>0</x:v>
      </x:c>
      <x:c r="M300" t="str">
        <x:f>IF(A300="","",IF(L300=0,"Paid",IF(AND(I300&lt;&gt;"",TODAY()&gt;I300),"Overdue",IF(H300&gt;0,"Part Paid","Due"))))</x:f>
      </x:c>
    </x:row>
  </x:sheetData>
  <x:dataValidations count="3">
    <x:dataValidation type="list" sqref="B2:B300">
      <x:formula1>'Lists'!$A$2:$A$12</x:formula1>
    </x:dataValidation>
    <x:dataValidation type="list" sqref="D2:D300">
      <x:formula1>'Lists'!$B$2:$B$46</x:formula1>
    </x:dataValidation>
    <x:dataValidation type="list" sqref="K2:K300">
      <x:formula1>'Lists'!$C$2:$C$7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1.220000267028809" hidden="0" customWidth="1"/>
    <x:col min="2" max="2" width="6.329999923706055" hidden="0" customWidth="1"/>
    <x:col min="3" max="3" width="11.5600004196167" hidden="0" customWidth="1"/>
    <x:col min="4" max="4" width="11.220000267028809" hidden="0" customWidth="1"/>
    <x:col min="5" max="5" width="17.780000686645508" hidden="0" customWidth="1"/>
    <x:col min="6" max="6" width="12.779999732971191" hidden="0" customWidth="1"/>
    <x:col min="7" max="7" width="11.5600004196167" hidden="0" customWidth="1"/>
    <x:col min="8" max="8" width="8.670000076293945" hidden="0" customWidth="1"/>
    <x:col min="9" max="9" width="8.329999923706055" hidden="0" customWidth="1"/>
    <x:col min="10" max="10" width="11.779999732971191" hidden="0" customWidth="1"/>
    <x:col min="11" max="11" width="16.559999465942383" hidden="0" customWidth="1"/>
    <x:col min="12" max="12" width="6.110000133514404" hidden="0" customWidth="1"/>
    <x:col min="13" max="13" width="9.890000343322754" hidden="0" customWidth="1"/>
    <x:col min="14" max="14" width="5.110000133514404" hidden="0" customWidth="1"/>
    <x:col min="15" max="15" width="5.440000057220459" hidden="0" customWidth="1"/>
  </x:cols>
  <x:sheetData>
    <x:row r="1">
      <x:c r="A1" s="6" t="str">
        <x:v>Control Name</x:v>
      </x:c>
      <x:c r="B1" s="6" t="str">
        <x:v>Module</x:v>
      </x:c>
      <x:c r="C1" s="6" t="str">
        <x:v>Business Area</x:v>
      </x:c>
      <x:c r="D1" s="6" t="str">
        <x:v>Expense Type</x:v>
      </x:c>
      <x:c r="E1" s="6" t="str">
        <x:v>Counterparty / Vendor</x:v>
      </x:c>
      <x:c r="F1" s="6" t="str">
        <x:v>Suite / Location</x:v>
      </x:c>
      <x:c r="G1" s="6" t="str">
        <x:v>Amount (GHS)</x:v>
      </x:c>
      <x:c r="H1" s="6" t="str">
        <x:v>Frequency</x:v>
      </x:c>
      <x:c r="I1" s="6" t="str">
        <x:v>Start Date</x:v>
      </x:c>
      <x:c r="J1" s="6" t="str">
        <x:v>Next Due Date</x:v>
      </x:c>
      <x:c r="K1" s="6" t="str">
        <x:v>Last Generated Date</x:v>
      </x:c>
      <x:c r="L1" s="6" t="str">
        <x:v>Priority</x:v>
      </x:c>
      <x:c r="M1" s="6" t="str">
        <x:v>Active State</x:v>
      </x:c>
      <x:c r="N1" s="6" t="str">
        <x:v>Notes</x:v>
      </x:c>
      <x:c r="O1" s="6" t="str">
        <x:v>Status</x:v>
      </x:c>
    </x:row>
    <x:row r="2">
      <x:c r="G2" s="74"/>
      <x:c r="I2" s="77"/>
      <x:c r="J2" s="77"/>
      <x:c r="K2" s="77"/>
      <x:c r="O2" t="str">
        <x:f>IF(A2="","",IF(M2="Paused","Paused",IF(J2&lt;TODAY(),"Overdue",IF(J2&lt;=TODAY()+7,"Due Soon","Scheduled"))))</x:f>
      </x:c>
    </x:row>
    <x:row r="3">
      <x:c r="G3" s="74"/>
      <x:c r="I3" s="77"/>
      <x:c r="J3" s="77"/>
      <x:c r="K3" s="77"/>
      <x:c r="O3" t="str">
        <x:f>IF(A3="","",IF(M3="Paused","Paused",IF(J3&lt;TODAY(),"Overdue",IF(J3&lt;=TODAY()+7,"Due Soon","Scheduled"))))</x:f>
      </x:c>
    </x:row>
    <x:row r="4">
      <x:c r="G4" s="74"/>
      <x:c r="I4" s="77"/>
      <x:c r="J4" s="77"/>
      <x:c r="K4" s="77"/>
      <x:c r="O4" t="str">
        <x:f>IF(A4="","",IF(M4="Paused","Paused",IF(J4&lt;TODAY(),"Overdue",IF(J4&lt;=TODAY()+7,"Due Soon","Scheduled"))))</x:f>
      </x:c>
    </x:row>
    <x:row r="5">
      <x:c r="G5" s="74"/>
      <x:c r="I5" s="77"/>
      <x:c r="J5" s="77"/>
      <x:c r="K5" s="77"/>
      <x:c r="O5" t="str">
        <x:f>IF(A5="","",IF(M5="Paused","Paused",IF(J5&lt;TODAY(),"Overdue",IF(J5&lt;=TODAY()+7,"Due Soon","Scheduled"))))</x:f>
      </x:c>
    </x:row>
    <x:row r="6">
      <x:c r="G6" s="74"/>
      <x:c r="I6" s="77"/>
      <x:c r="J6" s="77"/>
      <x:c r="K6" s="77"/>
      <x:c r="O6" t="str">
        <x:f>IF(A6="","",IF(M6="Paused","Paused",IF(J6&lt;TODAY(),"Overdue",IF(J6&lt;=TODAY()+7,"Due Soon","Scheduled"))))</x:f>
      </x:c>
    </x:row>
    <x:row r="7">
      <x:c r="G7" s="74"/>
      <x:c r="I7" s="77"/>
      <x:c r="J7" s="77"/>
      <x:c r="K7" s="77"/>
      <x:c r="O7" t="str">
        <x:f>IF(A7="","",IF(M7="Paused","Paused",IF(J7&lt;TODAY(),"Overdue",IF(J7&lt;=TODAY()+7,"Due Soon","Scheduled"))))</x:f>
      </x:c>
    </x:row>
    <x:row r="8">
      <x:c r="G8" s="74"/>
      <x:c r="I8" s="77"/>
      <x:c r="J8" s="77"/>
      <x:c r="K8" s="77"/>
      <x:c r="O8" t="str">
        <x:f>IF(A8="","",IF(M8="Paused","Paused",IF(J8&lt;TODAY(),"Overdue",IF(J8&lt;=TODAY()+7,"Due Soon","Scheduled"))))</x:f>
      </x:c>
    </x:row>
    <x:row r="9">
      <x:c r="G9" s="74"/>
      <x:c r="I9" s="77"/>
      <x:c r="J9" s="77"/>
      <x:c r="K9" s="77"/>
      <x:c r="O9" t="str">
        <x:f>IF(A9="","",IF(M9="Paused","Paused",IF(J9&lt;TODAY(),"Overdue",IF(J9&lt;=TODAY()+7,"Due Soon","Scheduled"))))</x:f>
      </x:c>
    </x:row>
    <x:row r="10">
      <x:c r="G10" s="74"/>
      <x:c r="I10" s="77"/>
      <x:c r="J10" s="77"/>
      <x:c r="K10" s="77"/>
      <x:c r="O10" t="str">
        <x:f>IF(A10="","",IF(M10="Paused","Paused",IF(J10&lt;TODAY(),"Overdue",IF(J10&lt;=TODAY()+7,"Due Soon","Scheduled"))))</x:f>
      </x:c>
    </x:row>
    <x:row r="11">
      <x:c r="G11" s="74"/>
      <x:c r="I11" s="77"/>
      <x:c r="J11" s="77"/>
      <x:c r="K11" s="77"/>
      <x:c r="O11" t="str">
        <x:f>IF(A11="","",IF(M11="Paused","Paused",IF(J11&lt;TODAY(),"Overdue",IF(J11&lt;=TODAY()+7,"Due Soon","Scheduled"))))</x:f>
      </x:c>
    </x:row>
    <x:row r="12">
      <x:c r="G12" s="74"/>
      <x:c r="I12" s="77"/>
      <x:c r="J12" s="77"/>
      <x:c r="K12" s="77"/>
      <x:c r="O12" t="str">
        <x:f>IF(A12="","",IF(M12="Paused","Paused",IF(J12&lt;TODAY(),"Overdue",IF(J12&lt;=TODAY()+7,"Due Soon","Scheduled"))))</x:f>
      </x:c>
    </x:row>
    <x:row r="13">
      <x:c r="G13" s="74"/>
      <x:c r="I13" s="77"/>
      <x:c r="J13" s="77"/>
      <x:c r="K13" s="77"/>
      <x:c r="O13" t="str">
        <x:f>IF(A13="","",IF(M13="Paused","Paused",IF(J13&lt;TODAY(),"Overdue",IF(J13&lt;=TODAY()+7,"Due Soon","Scheduled"))))</x:f>
      </x:c>
    </x:row>
    <x:row r="14">
      <x:c r="G14" s="74"/>
      <x:c r="I14" s="77"/>
      <x:c r="J14" s="77"/>
      <x:c r="K14" s="77"/>
      <x:c r="O14" t="str">
        <x:f>IF(A14="","",IF(M14="Paused","Paused",IF(J14&lt;TODAY(),"Overdue",IF(J14&lt;=TODAY()+7,"Due Soon","Scheduled"))))</x:f>
      </x:c>
    </x:row>
    <x:row r="15">
      <x:c r="G15" s="74"/>
      <x:c r="I15" s="77"/>
      <x:c r="J15" s="77"/>
      <x:c r="K15" s="77"/>
      <x:c r="O15" t="str">
        <x:f>IF(A15="","",IF(M15="Paused","Paused",IF(J15&lt;TODAY(),"Overdue",IF(J15&lt;=TODAY()+7,"Due Soon","Scheduled"))))</x:f>
      </x:c>
    </x:row>
    <x:row r="16">
      <x:c r="G16" s="74"/>
      <x:c r="I16" s="77"/>
      <x:c r="J16" s="77"/>
      <x:c r="K16" s="77"/>
      <x:c r="O16" t="str">
        <x:f>IF(A16="","",IF(M16="Paused","Paused",IF(J16&lt;TODAY(),"Overdue",IF(J16&lt;=TODAY()+7,"Due Soon","Scheduled"))))</x:f>
      </x:c>
    </x:row>
    <x:row r="17">
      <x:c r="G17" s="74"/>
      <x:c r="I17" s="77"/>
      <x:c r="J17" s="77"/>
      <x:c r="K17" s="77"/>
      <x:c r="O17" t="str">
        <x:f>IF(A17="","",IF(M17="Paused","Paused",IF(J17&lt;TODAY(),"Overdue",IF(J17&lt;=TODAY()+7,"Due Soon","Scheduled"))))</x:f>
      </x:c>
    </x:row>
    <x:row r="18">
      <x:c r="G18" s="74"/>
      <x:c r="I18" s="77"/>
      <x:c r="J18" s="77"/>
      <x:c r="K18" s="77"/>
      <x:c r="O18" t="str">
        <x:f>IF(A18="","",IF(M18="Paused","Paused",IF(J18&lt;TODAY(),"Overdue",IF(J18&lt;=TODAY()+7,"Due Soon","Scheduled"))))</x:f>
      </x:c>
    </x:row>
    <x:row r="19">
      <x:c r="G19" s="74"/>
      <x:c r="I19" s="77"/>
      <x:c r="J19" s="77"/>
      <x:c r="K19" s="77"/>
      <x:c r="O19" t="str">
        <x:f>IF(A19="","",IF(M19="Paused","Paused",IF(J19&lt;TODAY(),"Overdue",IF(J19&lt;=TODAY()+7,"Due Soon","Scheduled"))))</x:f>
      </x:c>
    </x:row>
    <x:row r="20">
      <x:c r="G20" s="74"/>
      <x:c r="I20" s="77"/>
      <x:c r="J20" s="77"/>
      <x:c r="K20" s="77"/>
      <x:c r="O20" t="str">
        <x:f>IF(A20="","",IF(M20="Paused","Paused",IF(J20&lt;TODAY(),"Overdue",IF(J20&lt;=TODAY()+7,"Due Soon","Scheduled"))))</x:f>
      </x:c>
    </x:row>
    <x:row r="21">
      <x:c r="G21" s="74"/>
      <x:c r="I21" s="77"/>
      <x:c r="J21" s="77"/>
      <x:c r="K21" s="77"/>
      <x:c r="O21" t="str">
        <x:f>IF(A21="","",IF(M21="Paused","Paused",IF(J21&lt;TODAY(),"Overdue",IF(J21&lt;=TODAY()+7,"Due Soon","Scheduled"))))</x:f>
      </x:c>
    </x:row>
    <x:row r="22">
      <x:c r="G22" s="74"/>
      <x:c r="I22" s="77"/>
      <x:c r="J22" s="77"/>
      <x:c r="K22" s="77"/>
      <x:c r="O22" t="str">
        <x:f>IF(A22="","",IF(M22="Paused","Paused",IF(J22&lt;TODAY(),"Overdue",IF(J22&lt;=TODAY()+7,"Due Soon","Scheduled"))))</x:f>
      </x:c>
    </x:row>
    <x:row r="23">
      <x:c r="G23" s="74"/>
      <x:c r="I23" s="77"/>
      <x:c r="J23" s="77"/>
      <x:c r="K23" s="77"/>
      <x:c r="O23" t="str">
        <x:f>IF(A23="","",IF(M23="Paused","Paused",IF(J23&lt;TODAY(),"Overdue",IF(J23&lt;=TODAY()+7,"Due Soon","Scheduled"))))</x:f>
      </x:c>
    </x:row>
    <x:row r="24">
      <x:c r="G24" s="74"/>
      <x:c r="I24" s="77"/>
      <x:c r="J24" s="77"/>
      <x:c r="K24" s="77"/>
      <x:c r="O24" t="str">
        <x:f>IF(A24="","",IF(M24="Paused","Paused",IF(J24&lt;TODAY(),"Overdue",IF(J24&lt;=TODAY()+7,"Due Soon","Scheduled"))))</x:f>
      </x:c>
    </x:row>
    <x:row r="25">
      <x:c r="G25" s="74"/>
      <x:c r="I25" s="77"/>
      <x:c r="J25" s="77"/>
      <x:c r="K25" s="77"/>
      <x:c r="O25" t="str">
        <x:f>IF(A25="","",IF(M25="Paused","Paused",IF(J25&lt;TODAY(),"Overdue",IF(J25&lt;=TODAY()+7,"Due Soon","Scheduled"))))</x:f>
      </x:c>
    </x:row>
    <x:row r="26">
      <x:c r="G26" s="74"/>
      <x:c r="I26" s="77"/>
      <x:c r="J26" s="77"/>
      <x:c r="K26" s="77"/>
      <x:c r="O26" t="str">
        <x:f>IF(A26="","",IF(M26="Paused","Paused",IF(J26&lt;TODAY(),"Overdue",IF(J26&lt;=TODAY()+7,"Due Soon","Scheduled"))))</x:f>
      </x:c>
    </x:row>
    <x:row r="27">
      <x:c r="G27" s="74"/>
      <x:c r="I27" s="77"/>
      <x:c r="J27" s="77"/>
      <x:c r="K27" s="77"/>
      <x:c r="O27" t="str">
        <x:f>IF(A27="","",IF(M27="Paused","Paused",IF(J27&lt;TODAY(),"Overdue",IF(J27&lt;=TODAY()+7,"Due Soon","Scheduled"))))</x:f>
      </x:c>
    </x:row>
    <x:row r="28">
      <x:c r="G28" s="74"/>
      <x:c r="I28" s="77"/>
      <x:c r="J28" s="77"/>
      <x:c r="K28" s="77"/>
      <x:c r="O28" t="str">
        <x:f>IF(A28="","",IF(M28="Paused","Paused",IF(J28&lt;TODAY(),"Overdue",IF(J28&lt;=TODAY()+7,"Due Soon","Scheduled"))))</x:f>
      </x:c>
    </x:row>
    <x:row r="29">
      <x:c r="G29" s="74"/>
      <x:c r="I29" s="77"/>
      <x:c r="J29" s="77"/>
      <x:c r="K29" s="77"/>
      <x:c r="O29" t="str">
        <x:f>IF(A29="","",IF(M29="Paused","Paused",IF(J29&lt;TODAY(),"Overdue",IF(J29&lt;=TODAY()+7,"Due Soon","Scheduled"))))</x:f>
      </x:c>
    </x:row>
    <x:row r="30">
      <x:c r="G30" s="74"/>
      <x:c r="I30" s="77"/>
      <x:c r="J30" s="77"/>
      <x:c r="K30" s="77"/>
      <x:c r="O30" t="str">
        <x:f>IF(A30="","",IF(M30="Paused","Paused",IF(J30&lt;TODAY(),"Overdue",IF(J30&lt;=TODAY()+7,"Due Soon","Scheduled"))))</x:f>
      </x:c>
    </x:row>
    <x:row r="31">
      <x:c r="G31" s="74"/>
      <x:c r="I31" s="77"/>
      <x:c r="J31" s="77"/>
      <x:c r="K31" s="77"/>
      <x:c r="O31" t="str">
        <x:f>IF(A31="","",IF(M31="Paused","Paused",IF(J31&lt;TODAY(),"Overdue",IF(J31&lt;=TODAY()+7,"Due Soon","Scheduled"))))</x:f>
      </x:c>
    </x:row>
    <x:row r="32">
      <x:c r="G32" s="74"/>
      <x:c r="I32" s="77"/>
      <x:c r="J32" s="77"/>
      <x:c r="K32" s="77"/>
      <x:c r="O32" t="str">
        <x:f>IF(A32="","",IF(M32="Paused","Paused",IF(J32&lt;TODAY(),"Overdue",IF(J32&lt;=TODAY()+7,"Due Soon","Scheduled"))))</x:f>
      </x:c>
    </x:row>
    <x:row r="33">
      <x:c r="G33" s="74"/>
      <x:c r="I33" s="77"/>
      <x:c r="J33" s="77"/>
      <x:c r="K33" s="77"/>
      <x:c r="O33" t="str">
        <x:f>IF(A33="","",IF(M33="Paused","Paused",IF(J33&lt;TODAY(),"Overdue",IF(J33&lt;=TODAY()+7,"Due Soon","Scheduled"))))</x:f>
      </x:c>
    </x:row>
    <x:row r="34">
      <x:c r="G34" s="74"/>
      <x:c r="I34" s="77"/>
      <x:c r="J34" s="77"/>
      <x:c r="K34" s="77"/>
      <x:c r="O34" t="str">
        <x:f>IF(A34="","",IF(M34="Paused","Paused",IF(J34&lt;TODAY(),"Overdue",IF(J34&lt;=TODAY()+7,"Due Soon","Scheduled"))))</x:f>
      </x:c>
    </x:row>
    <x:row r="35">
      <x:c r="G35" s="74"/>
      <x:c r="I35" s="77"/>
      <x:c r="J35" s="77"/>
      <x:c r="K35" s="77"/>
      <x:c r="O35" t="str">
        <x:f>IF(A35="","",IF(M35="Paused","Paused",IF(J35&lt;TODAY(),"Overdue",IF(J35&lt;=TODAY()+7,"Due Soon","Scheduled"))))</x:f>
      </x:c>
    </x:row>
    <x:row r="36">
      <x:c r="G36" s="74"/>
      <x:c r="I36" s="77"/>
      <x:c r="J36" s="77"/>
      <x:c r="K36" s="77"/>
      <x:c r="O36" t="str">
        <x:f>IF(A36="","",IF(M36="Paused","Paused",IF(J36&lt;TODAY(),"Overdue",IF(J36&lt;=TODAY()+7,"Due Soon","Scheduled"))))</x:f>
      </x:c>
    </x:row>
    <x:row r="37">
      <x:c r="G37" s="74"/>
      <x:c r="I37" s="77"/>
      <x:c r="J37" s="77"/>
      <x:c r="K37" s="77"/>
      <x:c r="O37" t="str">
        <x:f>IF(A37="","",IF(M37="Paused","Paused",IF(J37&lt;TODAY(),"Overdue",IF(J37&lt;=TODAY()+7,"Due Soon","Scheduled"))))</x:f>
      </x:c>
    </x:row>
    <x:row r="38">
      <x:c r="G38" s="74"/>
      <x:c r="I38" s="77"/>
      <x:c r="J38" s="77"/>
      <x:c r="K38" s="77"/>
      <x:c r="O38" t="str">
        <x:f>IF(A38="","",IF(M38="Paused","Paused",IF(J38&lt;TODAY(),"Overdue",IF(J38&lt;=TODAY()+7,"Due Soon","Scheduled"))))</x:f>
      </x:c>
    </x:row>
    <x:row r="39">
      <x:c r="G39" s="74"/>
      <x:c r="I39" s="77"/>
      <x:c r="J39" s="77"/>
      <x:c r="K39" s="77"/>
      <x:c r="O39" t="str">
        <x:f>IF(A39="","",IF(M39="Paused","Paused",IF(J39&lt;TODAY(),"Overdue",IF(J39&lt;=TODAY()+7,"Due Soon","Scheduled"))))</x:f>
      </x:c>
    </x:row>
    <x:row r="40">
      <x:c r="G40" s="74"/>
      <x:c r="I40" s="77"/>
      <x:c r="J40" s="77"/>
      <x:c r="K40" s="77"/>
      <x:c r="O40" t="str">
        <x:f>IF(A40="","",IF(M40="Paused","Paused",IF(J40&lt;TODAY(),"Overdue",IF(J40&lt;=TODAY()+7,"Due Soon","Scheduled"))))</x:f>
      </x:c>
    </x:row>
    <x:row r="41">
      <x:c r="G41" s="74"/>
      <x:c r="I41" s="77"/>
      <x:c r="J41" s="77"/>
      <x:c r="K41" s="77"/>
      <x:c r="O41" t="str">
        <x:f>IF(A41="","",IF(M41="Paused","Paused",IF(J41&lt;TODAY(),"Overdue",IF(J41&lt;=TODAY()+7,"Due Soon","Scheduled"))))</x:f>
      </x:c>
    </x:row>
    <x:row r="42">
      <x:c r="G42" s="74"/>
      <x:c r="I42" s="77"/>
      <x:c r="J42" s="77"/>
      <x:c r="K42" s="77"/>
      <x:c r="O42" t="str">
        <x:f>IF(A42="","",IF(M42="Paused","Paused",IF(J42&lt;TODAY(),"Overdue",IF(J42&lt;=TODAY()+7,"Due Soon","Scheduled"))))</x:f>
      </x:c>
    </x:row>
    <x:row r="43">
      <x:c r="G43" s="74"/>
      <x:c r="I43" s="77"/>
      <x:c r="J43" s="77"/>
      <x:c r="K43" s="77"/>
      <x:c r="O43" t="str">
        <x:f>IF(A43="","",IF(M43="Paused","Paused",IF(J43&lt;TODAY(),"Overdue",IF(J43&lt;=TODAY()+7,"Due Soon","Scheduled"))))</x:f>
      </x:c>
    </x:row>
    <x:row r="44">
      <x:c r="G44" s="74"/>
      <x:c r="I44" s="77"/>
      <x:c r="J44" s="77"/>
      <x:c r="K44" s="77"/>
      <x:c r="O44" t="str">
        <x:f>IF(A44="","",IF(M44="Paused","Paused",IF(J44&lt;TODAY(),"Overdue",IF(J44&lt;=TODAY()+7,"Due Soon","Scheduled"))))</x:f>
      </x:c>
    </x:row>
    <x:row r="45">
      <x:c r="G45" s="74"/>
      <x:c r="I45" s="77"/>
      <x:c r="J45" s="77"/>
      <x:c r="K45" s="77"/>
      <x:c r="O45" t="str">
        <x:f>IF(A45="","",IF(M45="Paused","Paused",IF(J45&lt;TODAY(),"Overdue",IF(J45&lt;=TODAY()+7,"Due Soon","Scheduled"))))</x:f>
      </x:c>
    </x:row>
    <x:row r="46">
      <x:c r="G46" s="74"/>
      <x:c r="I46" s="77"/>
      <x:c r="J46" s="77"/>
      <x:c r="K46" s="77"/>
      <x:c r="O46" t="str">
        <x:f>IF(A46="","",IF(M46="Paused","Paused",IF(J46&lt;TODAY(),"Overdue",IF(J46&lt;=TODAY()+7,"Due Soon","Scheduled"))))</x:f>
      </x:c>
    </x:row>
    <x:row r="47">
      <x:c r="G47" s="74"/>
      <x:c r="I47" s="77"/>
      <x:c r="J47" s="77"/>
      <x:c r="K47" s="77"/>
      <x:c r="O47" t="str">
        <x:f>IF(A47="","",IF(M47="Paused","Paused",IF(J47&lt;TODAY(),"Overdue",IF(J47&lt;=TODAY()+7,"Due Soon","Scheduled"))))</x:f>
      </x:c>
    </x:row>
    <x:row r="48">
      <x:c r="G48" s="74"/>
      <x:c r="I48" s="77"/>
      <x:c r="J48" s="77"/>
      <x:c r="K48" s="77"/>
      <x:c r="O48" t="str">
        <x:f>IF(A48="","",IF(M48="Paused","Paused",IF(J48&lt;TODAY(),"Overdue",IF(J48&lt;=TODAY()+7,"Due Soon","Scheduled"))))</x:f>
      </x:c>
    </x:row>
    <x:row r="49">
      <x:c r="G49" s="74"/>
      <x:c r="I49" s="77"/>
      <x:c r="J49" s="77"/>
      <x:c r="K49" s="77"/>
      <x:c r="O49" t="str">
        <x:f>IF(A49="","",IF(M49="Paused","Paused",IF(J49&lt;TODAY(),"Overdue",IF(J49&lt;=TODAY()+7,"Due Soon","Scheduled"))))</x:f>
      </x:c>
    </x:row>
    <x:row r="50">
      <x:c r="G50" s="74"/>
      <x:c r="I50" s="77"/>
      <x:c r="J50" s="77"/>
      <x:c r="K50" s="77"/>
      <x:c r="O50" t="str">
        <x:f>IF(A50="","",IF(M50="Paused","Paused",IF(J50&lt;TODAY(),"Overdue",IF(J50&lt;=TODAY()+7,"Due Soon","Scheduled"))))</x:f>
      </x:c>
    </x:row>
    <x:row r="51">
      <x:c r="G51" s="74"/>
      <x:c r="I51" s="77"/>
      <x:c r="J51" s="77"/>
      <x:c r="K51" s="77"/>
      <x:c r="O51" t="str">
        <x:f>IF(A51="","",IF(M51="Paused","Paused",IF(J51&lt;TODAY(),"Overdue",IF(J51&lt;=TODAY()+7,"Due Soon","Scheduled"))))</x:f>
      </x:c>
    </x:row>
    <x:row r="52">
      <x:c r="G52" s="74"/>
      <x:c r="I52" s="77"/>
      <x:c r="J52" s="77"/>
      <x:c r="K52" s="77"/>
      <x:c r="O52" t="str">
        <x:f>IF(A52="","",IF(M52="Paused","Paused",IF(J52&lt;TODAY(),"Overdue",IF(J52&lt;=TODAY()+7,"Due Soon","Scheduled"))))</x:f>
      </x:c>
    </x:row>
    <x:row r="53">
      <x:c r="G53" s="74"/>
      <x:c r="I53" s="77"/>
      <x:c r="J53" s="77"/>
      <x:c r="K53" s="77"/>
      <x:c r="O53" t="str">
        <x:f>IF(A53="","",IF(M53="Paused","Paused",IF(J53&lt;TODAY(),"Overdue",IF(J53&lt;=TODAY()+7,"Due Soon","Scheduled"))))</x:f>
      </x:c>
    </x:row>
    <x:row r="54">
      <x:c r="G54" s="74"/>
      <x:c r="I54" s="77"/>
      <x:c r="J54" s="77"/>
      <x:c r="K54" s="77"/>
      <x:c r="O54" t="str">
        <x:f>IF(A54="","",IF(M54="Paused","Paused",IF(J54&lt;TODAY(),"Overdue",IF(J54&lt;=TODAY()+7,"Due Soon","Scheduled"))))</x:f>
      </x:c>
    </x:row>
    <x:row r="55">
      <x:c r="G55" s="74"/>
      <x:c r="I55" s="77"/>
      <x:c r="J55" s="77"/>
      <x:c r="K55" s="77"/>
      <x:c r="O55" t="str">
        <x:f>IF(A55="","",IF(M55="Paused","Paused",IF(J55&lt;TODAY(),"Overdue",IF(J55&lt;=TODAY()+7,"Due Soon","Scheduled"))))</x:f>
      </x:c>
    </x:row>
    <x:row r="56">
      <x:c r="G56" s="74"/>
      <x:c r="I56" s="77"/>
      <x:c r="J56" s="77"/>
      <x:c r="K56" s="77"/>
      <x:c r="O56" t="str">
        <x:f>IF(A56="","",IF(M56="Paused","Paused",IF(J56&lt;TODAY(),"Overdue",IF(J56&lt;=TODAY()+7,"Due Soon","Scheduled"))))</x:f>
      </x:c>
    </x:row>
    <x:row r="57">
      <x:c r="G57" s="74"/>
      <x:c r="I57" s="77"/>
      <x:c r="J57" s="77"/>
      <x:c r="K57" s="77"/>
      <x:c r="O57" t="str">
        <x:f>IF(A57="","",IF(M57="Paused","Paused",IF(J57&lt;TODAY(),"Overdue",IF(J57&lt;=TODAY()+7,"Due Soon","Scheduled"))))</x:f>
      </x:c>
    </x:row>
    <x:row r="58">
      <x:c r="G58" s="74"/>
      <x:c r="I58" s="77"/>
      <x:c r="J58" s="77"/>
      <x:c r="K58" s="77"/>
      <x:c r="O58" t="str">
        <x:f>IF(A58="","",IF(M58="Paused","Paused",IF(J58&lt;TODAY(),"Overdue",IF(J58&lt;=TODAY()+7,"Due Soon","Scheduled"))))</x:f>
      </x:c>
    </x:row>
    <x:row r="59">
      <x:c r="G59" s="74"/>
      <x:c r="I59" s="77"/>
      <x:c r="J59" s="77"/>
      <x:c r="K59" s="77"/>
      <x:c r="O59" t="str">
        <x:f>IF(A59="","",IF(M59="Paused","Paused",IF(J59&lt;TODAY(),"Overdue",IF(J59&lt;=TODAY()+7,"Due Soon","Scheduled"))))</x:f>
      </x:c>
    </x:row>
    <x:row r="60">
      <x:c r="G60" s="74"/>
      <x:c r="I60" s="77"/>
      <x:c r="J60" s="77"/>
      <x:c r="K60" s="77"/>
      <x:c r="O60" t="str">
        <x:f>IF(A60="","",IF(M60="Paused","Paused",IF(J60&lt;TODAY(),"Overdue",IF(J60&lt;=TODAY()+7,"Due Soon","Scheduled"))))</x:f>
      </x:c>
    </x:row>
    <x:row r="61">
      <x:c r="G61" s="74"/>
      <x:c r="I61" s="77"/>
      <x:c r="J61" s="77"/>
      <x:c r="K61" s="77"/>
      <x:c r="O61" t="str">
        <x:f>IF(A61="","",IF(M61="Paused","Paused",IF(J61&lt;TODAY(),"Overdue",IF(J61&lt;=TODAY()+7,"Due Soon","Scheduled"))))</x:f>
      </x:c>
    </x:row>
    <x:row r="62">
      <x:c r="G62" s="74"/>
      <x:c r="I62" s="77"/>
      <x:c r="J62" s="77"/>
      <x:c r="K62" s="77"/>
      <x:c r="O62" t="str">
        <x:f>IF(A62="","",IF(M62="Paused","Paused",IF(J62&lt;TODAY(),"Overdue",IF(J62&lt;=TODAY()+7,"Due Soon","Scheduled"))))</x:f>
      </x:c>
    </x:row>
    <x:row r="63">
      <x:c r="G63" s="74"/>
      <x:c r="I63" s="77"/>
      <x:c r="J63" s="77"/>
      <x:c r="K63" s="77"/>
      <x:c r="O63" t="str">
        <x:f>IF(A63="","",IF(M63="Paused","Paused",IF(J63&lt;TODAY(),"Overdue",IF(J63&lt;=TODAY()+7,"Due Soon","Scheduled"))))</x:f>
      </x:c>
    </x:row>
    <x:row r="64">
      <x:c r="G64" s="74"/>
      <x:c r="I64" s="77"/>
      <x:c r="J64" s="77"/>
      <x:c r="K64" s="77"/>
      <x:c r="O64" t="str">
        <x:f>IF(A64="","",IF(M64="Paused","Paused",IF(J64&lt;TODAY(),"Overdue",IF(J64&lt;=TODAY()+7,"Due Soon","Scheduled"))))</x:f>
      </x:c>
    </x:row>
    <x:row r="65">
      <x:c r="G65" s="74"/>
      <x:c r="I65" s="77"/>
      <x:c r="J65" s="77"/>
      <x:c r="K65" s="77"/>
      <x:c r="O65" t="str">
        <x:f>IF(A65="","",IF(M65="Paused","Paused",IF(J65&lt;TODAY(),"Overdue",IF(J65&lt;=TODAY()+7,"Due Soon","Scheduled"))))</x:f>
      </x:c>
    </x:row>
    <x:row r="66">
      <x:c r="G66" s="74"/>
      <x:c r="I66" s="77"/>
      <x:c r="J66" s="77"/>
      <x:c r="K66" s="77"/>
      <x:c r="O66" t="str">
        <x:f>IF(A66="","",IF(M66="Paused","Paused",IF(J66&lt;TODAY(),"Overdue",IF(J66&lt;=TODAY()+7,"Due Soon","Scheduled"))))</x:f>
      </x:c>
    </x:row>
    <x:row r="67">
      <x:c r="G67" s="74"/>
      <x:c r="I67" s="77"/>
      <x:c r="J67" s="77"/>
      <x:c r="K67" s="77"/>
      <x:c r="O67" t="str">
        <x:f>IF(A67="","",IF(M67="Paused","Paused",IF(J67&lt;TODAY(),"Overdue",IF(J67&lt;=TODAY()+7,"Due Soon","Scheduled"))))</x:f>
      </x:c>
    </x:row>
    <x:row r="68">
      <x:c r="G68" s="74"/>
      <x:c r="I68" s="77"/>
      <x:c r="J68" s="77"/>
      <x:c r="K68" s="77"/>
      <x:c r="O68" t="str">
        <x:f>IF(A68="","",IF(M68="Paused","Paused",IF(J68&lt;TODAY(),"Overdue",IF(J68&lt;=TODAY()+7,"Due Soon","Scheduled"))))</x:f>
      </x:c>
    </x:row>
    <x:row r="69">
      <x:c r="G69" s="74"/>
      <x:c r="I69" s="77"/>
      <x:c r="J69" s="77"/>
      <x:c r="K69" s="77"/>
      <x:c r="O69" t="str">
        <x:f>IF(A69="","",IF(M69="Paused","Paused",IF(J69&lt;TODAY(),"Overdue",IF(J69&lt;=TODAY()+7,"Due Soon","Scheduled"))))</x:f>
      </x:c>
    </x:row>
    <x:row r="70">
      <x:c r="G70" s="74"/>
      <x:c r="I70" s="77"/>
      <x:c r="J70" s="77"/>
      <x:c r="K70" s="77"/>
      <x:c r="O70" t="str">
        <x:f>IF(A70="","",IF(M70="Paused","Paused",IF(J70&lt;TODAY(),"Overdue",IF(J70&lt;=TODAY()+7,"Due Soon","Scheduled"))))</x:f>
      </x:c>
    </x:row>
    <x:row r="71">
      <x:c r="G71" s="74"/>
      <x:c r="I71" s="77"/>
      <x:c r="J71" s="77"/>
      <x:c r="K71" s="77"/>
      <x:c r="O71" t="str">
        <x:f>IF(A71="","",IF(M71="Paused","Paused",IF(J71&lt;TODAY(),"Overdue",IF(J71&lt;=TODAY()+7,"Due Soon","Scheduled"))))</x:f>
      </x:c>
    </x:row>
    <x:row r="72">
      <x:c r="G72" s="74"/>
      <x:c r="I72" s="77"/>
      <x:c r="J72" s="77"/>
      <x:c r="K72" s="77"/>
      <x:c r="O72" t="str">
        <x:f>IF(A72="","",IF(M72="Paused","Paused",IF(J72&lt;TODAY(),"Overdue",IF(J72&lt;=TODAY()+7,"Due Soon","Scheduled"))))</x:f>
      </x:c>
    </x:row>
    <x:row r="73">
      <x:c r="G73" s="74"/>
      <x:c r="I73" s="77"/>
      <x:c r="J73" s="77"/>
      <x:c r="K73" s="77"/>
      <x:c r="O73" t="str">
        <x:f>IF(A73="","",IF(M73="Paused","Paused",IF(J73&lt;TODAY(),"Overdue",IF(J73&lt;=TODAY()+7,"Due Soon","Scheduled"))))</x:f>
      </x:c>
    </x:row>
    <x:row r="74">
      <x:c r="G74" s="74"/>
      <x:c r="I74" s="77"/>
      <x:c r="J74" s="77"/>
      <x:c r="K74" s="77"/>
      <x:c r="O74" t="str">
        <x:f>IF(A74="","",IF(M74="Paused","Paused",IF(J74&lt;TODAY(),"Overdue",IF(J74&lt;=TODAY()+7,"Due Soon","Scheduled"))))</x:f>
      </x:c>
    </x:row>
    <x:row r="75">
      <x:c r="G75" s="74"/>
      <x:c r="I75" s="77"/>
      <x:c r="J75" s="77"/>
      <x:c r="K75" s="77"/>
      <x:c r="O75" t="str">
        <x:f>IF(A75="","",IF(M75="Paused","Paused",IF(J75&lt;TODAY(),"Overdue",IF(J75&lt;=TODAY()+7,"Due Soon","Scheduled"))))</x:f>
      </x:c>
    </x:row>
    <x:row r="76">
      <x:c r="G76" s="74"/>
      <x:c r="I76" s="77"/>
      <x:c r="J76" s="77"/>
      <x:c r="K76" s="77"/>
      <x:c r="O76" t="str">
        <x:f>IF(A76="","",IF(M76="Paused","Paused",IF(J76&lt;TODAY(),"Overdue",IF(J76&lt;=TODAY()+7,"Due Soon","Scheduled"))))</x:f>
      </x:c>
    </x:row>
    <x:row r="77">
      <x:c r="G77" s="74"/>
      <x:c r="I77" s="77"/>
      <x:c r="J77" s="77"/>
      <x:c r="K77" s="77"/>
      <x:c r="O77" t="str">
        <x:f>IF(A77="","",IF(M77="Paused","Paused",IF(J77&lt;TODAY(),"Overdue",IF(J77&lt;=TODAY()+7,"Due Soon","Scheduled"))))</x:f>
      </x:c>
    </x:row>
    <x:row r="78">
      <x:c r="G78" s="74"/>
      <x:c r="I78" s="77"/>
      <x:c r="J78" s="77"/>
      <x:c r="K78" s="77"/>
      <x:c r="O78" t="str">
        <x:f>IF(A78="","",IF(M78="Paused","Paused",IF(J78&lt;TODAY(),"Overdue",IF(J78&lt;=TODAY()+7,"Due Soon","Scheduled"))))</x:f>
      </x:c>
    </x:row>
    <x:row r="79">
      <x:c r="G79" s="74"/>
      <x:c r="I79" s="77"/>
      <x:c r="J79" s="77"/>
      <x:c r="K79" s="77"/>
      <x:c r="O79" t="str">
        <x:f>IF(A79="","",IF(M79="Paused","Paused",IF(J79&lt;TODAY(),"Overdue",IF(J79&lt;=TODAY()+7,"Due Soon","Scheduled"))))</x:f>
      </x:c>
    </x:row>
    <x:row r="80">
      <x:c r="G80" s="74"/>
      <x:c r="I80" s="77"/>
      <x:c r="J80" s="77"/>
      <x:c r="K80" s="77"/>
      <x:c r="O80" t="str">
        <x:f>IF(A80="","",IF(M80="Paused","Paused",IF(J80&lt;TODAY(),"Overdue",IF(J80&lt;=TODAY()+7,"Due Soon","Scheduled"))))</x:f>
      </x:c>
    </x:row>
    <x:row r="81">
      <x:c r="G81" s="74"/>
      <x:c r="I81" s="77"/>
      <x:c r="J81" s="77"/>
      <x:c r="K81" s="77"/>
      <x:c r="O81" t="str">
        <x:f>IF(A81="","",IF(M81="Paused","Paused",IF(J81&lt;TODAY(),"Overdue",IF(J81&lt;=TODAY()+7,"Due Soon","Scheduled"))))</x:f>
      </x:c>
    </x:row>
    <x:row r="82">
      <x:c r="G82" s="74"/>
      <x:c r="I82" s="77"/>
      <x:c r="J82" s="77"/>
      <x:c r="K82" s="77"/>
      <x:c r="O82" t="str">
        <x:f>IF(A82="","",IF(M82="Paused","Paused",IF(J82&lt;TODAY(),"Overdue",IF(J82&lt;=TODAY()+7,"Due Soon","Scheduled"))))</x:f>
      </x:c>
    </x:row>
    <x:row r="83">
      <x:c r="G83" s="74"/>
      <x:c r="I83" s="77"/>
      <x:c r="J83" s="77"/>
      <x:c r="K83" s="77"/>
      <x:c r="O83" t="str">
        <x:f>IF(A83="","",IF(M83="Paused","Paused",IF(J83&lt;TODAY(),"Overdue",IF(J83&lt;=TODAY()+7,"Due Soon","Scheduled"))))</x:f>
      </x:c>
    </x:row>
    <x:row r="84">
      <x:c r="G84" s="74"/>
      <x:c r="I84" s="77"/>
      <x:c r="J84" s="77"/>
      <x:c r="K84" s="77"/>
      <x:c r="O84" t="str">
        <x:f>IF(A84="","",IF(M84="Paused","Paused",IF(J84&lt;TODAY(),"Overdue",IF(J84&lt;=TODAY()+7,"Due Soon","Scheduled"))))</x:f>
      </x:c>
    </x:row>
    <x:row r="85">
      <x:c r="G85" s="74"/>
      <x:c r="I85" s="77"/>
      <x:c r="J85" s="77"/>
      <x:c r="K85" s="77"/>
      <x:c r="O85" t="str">
        <x:f>IF(A85="","",IF(M85="Paused","Paused",IF(J85&lt;TODAY(),"Overdue",IF(J85&lt;=TODAY()+7,"Due Soon","Scheduled"))))</x:f>
      </x:c>
    </x:row>
    <x:row r="86">
      <x:c r="G86" s="74"/>
      <x:c r="I86" s="77"/>
      <x:c r="J86" s="77"/>
      <x:c r="K86" s="77"/>
      <x:c r="O86" t="str">
        <x:f>IF(A86="","",IF(M86="Paused","Paused",IF(J86&lt;TODAY(),"Overdue",IF(J86&lt;=TODAY()+7,"Due Soon","Scheduled"))))</x:f>
      </x:c>
    </x:row>
    <x:row r="87">
      <x:c r="G87" s="74"/>
      <x:c r="I87" s="77"/>
      <x:c r="J87" s="77"/>
      <x:c r="K87" s="77"/>
      <x:c r="O87" t="str">
        <x:f>IF(A87="","",IF(M87="Paused","Paused",IF(J87&lt;TODAY(),"Overdue",IF(J87&lt;=TODAY()+7,"Due Soon","Scheduled"))))</x:f>
      </x:c>
    </x:row>
    <x:row r="88">
      <x:c r="G88" s="74"/>
      <x:c r="I88" s="77"/>
      <x:c r="J88" s="77"/>
      <x:c r="K88" s="77"/>
      <x:c r="O88" t="str">
        <x:f>IF(A88="","",IF(M88="Paused","Paused",IF(J88&lt;TODAY(),"Overdue",IF(J88&lt;=TODAY()+7,"Due Soon","Scheduled"))))</x:f>
      </x:c>
    </x:row>
    <x:row r="89">
      <x:c r="G89" s="74"/>
      <x:c r="I89" s="77"/>
      <x:c r="J89" s="77"/>
      <x:c r="K89" s="77"/>
      <x:c r="O89" t="str">
        <x:f>IF(A89="","",IF(M89="Paused","Paused",IF(J89&lt;TODAY(),"Overdue",IF(J89&lt;=TODAY()+7,"Due Soon","Scheduled"))))</x:f>
      </x:c>
    </x:row>
    <x:row r="90">
      <x:c r="G90" s="74"/>
      <x:c r="I90" s="77"/>
      <x:c r="J90" s="77"/>
      <x:c r="K90" s="77"/>
      <x:c r="O90" t="str">
        <x:f>IF(A90="","",IF(M90="Paused","Paused",IF(J90&lt;TODAY(),"Overdue",IF(J90&lt;=TODAY()+7,"Due Soon","Scheduled"))))</x:f>
      </x:c>
    </x:row>
    <x:row r="91">
      <x:c r="G91" s="74"/>
      <x:c r="I91" s="77"/>
      <x:c r="J91" s="77"/>
      <x:c r="K91" s="77"/>
      <x:c r="O91" t="str">
        <x:f>IF(A91="","",IF(M91="Paused","Paused",IF(J91&lt;TODAY(),"Overdue",IF(J91&lt;=TODAY()+7,"Due Soon","Scheduled"))))</x:f>
      </x:c>
    </x:row>
    <x:row r="92">
      <x:c r="G92" s="74"/>
      <x:c r="I92" s="77"/>
      <x:c r="J92" s="77"/>
      <x:c r="K92" s="77"/>
      <x:c r="O92" t="str">
        <x:f>IF(A92="","",IF(M92="Paused","Paused",IF(J92&lt;TODAY(),"Overdue",IF(J92&lt;=TODAY()+7,"Due Soon","Scheduled"))))</x:f>
      </x:c>
    </x:row>
    <x:row r="93">
      <x:c r="G93" s="74"/>
      <x:c r="I93" s="77"/>
      <x:c r="J93" s="77"/>
      <x:c r="K93" s="77"/>
      <x:c r="O93" t="str">
        <x:f>IF(A93="","",IF(M93="Paused","Paused",IF(J93&lt;TODAY(),"Overdue",IF(J93&lt;=TODAY()+7,"Due Soon","Scheduled"))))</x:f>
      </x:c>
    </x:row>
    <x:row r="94">
      <x:c r="G94" s="74"/>
      <x:c r="I94" s="77"/>
      <x:c r="J94" s="77"/>
      <x:c r="K94" s="77"/>
      <x:c r="O94" t="str">
        <x:f>IF(A94="","",IF(M94="Paused","Paused",IF(J94&lt;TODAY(),"Overdue",IF(J94&lt;=TODAY()+7,"Due Soon","Scheduled"))))</x:f>
      </x:c>
    </x:row>
    <x:row r="95">
      <x:c r="G95" s="74"/>
      <x:c r="I95" s="77"/>
      <x:c r="J95" s="77"/>
      <x:c r="K95" s="77"/>
      <x:c r="O95" t="str">
        <x:f>IF(A95="","",IF(M95="Paused","Paused",IF(J95&lt;TODAY(),"Overdue",IF(J95&lt;=TODAY()+7,"Due Soon","Scheduled"))))</x:f>
      </x:c>
    </x:row>
    <x:row r="96">
      <x:c r="G96" s="74"/>
      <x:c r="I96" s="77"/>
      <x:c r="J96" s="77"/>
      <x:c r="K96" s="77"/>
      <x:c r="O96" t="str">
        <x:f>IF(A96="","",IF(M96="Paused","Paused",IF(J96&lt;TODAY(),"Overdue",IF(J96&lt;=TODAY()+7,"Due Soon","Scheduled"))))</x:f>
      </x:c>
    </x:row>
    <x:row r="97">
      <x:c r="G97" s="74"/>
      <x:c r="I97" s="77"/>
      <x:c r="J97" s="77"/>
      <x:c r="K97" s="77"/>
      <x:c r="O97" t="str">
        <x:f>IF(A97="","",IF(M97="Paused","Paused",IF(J97&lt;TODAY(),"Overdue",IF(J97&lt;=TODAY()+7,"Due Soon","Scheduled"))))</x:f>
      </x:c>
    </x:row>
    <x:row r="98">
      <x:c r="G98" s="74"/>
      <x:c r="I98" s="77"/>
      <x:c r="J98" s="77"/>
      <x:c r="K98" s="77"/>
      <x:c r="O98" t="str">
        <x:f>IF(A98="","",IF(M98="Paused","Paused",IF(J98&lt;TODAY(),"Overdue",IF(J98&lt;=TODAY()+7,"Due Soon","Scheduled"))))</x:f>
      </x:c>
    </x:row>
    <x:row r="99">
      <x:c r="G99" s="74"/>
      <x:c r="I99" s="77"/>
      <x:c r="J99" s="77"/>
      <x:c r="K99" s="77"/>
      <x:c r="O99" t="str">
        <x:f>IF(A99="","",IF(M99="Paused","Paused",IF(J99&lt;TODAY(),"Overdue",IF(J99&lt;=TODAY()+7,"Due Soon","Scheduled"))))</x:f>
      </x:c>
    </x:row>
    <x:row r="100">
      <x:c r="G100" s="74"/>
      <x:c r="I100" s="77"/>
      <x:c r="J100" s="77"/>
      <x:c r="K100" s="77"/>
      <x:c r="O100" t="str">
        <x:f>IF(A100="","",IF(M100="Paused","Paused",IF(J100&lt;TODAY(),"Overdue",IF(J100&lt;=TODAY()+7,"Due Soon","Scheduled"))))</x:f>
      </x:c>
    </x:row>
    <x:row r="101">
      <x:c r="G101" s="74"/>
      <x:c r="I101" s="77"/>
      <x:c r="J101" s="77"/>
      <x:c r="K101" s="77"/>
      <x:c r="O101" t="str">
        <x:f>IF(A101="","",IF(M101="Paused","Paused",IF(J101&lt;TODAY(),"Overdue",IF(J101&lt;=TODAY()+7,"Due Soon","Scheduled"))))</x:f>
      </x:c>
    </x:row>
    <x:row r="102">
      <x:c r="G102" s="74"/>
      <x:c r="I102" s="77"/>
      <x:c r="J102" s="77"/>
      <x:c r="K102" s="77"/>
      <x:c r="O102" t="str">
        <x:f>IF(A102="","",IF(M102="Paused","Paused",IF(J102&lt;TODAY(),"Overdue",IF(J102&lt;=TODAY()+7,"Due Soon","Scheduled"))))</x:f>
      </x:c>
    </x:row>
    <x:row r="103">
      <x:c r="G103" s="74"/>
      <x:c r="I103" s="77"/>
      <x:c r="J103" s="77"/>
      <x:c r="K103" s="77"/>
      <x:c r="O103" t="str">
        <x:f>IF(A103="","",IF(M103="Paused","Paused",IF(J103&lt;TODAY(),"Overdue",IF(J103&lt;=TODAY()+7,"Due Soon","Scheduled"))))</x:f>
      </x:c>
    </x:row>
    <x:row r="104">
      <x:c r="G104" s="74"/>
      <x:c r="I104" s="77"/>
      <x:c r="J104" s="77"/>
      <x:c r="K104" s="77"/>
      <x:c r="O104" t="str">
        <x:f>IF(A104="","",IF(M104="Paused","Paused",IF(J104&lt;TODAY(),"Overdue",IF(J104&lt;=TODAY()+7,"Due Soon","Scheduled"))))</x:f>
      </x:c>
    </x:row>
    <x:row r="105">
      <x:c r="G105" s="74"/>
      <x:c r="I105" s="77"/>
      <x:c r="J105" s="77"/>
      <x:c r="K105" s="77"/>
      <x:c r="O105" t="str">
        <x:f>IF(A105="","",IF(M105="Paused","Paused",IF(J105&lt;TODAY(),"Overdue",IF(J105&lt;=TODAY()+7,"Due Soon","Scheduled"))))</x:f>
      </x:c>
    </x:row>
    <x:row r="106">
      <x:c r="G106" s="74"/>
      <x:c r="I106" s="77"/>
      <x:c r="J106" s="77"/>
      <x:c r="K106" s="77"/>
      <x:c r="O106" t="str">
        <x:f>IF(A106="","",IF(M106="Paused","Paused",IF(J106&lt;TODAY(),"Overdue",IF(J106&lt;=TODAY()+7,"Due Soon","Scheduled"))))</x:f>
      </x:c>
    </x:row>
    <x:row r="107">
      <x:c r="G107" s="74"/>
      <x:c r="I107" s="77"/>
      <x:c r="J107" s="77"/>
      <x:c r="K107" s="77"/>
      <x:c r="O107" t="str">
        <x:f>IF(A107="","",IF(M107="Paused","Paused",IF(J107&lt;TODAY(),"Overdue",IF(J107&lt;=TODAY()+7,"Due Soon","Scheduled"))))</x:f>
      </x:c>
    </x:row>
    <x:row r="108">
      <x:c r="G108" s="74"/>
      <x:c r="I108" s="77"/>
      <x:c r="J108" s="77"/>
      <x:c r="K108" s="77"/>
      <x:c r="O108" t="str">
        <x:f>IF(A108="","",IF(M108="Paused","Paused",IF(J108&lt;TODAY(),"Overdue",IF(J108&lt;=TODAY()+7,"Due Soon","Scheduled"))))</x:f>
      </x:c>
    </x:row>
    <x:row r="109">
      <x:c r="G109" s="74"/>
      <x:c r="I109" s="77"/>
      <x:c r="J109" s="77"/>
      <x:c r="K109" s="77"/>
      <x:c r="O109" t="str">
        <x:f>IF(A109="","",IF(M109="Paused","Paused",IF(J109&lt;TODAY(),"Overdue",IF(J109&lt;=TODAY()+7,"Due Soon","Scheduled"))))</x:f>
      </x:c>
    </x:row>
    <x:row r="110">
      <x:c r="G110" s="74"/>
      <x:c r="I110" s="77"/>
      <x:c r="J110" s="77"/>
      <x:c r="K110" s="77"/>
      <x:c r="O110" t="str">
        <x:f>IF(A110="","",IF(M110="Paused","Paused",IF(J110&lt;TODAY(),"Overdue",IF(J110&lt;=TODAY()+7,"Due Soon","Scheduled"))))</x:f>
      </x:c>
    </x:row>
    <x:row r="111">
      <x:c r="G111" s="74"/>
      <x:c r="I111" s="77"/>
      <x:c r="J111" s="77"/>
      <x:c r="K111" s="77"/>
      <x:c r="O111" t="str">
        <x:f>IF(A111="","",IF(M111="Paused","Paused",IF(J111&lt;TODAY(),"Overdue",IF(J111&lt;=TODAY()+7,"Due Soon","Scheduled"))))</x:f>
      </x:c>
    </x:row>
    <x:row r="112">
      <x:c r="G112" s="74"/>
      <x:c r="I112" s="77"/>
      <x:c r="J112" s="77"/>
      <x:c r="K112" s="77"/>
      <x:c r="O112" t="str">
        <x:f>IF(A112="","",IF(M112="Paused","Paused",IF(J112&lt;TODAY(),"Overdue",IF(J112&lt;=TODAY()+7,"Due Soon","Scheduled"))))</x:f>
      </x:c>
    </x:row>
    <x:row r="113">
      <x:c r="G113" s="74"/>
      <x:c r="I113" s="77"/>
      <x:c r="J113" s="77"/>
      <x:c r="K113" s="77"/>
      <x:c r="O113" t="str">
        <x:f>IF(A113="","",IF(M113="Paused","Paused",IF(J113&lt;TODAY(),"Overdue",IF(J113&lt;=TODAY()+7,"Due Soon","Scheduled"))))</x:f>
      </x:c>
    </x:row>
    <x:row r="114">
      <x:c r="G114" s="74"/>
      <x:c r="I114" s="77"/>
      <x:c r="J114" s="77"/>
      <x:c r="K114" s="77"/>
      <x:c r="O114" t="str">
        <x:f>IF(A114="","",IF(M114="Paused","Paused",IF(J114&lt;TODAY(),"Overdue",IF(J114&lt;=TODAY()+7,"Due Soon","Scheduled"))))</x:f>
      </x:c>
    </x:row>
    <x:row r="115">
      <x:c r="G115" s="74"/>
      <x:c r="I115" s="77"/>
      <x:c r="J115" s="77"/>
      <x:c r="K115" s="77"/>
      <x:c r="O115" t="str">
        <x:f>IF(A115="","",IF(M115="Paused","Paused",IF(J115&lt;TODAY(),"Overdue",IF(J115&lt;=TODAY()+7,"Due Soon","Scheduled"))))</x:f>
      </x:c>
    </x:row>
    <x:row r="116">
      <x:c r="G116" s="74"/>
      <x:c r="I116" s="77"/>
      <x:c r="J116" s="77"/>
      <x:c r="K116" s="77"/>
      <x:c r="O116" t="str">
        <x:f>IF(A116="","",IF(M116="Paused","Paused",IF(J116&lt;TODAY(),"Overdue",IF(J116&lt;=TODAY()+7,"Due Soon","Scheduled"))))</x:f>
      </x:c>
    </x:row>
    <x:row r="117">
      <x:c r="G117" s="74"/>
      <x:c r="I117" s="77"/>
      <x:c r="J117" s="77"/>
      <x:c r="K117" s="77"/>
      <x:c r="O117" t="str">
        <x:f>IF(A117="","",IF(M117="Paused","Paused",IF(J117&lt;TODAY(),"Overdue",IF(J117&lt;=TODAY()+7,"Due Soon","Scheduled"))))</x:f>
      </x:c>
    </x:row>
    <x:row r="118">
      <x:c r="G118" s="74"/>
      <x:c r="I118" s="77"/>
      <x:c r="J118" s="77"/>
      <x:c r="K118" s="77"/>
      <x:c r="O118" t="str">
        <x:f>IF(A118="","",IF(M118="Paused","Paused",IF(J118&lt;TODAY(),"Overdue",IF(J118&lt;=TODAY()+7,"Due Soon","Scheduled"))))</x:f>
      </x:c>
    </x:row>
    <x:row r="119">
      <x:c r="G119" s="74"/>
      <x:c r="I119" s="77"/>
      <x:c r="J119" s="77"/>
      <x:c r="K119" s="77"/>
      <x:c r="O119" t="str">
        <x:f>IF(A119="","",IF(M119="Paused","Paused",IF(J119&lt;TODAY(),"Overdue",IF(J119&lt;=TODAY()+7,"Due Soon","Scheduled"))))</x:f>
      </x:c>
    </x:row>
    <x:row r="120">
      <x:c r="G120" s="74"/>
      <x:c r="I120" s="77"/>
      <x:c r="J120" s="77"/>
      <x:c r="K120" s="77"/>
      <x:c r="O120" t="str">
        <x:f>IF(A120="","",IF(M120="Paused","Paused",IF(J120&lt;TODAY(),"Overdue",IF(J120&lt;=TODAY()+7,"Due Soon","Scheduled"))))</x:f>
      </x:c>
    </x:row>
    <x:row r="121">
      <x:c r="G121" s="74"/>
      <x:c r="I121" s="77"/>
      <x:c r="J121" s="77"/>
      <x:c r="K121" s="77"/>
      <x:c r="O121" t="str">
        <x:f>IF(A121="","",IF(M121="Paused","Paused",IF(J121&lt;TODAY(),"Overdue",IF(J121&lt;=TODAY()+7,"Due Soon","Scheduled"))))</x:f>
      </x:c>
    </x:row>
    <x:row r="122">
      <x:c r="G122" s="74"/>
      <x:c r="I122" s="77"/>
      <x:c r="J122" s="77"/>
      <x:c r="K122" s="77"/>
      <x:c r="O122" t="str">
        <x:f>IF(A122="","",IF(M122="Paused","Paused",IF(J122&lt;TODAY(),"Overdue",IF(J122&lt;=TODAY()+7,"Due Soon","Scheduled"))))</x:f>
      </x:c>
    </x:row>
    <x:row r="123">
      <x:c r="G123" s="74"/>
      <x:c r="I123" s="77"/>
      <x:c r="J123" s="77"/>
      <x:c r="K123" s="77"/>
      <x:c r="O123" t="str">
        <x:f>IF(A123="","",IF(M123="Paused","Paused",IF(J123&lt;TODAY(),"Overdue",IF(J123&lt;=TODAY()+7,"Due Soon","Scheduled"))))</x:f>
      </x:c>
    </x:row>
    <x:row r="124">
      <x:c r="G124" s="74"/>
      <x:c r="I124" s="77"/>
      <x:c r="J124" s="77"/>
      <x:c r="K124" s="77"/>
      <x:c r="O124" t="str">
        <x:f>IF(A124="","",IF(M124="Paused","Paused",IF(J124&lt;TODAY(),"Overdue",IF(J124&lt;=TODAY()+7,"Due Soon","Scheduled"))))</x:f>
      </x:c>
    </x:row>
    <x:row r="125">
      <x:c r="G125" s="74"/>
      <x:c r="I125" s="77"/>
      <x:c r="J125" s="77"/>
      <x:c r="K125" s="77"/>
      <x:c r="O125" t="str">
        <x:f>IF(A125="","",IF(M125="Paused","Paused",IF(J125&lt;TODAY(),"Overdue",IF(J125&lt;=TODAY()+7,"Due Soon","Scheduled"))))</x:f>
      </x:c>
    </x:row>
    <x:row r="126">
      <x:c r="G126" s="74"/>
      <x:c r="I126" s="77"/>
      <x:c r="J126" s="77"/>
      <x:c r="K126" s="77"/>
      <x:c r="O126" t="str">
        <x:f>IF(A126="","",IF(M126="Paused","Paused",IF(J126&lt;TODAY(),"Overdue",IF(J126&lt;=TODAY()+7,"Due Soon","Scheduled"))))</x:f>
      </x:c>
    </x:row>
    <x:row r="127">
      <x:c r="G127" s="74"/>
      <x:c r="I127" s="77"/>
      <x:c r="J127" s="77"/>
      <x:c r="K127" s="77"/>
      <x:c r="O127" t="str">
        <x:f>IF(A127="","",IF(M127="Paused","Paused",IF(J127&lt;TODAY(),"Overdue",IF(J127&lt;=TODAY()+7,"Due Soon","Scheduled"))))</x:f>
      </x:c>
    </x:row>
    <x:row r="128">
      <x:c r="G128" s="74"/>
      <x:c r="I128" s="77"/>
      <x:c r="J128" s="77"/>
      <x:c r="K128" s="77"/>
      <x:c r="O128" t="str">
        <x:f>IF(A128="","",IF(M128="Paused","Paused",IF(J128&lt;TODAY(),"Overdue",IF(J128&lt;=TODAY()+7,"Due Soon","Scheduled"))))</x:f>
      </x:c>
    </x:row>
    <x:row r="129">
      <x:c r="G129" s="74"/>
      <x:c r="I129" s="77"/>
      <x:c r="J129" s="77"/>
      <x:c r="K129" s="77"/>
      <x:c r="O129" t="str">
        <x:f>IF(A129="","",IF(M129="Paused","Paused",IF(J129&lt;TODAY(),"Overdue",IF(J129&lt;=TODAY()+7,"Due Soon","Scheduled"))))</x:f>
      </x:c>
    </x:row>
    <x:row r="130">
      <x:c r="G130" s="74"/>
      <x:c r="I130" s="77"/>
      <x:c r="J130" s="77"/>
      <x:c r="K130" s="77"/>
      <x:c r="O130" t="str">
        <x:f>IF(A130="","",IF(M130="Paused","Paused",IF(J130&lt;TODAY(),"Overdue",IF(J130&lt;=TODAY()+7,"Due Soon","Scheduled"))))</x:f>
      </x:c>
    </x:row>
    <x:row r="131">
      <x:c r="G131" s="74"/>
      <x:c r="I131" s="77"/>
      <x:c r="J131" s="77"/>
      <x:c r="K131" s="77"/>
      <x:c r="O131" t="str">
        <x:f>IF(A131="","",IF(M131="Paused","Paused",IF(J131&lt;TODAY(),"Overdue",IF(J131&lt;=TODAY()+7,"Due Soon","Scheduled"))))</x:f>
      </x:c>
    </x:row>
    <x:row r="132">
      <x:c r="G132" s="74"/>
      <x:c r="I132" s="77"/>
      <x:c r="J132" s="77"/>
      <x:c r="K132" s="77"/>
      <x:c r="O132" t="str">
        <x:f>IF(A132="","",IF(M132="Paused","Paused",IF(J132&lt;TODAY(),"Overdue",IF(J132&lt;=TODAY()+7,"Due Soon","Scheduled"))))</x:f>
      </x:c>
    </x:row>
    <x:row r="133">
      <x:c r="G133" s="74"/>
      <x:c r="I133" s="77"/>
      <x:c r="J133" s="77"/>
      <x:c r="K133" s="77"/>
      <x:c r="O133" t="str">
        <x:f>IF(A133="","",IF(M133="Paused","Paused",IF(J133&lt;TODAY(),"Overdue",IF(J133&lt;=TODAY()+7,"Due Soon","Scheduled"))))</x:f>
      </x:c>
    </x:row>
    <x:row r="134">
      <x:c r="G134" s="74"/>
      <x:c r="I134" s="77"/>
      <x:c r="J134" s="77"/>
      <x:c r="K134" s="77"/>
      <x:c r="O134" t="str">
        <x:f>IF(A134="","",IF(M134="Paused","Paused",IF(J134&lt;TODAY(),"Overdue",IF(J134&lt;=TODAY()+7,"Due Soon","Scheduled"))))</x:f>
      </x:c>
    </x:row>
    <x:row r="135">
      <x:c r="G135" s="74"/>
      <x:c r="I135" s="77"/>
      <x:c r="J135" s="77"/>
      <x:c r="K135" s="77"/>
      <x:c r="O135" t="str">
        <x:f>IF(A135="","",IF(M135="Paused","Paused",IF(J135&lt;TODAY(),"Overdue",IF(J135&lt;=TODAY()+7,"Due Soon","Scheduled"))))</x:f>
      </x:c>
    </x:row>
    <x:row r="136">
      <x:c r="G136" s="74"/>
      <x:c r="I136" s="77"/>
      <x:c r="J136" s="77"/>
      <x:c r="K136" s="77"/>
      <x:c r="O136" t="str">
        <x:f>IF(A136="","",IF(M136="Paused","Paused",IF(J136&lt;TODAY(),"Overdue",IF(J136&lt;=TODAY()+7,"Due Soon","Scheduled"))))</x:f>
      </x:c>
    </x:row>
    <x:row r="137">
      <x:c r="G137" s="74"/>
      <x:c r="I137" s="77"/>
      <x:c r="J137" s="77"/>
      <x:c r="K137" s="77"/>
      <x:c r="O137" t="str">
        <x:f>IF(A137="","",IF(M137="Paused","Paused",IF(J137&lt;TODAY(),"Overdue",IF(J137&lt;=TODAY()+7,"Due Soon","Scheduled"))))</x:f>
      </x:c>
    </x:row>
    <x:row r="138">
      <x:c r="G138" s="74"/>
      <x:c r="I138" s="77"/>
      <x:c r="J138" s="77"/>
      <x:c r="K138" s="77"/>
      <x:c r="O138" t="str">
        <x:f>IF(A138="","",IF(M138="Paused","Paused",IF(J138&lt;TODAY(),"Overdue",IF(J138&lt;=TODAY()+7,"Due Soon","Scheduled"))))</x:f>
      </x:c>
    </x:row>
    <x:row r="139">
      <x:c r="G139" s="74"/>
      <x:c r="I139" s="77"/>
      <x:c r="J139" s="77"/>
      <x:c r="K139" s="77"/>
      <x:c r="O139" t="str">
        <x:f>IF(A139="","",IF(M139="Paused","Paused",IF(J139&lt;TODAY(),"Overdue",IF(J139&lt;=TODAY()+7,"Due Soon","Scheduled"))))</x:f>
      </x:c>
    </x:row>
    <x:row r="140">
      <x:c r="G140" s="74"/>
      <x:c r="I140" s="77"/>
      <x:c r="J140" s="77"/>
      <x:c r="K140" s="77"/>
      <x:c r="O140" t="str">
        <x:f>IF(A140="","",IF(M140="Paused","Paused",IF(J140&lt;TODAY(),"Overdue",IF(J140&lt;=TODAY()+7,"Due Soon","Scheduled"))))</x:f>
      </x:c>
    </x:row>
    <x:row r="141">
      <x:c r="G141" s="74"/>
      <x:c r="I141" s="77"/>
      <x:c r="J141" s="77"/>
      <x:c r="K141" s="77"/>
      <x:c r="O141" t="str">
        <x:f>IF(A141="","",IF(M141="Paused","Paused",IF(J141&lt;TODAY(),"Overdue",IF(J141&lt;=TODAY()+7,"Due Soon","Scheduled"))))</x:f>
      </x:c>
    </x:row>
    <x:row r="142">
      <x:c r="G142" s="74"/>
      <x:c r="I142" s="77"/>
      <x:c r="J142" s="77"/>
      <x:c r="K142" s="77"/>
      <x:c r="O142" t="str">
        <x:f>IF(A142="","",IF(M142="Paused","Paused",IF(J142&lt;TODAY(),"Overdue",IF(J142&lt;=TODAY()+7,"Due Soon","Scheduled"))))</x:f>
      </x:c>
    </x:row>
    <x:row r="143">
      <x:c r="G143" s="74"/>
      <x:c r="I143" s="77"/>
      <x:c r="J143" s="77"/>
      <x:c r="K143" s="77"/>
      <x:c r="O143" t="str">
        <x:f>IF(A143="","",IF(M143="Paused","Paused",IF(J143&lt;TODAY(),"Overdue",IF(J143&lt;=TODAY()+7,"Due Soon","Scheduled"))))</x:f>
      </x:c>
    </x:row>
    <x:row r="144">
      <x:c r="G144" s="74"/>
      <x:c r="I144" s="77"/>
      <x:c r="J144" s="77"/>
      <x:c r="K144" s="77"/>
      <x:c r="O144" t="str">
        <x:f>IF(A144="","",IF(M144="Paused","Paused",IF(J144&lt;TODAY(),"Overdue",IF(J144&lt;=TODAY()+7,"Due Soon","Scheduled"))))</x:f>
      </x:c>
    </x:row>
    <x:row r="145">
      <x:c r="G145" s="74"/>
      <x:c r="I145" s="77"/>
      <x:c r="J145" s="77"/>
      <x:c r="K145" s="77"/>
      <x:c r="O145" t="str">
        <x:f>IF(A145="","",IF(M145="Paused","Paused",IF(J145&lt;TODAY(),"Overdue",IF(J145&lt;=TODAY()+7,"Due Soon","Scheduled"))))</x:f>
      </x:c>
    </x:row>
    <x:row r="146">
      <x:c r="G146" s="74"/>
      <x:c r="I146" s="77"/>
      <x:c r="J146" s="77"/>
      <x:c r="K146" s="77"/>
      <x:c r="O146" t="str">
        <x:f>IF(A146="","",IF(M146="Paused","Paused",IF(J146&lt;TODAY(),"Overdue",IF(J146&lt;=TODAY()+7,"Due Soon","Scheduled"))))</x:f>
      </x:c>
    </x:row>
    <x:row r="147">
      <x:c r="G147" s="74"/>
      <x:c r="I147" s="77"/>
      <x:c r="J147" s="77"/>
      <x:c r="K147" s="77"/>
      <x:c r="O147" t="str">
        <x:f>IF(A147="","",IF(M147="Paused","Paused",IF(J147&lt;TODAY(),"Overdue",IF(J147&lt;=TODAY()+7,"Due Soon","Scheduled"))))</x:f>
      </x:c>
    </x:row>
    <x:row r="148">
      <x:c r="G148" s="74"/>
      <x:c r="I148" s="77"/>
      <x:c r="J148" s="77"/>
      <x:c r="K148" s="77"/>
      <x:c r="O148" t="str">
        <x:f>IF(A148="","",IF(M148="Paused","Paused",IF(J148&lt;TODAY(),"Overdue",IF(J148&lt;=TODAY()+7,"Due Soon","Scheduled"))))</x:f>
      </x:c>
    </x:row>
    <x:row r="149">
      <x:c r="G149" s="74"/>
      <x:c r="I149" s="77"/>
      <x:c r="J149" s="77"/>
      <x:c r="K149" s="77"/>
      <x:c r="O149" t="str">
        <x:f>IF(A149="","",IF(M149="Paused","Paused",IF(J149&lt;TODAY(),"Overdue",IF(J149&lt;=TODAY()+7,"Due Soon","Scheduled"))))</x:f>
      </x:c>
    </x:row>
    <x:row r="150">
      <x:c r="G150" s="74"/>
      <x:c r="I150" s="77"/>
      <x:c r="J150" s="77"/>
      <x:c r="K150" s="77"/>
      <x:c r="O150" t="str">
        <x:f>IF(A150="","",IF(M150="Paused","Paused",IF(J150&lt;TODAY(),"Overdue",IF(J150&lt;=TODAY()+7,"Due Soon","Scheduled"))))</x:f>
      </x:c>
    </x:row>
    <x:row r="151">
      <x:c r="G151" s="74"/>
      <x:c r="I151" s="77"/>
      <x:c r="J151" s="77"/>
      <x:c r="K151" s="77"/>
      <x:c r="O151" t="str">
        <x:f>IF(A151="","",IF(M151="Paused","Paused",IF(J151&lt;TODAY(),"Overdue",IF(J151&lt;=TODAY()+7,"Due Soon","Scheduled"))))</x:f>
      </x:c>
    </x:row>
    <x:row r="152">
      <x:c r="G152" s="74"/>
      <x:c r="I152" s="77"/>
      <x:c r="J152" s="77"/>
      <x:c r="K152" s="77"/>
      <x:c r="O152" t="str">
        <x:f>IF(A152="","",IF(M152="Paused","Paused",IF(J152&lt;TODAY(),"Overdue",IF(J152&lt;=TODAY()+7,"Due Soon","Scheduled"))))</x:f>
      </x:c>
    </x:row>
    <x:row r="153">
      <x:c r="G153" s="74"/>
      <x:c r="I153" s="77"/>
      <x:c r="J153" s="77"/>
      <x:c r="K153" s="77"/>
      <x:c r="O153" t="str">
        <x:f>IF(A153="","",IF(M153="Paused","Paused",IF(J153&lt;TODAY(),"Overdue",IF(J153&lt;=TODAY()+7,"Due Soon","Scheduled"))))</x:f>
      </x:c>
    </x:row>
    <x:row r="154">
      <x:c r="G154" s="74"/>
      <x:c r="I154" s="77"/>
      <x:c r="J154" s="77"/>
      <x:c r="K154" s="77"/>
      <x:c r="O154" t="str">
        <x:f>IF(A154="","",IF(M154="Paused","Paused",IF(J154&lt;TODAY(),"Overdue",IF(J154&lt;=TODAY()+7,"Due Soon","Scheduled"))))</x:f>
      </x:c>
    </x:row>
    <x:row r="155">
      <x:c r="G155" s="74"/>
      <x:c r="I155" s="77"/>
      <x:c r="J155" s="77"/>
      <x:c r="K155" s="77"/>
      <x:c r="O155" t="str">
        <x:f>IF(A155="","",IF(M155="Paused","Paused",IF(J155&lt;TODAY(),"Overdue",IF(J155&lt;=TODAY()+7,"Due Soon","Scheduled"))))</x:f>
      </x:c>
    </x:row>
    <x:row r="156">
      <x:c r="G156" s="74"/>
      <x:c r="I156" s="77"/>
      <x:c r="J156" s="77"/>
      <x:c r="K156" s="77"/>
      <x:c r="O156" t="str">
        <x:f>IF(A156="","",IF(M156="Paused","Paused",IF(J156&lt;TODAY(),"Overdue",IF(J156&lt;=TODAY()+7,"Due Soon","Scheduled"))))</x:f>
      </x:c>
    </x:row>
    <x:row r="157">
      <x:c r="G157" s="74"/>
      <x:c r="I157" s="77"/>
      <x:c r="J157" s="77"/>
      <x:c r="K157" s="77"/>
      <x:c r="O157" t="str">
        <x:f>IF(A157="","",IF(M157="Paused","Paused",IF(J157&lt;TODAY(),"Overdue",IF(J157&lt;=TODAY()+7,"Due Soon","Scheduled"))))</x:f>
      </x:c>
    </x:row>
    <x:row r="158">
      <x:c r="G158" s="74"/>
      <x:c r="I158" s="77"/>
      <x:c r="J158" s="77"/>
      <x:c r="K158" s="77"/>
      <x:c r="O158" t="str">
        <x:f>IF(A158="","",IF(M158="Paused","Paused",IF(J158&lt;TODAY(),"Overdue",IF(J158&lt;=TODAY()+7,"Due Soon","Scheduled"))))</x:f>
      </x:c>
    </x:row>
    <x:row r="159">
      <x:c r="G159" s="74"/>
      <x:c r="I159" s="77"/>
      <x:c r="J159" s="77"/>
      <x:c r="K159" s="77"/>
      <x:c r="O159" t="str">
        <x:f>IF(A159="","",IF(M159="Paused","Paused",IF(J159&lt;TODAY(),"Overdue",IF(J159&lt;=TODAY()+7,"Due Soon","Scheduled"))))</x:f>
      </x:c>
    </x:row>
    <x:row r="160">
      <x:c r="G160" s="74"/>
      <x:c r="I160" s="77"/>
      <x:c r="J160" s="77"/>
      <x:c r="K160" s="77"/>
      <x:c r="O160" t="str">
        <x:f>IF(A160="","",IF(M160="Paused","Paused",IF(J160&lt;TODAY(),"Overdue",IF(J160&lt;=TODAY()+7,"Due Soon","Scheduled"))))</x:f>
      </x:c>
    </x:row>
    <x:row r="161">
      <x:c r="G161" s="74"/>
      <x:c r="I161" s="77"/>
      <x:c r="J161" s="77"/>
      <x:c r="K161" s="77"/>
      <x:c r="O161" t="str">
        <x:f>IF(A161="","",IF(M161="Paused","Paused",IF(J161&lt;TODAY(),"Overdue",IF(J161&lt;=TODAY()+7,"Due Soon","Scheduled"))))</x:f>
      </x:c>
    </x:row>
    <x:row r="162">
      <x:c r="G162" s="74"/>
      <x:c r="I162" s="77"/>
      <x:c r="J162" s="77"/>
      <x:c r="K162" s="77"/>
      <x:c r="O162" t="str">
        <x:f>IF(A162="","",IF(M162="Paused","Paused",IF(J162&lt;TODAY(),"Overdue",IF(J162&lt;=TODAY()+7,"Due Soon","Scheduled"))))</x:f>
      </x:c>
    </x:row>
    <x:row r="163">
      <x:c r="G163" s="74"/>
      <x:c r="I163" s="77"/>
      <x:c r="J163" s="77"/>
      <x:c r="K163" s="77"/>
      <x:c r="O163" t="str">
        <x:f>IF(A163="","",IF(M163="Paused","Paused",IF(J163&lt;TODAY(),"Overdue",IF(J163&lt;=TODAY()+7,"Due Soon","Scheduled"))))</x:f>
      </x:c>
    </x:row>
    <x:row r="164">
      <x:c r="G164" s="74"/>
      <x:c r="I164" s="77"/>
      <x:c r="J164" s="77"/>
      <x:c r="K164" s="77"/>
      <x:c r="O164" t="str">
        <x:f>IF(A164="","",IF(M164="Paused","Paused",IF(J164&lt;TODAY(),"Overdue",IF(J164&lt;=TODAY()+7,"Due Soon","Scheduled"))))</x:f>
      </x:c>
    </x:row>
    <x:row r="165">
      <x:c r="G165" s="74"/>
      <x:c r="I165" s="77"/>
      <x:c r="J165" s="77"/>
      <x:c r="K165" s="77"/>
      <x:c r="O165" t="str">
        <x:f>IF(A165="","",IF(M165="Paused","Paused",IF(J165&lt;TODAY(),"Overdue",IF(J165&lt;=TODAY()+7,"Due Soon","Scheduled"))))</x:f>
      </x:c>
    </x:row>
    <x:row r="166">
      <x:c r="G166" s="74"/>
      <x:c r="I166" s="77"/>
      <x:c r="J166" s="77"/>
      <x:c r="K166" s="77"/>
      <x:c r="O166" t="str">
        <x:f>IF(A166="","",IF(M166="Paused","Paused",IF(J166&lt;TODAY(),"Overdue",IF(J166&lt;=TODAY()+7,"Due Soon","Scheduled"))))</x:f>
      </x:c>
    </x:row>
    <x:row r="167">
      <x:c r="G167" s="74"/>
      <x:c r="I167" s="77"/>
      <x:c r="J167" s="77"/>
      <x:c r="K167" s="77"/>
      <x:c r="O167" t="str">
        <x:f>IF(A167="","",IF(M167="Paused","Paused",IF(J167&lt;TODAY(),"Overdue",IF(J167&lt;=TODAY()+7,"Due Soon","Scheduled"))))</x:f>
      </x:c>
    </x:row>
    <x:row r="168">
      <x:c r="G168" s="74"/>
      <x:c r="I168" s="77"/>
      <x:c r="J168" s="77"/>
      <x:c r="K168" s="77"/>
      <x:c r="O168" t="str">
        <x:f>IF(A168="","",IF(M168="Paused","Paused",IF(J168&lt;TODAY(),"Overdue",IF(J168&lt;=TODAY()+7,"Due Soon","Scheduled"))))</x:f>
      </x:c>
    </x:row>
    <x:row r="169">
      <x:c r="G169" s="74"/>
      <x:c r="I169" s="77"/>
      <x:c r="J169" s="77"/>
      <x:c r="K169" s="77"/>
      <x:c r="O169" t="str">
        <x:f>IF(A169="","",IF(M169="Paused","Paused",IF(J169&lt;TODAY(),"Overdue",IF(J169&lt;=TODAY()+7,"Due Soon","Scheduled"))))</x:f>
      </x:c>
    </x:row>
    <x:row r="170">
      <x:c r="G170" s="74"/>
      <x:c r="I170" s="77"/>
      <x:c r="J170" s="77"/>
      <x:c r="K170" s="77"/>
      <x:c r="O170" t="str">
        <x:f>IF(A170="","",IF(M170="Paused","Paused",IF(J170&lt;TODAY(),"Overdue",IF(J170&lt;=TODAY()+7,"Due Soon","Scheduled"))))</x:f>
      </x:c>
    </x:row>
    <x:row r="171">
      <x:c r="G171" s="74"/>
      <x:c r="I171" s="77"/>
      <x:c r="J171" s="77"/>
      <x:c r="K171" s="77"/>
      <x:c r="O171" t="str">
        <x:f>IF(A171="","",IF(M171="Paused","Paused",IF(J171&lt;TODAY(),"Overdue",IF(J171&lt;=TODAY()+7,"Due Soon","Scheduled"))))</x:f>
      </x:c>
    </x:row>
    <x:row r="172">
      <x:c r="G172" s="74"/>
      <x:c r="I172" s="77"/>
      <x:c r="J172" s="77"/>
      <x:c r="K172" s="77"/>
      <x:c r="O172" t="str">
        <x:f>IF(A172="","",IF(M172="Paused","Paused",IF(J172&lt;TODAY(),"Overdue",IF(J172&lt;=TODAY()+7,"Due Soon","Scheduled"))))</x:f>
      </x:c>
    </x:row>
    <x:row r="173">
      <x:c r="G173" s="74"/>
      <x:c r="I173" s="77"/>
      <x:c r="J173" s="77"/>
      <x:c r="K173" s="77"/>
      <x:c r="O173" t="str">
        <x:f>IF(A173="","",IF(M173="Paused","Paused",IF(J173&lt;TODAY(),"Overdue",IF(J173&lt;=TODAY()+7,"Due Soon","Scheduled"))))</x:f>
      </x:c>
    </x:row>
    <x:row r="174">
      <x:c r="G174" s="74"/>
      <x:c r="I174" s="77"/>
      <x:c r="J174" s="77"/>
      <x:c r="K174" s="77"/>
      <x:c r="O174" t="str">
        <x:f>IF(A174="","",IF(M174="Paused","Paused",IF(J174&lt;TODAY(),"Overdue",IF(J174&lt;=TODAY()+7,"Due Soon","Scheduled"))))</x:f>
      </x:c>
    </x:row>
    <x:row r="175">
      <x:c r="G175" s="74"/>
      <x:c r="I175" s="77"/>
      <x:c r="J175" s="77"/>
      <x:c r="K175" s="77"/>
      <x:c r="O175" t="str">
        <x:f>IF(A175="","",IF(M175="Paused","Paused",IF(J175&lt;TODAY(),"Overdue",IF(J175&lt;=TODAY()+7,"Due Soon","Scheduled"))))</x:f>
      </x:c>
    </x:row>
    <x:row r="176">
      <x:c r="G176" s="74"/>
      <x:c r="I176" s="77"/>
      <x:c r="J176" s="77"/>
      <x:c r="K176" s="77"/>
      <x:c r="O176" t="str">
        <x:f>IF(A176="","",IF(M176="Paused","Paused",IF(J176&lt;TODAY(),"Overdue",IF(J176&lt;=TODAY()+7,"Due Soon","Scheduled"))))</x:f>
      </x:c>
    </x:row>
    <x:row r="177">
      <x:c r="G177" s="74"/>
      <x:c r="I177" s="77"/>
      <x:c r="J177" s="77"/>
      <x:c r="K177" s="77"/>
      <x:c r="O177" t="str">
        <x:f>IF(A177="","",IF(M177="Paused","Paused",IF(J177&lt;TODAY(),"Overdue",IF(J177&lt;=TODAY()+7,"Due Soon","Scheduled"))))</x:f>
      </x:c>
    </x:row>
    <x:row r="178">
      <x:c r="G178" s="74"/>
      <x:c r="I178" s="77"/>
      <x:c r="J178" s="77"/>
      <x:c r="K178" s="77"/>
      <x:c r="O178" t="str">
        <x:f>IF(A178="","",IF(M178="Paused","Paused",IF(J178&lt;TODAY(),"Overdue",IF(J178&lt;=TODAY()+7,"Due Soon","Scheduled"))))</x:f>
      </x:c>
    </x:row>
    <x:row r="179">
      <x:c r="G179" s="74"/>
      <x:c r="I179" s="77"/>
      <x:c r="J179" s="77"/>
      <x:c r="K179" s="77"/>
      <x:c r="O179" t="str">
        <x:f>IF(A179="","",IF(M179="Paused","Paused",IF(J179&lt;TODAY(),"Overdue",IF(J179&lt;=TODAY()+7,"Due Soon","Scheduled"))))</x:f>
      </x:c>
    </x:row>
    <x:row r="180">
      <x:c r="G180" s="74"/>
      <x:c r="I180" s="77"/>
      <x:c r="J180" s="77"/>
      <x:c r="K180" s="77"/>
      <x:c r="O180" t="str">
        <x:f>IF(A180="","",IF(M180="Paused","Paused",IF(J180&lt;TODAY(),"Overdue",IF(J180&lt;=TODAY()+7,"Due Soon","Scheduled"))))</x:f>
      </x:c>
    </x:row>
    <x:row r="181">
      <x:c r="G181" s="74"/>
      <x:c r="I181" s="77"/>
      <x:c r="J181" s="77"/>
      <x:c r="K181" s="77"/>
      <x:c r="O181" t="str">
        <x:f>IF(A181="","",IF(M181="Paused","Paused",IF(J181&lt;TODAY(),"Overdue",IF(J181&lt;=TODAY()+7,"Due Soon","Scheduled"))))</x:f>
      </x:c>
    </x:row>
    <x:row r="182">
      <x:c r="G182" s="74"/>
      <x:c r="I182" s="77"/>
      <x:c r="J182" s="77"/>
      <x:c r="K182" s="77"/>
      <x:c r="O182" t="str">
        <x:f>IF(A182="","",IF(M182="Paused","Paused",IF(J182&lt;TODAY(),"Overdue",IF(J182&lt;=TODAY()+7,"Due Soon","Scheduled"))))</x:f>
      </x:c>
    </x:row>
    <x:row r="183">
      <x:c r="G183" s="74"/>
      <x:c r="I183" s="77"/>
      <x:c r="J183" s="77"/>
      <x:c r="K183" s="77"/>
      <x:c r="O183" t="str">
        <x:f>IF(A183="","",IF(M183="Paused","Paused",IF(J183&lt;TODAY(),"Overdue",IF(J183&lt;=TODAY()+7,"Due Soon","Scheduled"))))</x:f>
      </x:c>
    </x:row>
    <x:row r="184">
      <x:c r="G184" s="74"/>
      <x:c r="I184" s="77"/>
      <x:c r="J184" s="77"/>
      <x:c r="K184" s="77"/>
      <x:c r="O184" t="str">
        <x:f>IF(A184="","",IF(M184="Paused","Paused",IF(J184&lt;TODAY(),"Overdue",IF(J184&lt;=TODAY()+7,"Due Soon","Scheduled"))))</x:f>
      </x:c>
    </x:row>
    <x:row r="185">
      <x:c r="G185" s="74"/>
      <x:c r="I185" s="77"/>
      <x:c r="J185" s="77"/>
      <x:c r="K185" s="77"/>
      <x:c r="O185" t="str">
        <x:f>IF(A185="","",IF(M185="Paused","Paused",IF(J185&lt;TODAY(),"Overdue",IF(J185&lt;=TODAY()+7,"Due Soon","Scheduled"))))</x:f>
      </x:c>
    </x:row>
    <x:row r="186">
      <x:c r="G186" s="74"/>
      <x:c r="I186" s="77"/>
      <x:c r="J186" s="77"/>
      <x:c r="K186" s="77"/>
      <x:c r="O186" t="str">
        <x:f>IF(A186="","",IF(M186="Paused","Paused",IF(J186&lt;TODAY(),"Overdue",IF(J186&lt;=TODAY()+7,"Due Soon","Scheduled"))))</x:f>
      </x:c>
    </x:row>
    <x:row r="187">
      <x:c r="G187" s="74"/>
      <x:c r="I187" s="77"/>
      <x:c r="J187" s="77"/>
      <x:c r="K187" s="77"/>
      <x:c r="O187" t="str">
        <x:f>IF(A187="","",IF(M187="Paused","Paused",IF(J187&lt;TODAY(),"Overdue",IF(J187&lt;=TODAY()+7,"Due Soon","Scheduled"))))</x:f>
      </x:c>
    </x:row>
    <x:row r="188">
      <x:c r="G188" s="74"/>
      <x:c r="I188" s="77"/>
      <x:c r="J188" s="77"/>
      <x:c r="K188" s="77"/>
      <x:c r="O188" t="str">
        <x:f>IF(A188="","",IF(M188="Paused","Paused",IF(J188&lt;TODAY(),"Overdue",IF(J188&lt;=TODAY()+7,"Due Soon","Scheduled"))))</x:f>
      </x:c>
    </x:row>
    <x:row r="189">
      <x:c r="G189" s="74"/>
      <x:c r="I189" s="77"/>
      <x:c r="J189" s="77"/>
      <x:c r="K189" s="77"/>
      <x:c r="O189" t="str">
        <x:f>IF(A189="","",IF(M189="Paused","Paused",IF(J189&lt;TODAY(),"Overdue",IF(J189&lt;=TODAY()+7,"Due Soon","Scheduled"))))</x:f>
      </x:c>
    </x:row>
    <x:row r="190">
      <x:c r="G190" s="74"/>
      <x:c r="I190" s="77"/>
      <x:c r="J190" s="77"/>
      <x:c r="K190" s="77"/>
      <x:c r="O190" t="str">
        <x:f>IF(A190="","",IF(M190="Paused","Paused",IF(J190&lt;TODAY(),"Overdue",IF(J190&lt;=TODAY()+7,"Due Soon","Scheduled"))))</x:f>
      </x:c>
    </x:row>
    <x:row r="191">
      <x:c r="G191" s="74"/>
      <x:c r="I191" s="77"/>
      <x:c r="J191" s="77"/>
      <x:c r="K191" s="77"/>
      <x:c r="O191" t="str">
        <x:f>IF(A191="","",IF(M191="Paused","Paused",IF(J191&lt;TODAY(),"Overdue",IF(J191&lt;=TODAY()+7,"Due Soon","Scheduled"))))</x:f>
      </x:c>
    </x:row>
    <x:row r="192">
      <x:c r="G192" s="74"/>
      <x:c r="I192" s="77"/>
      <x:c r="J192" s="77"/>
      <x:c r="K192" s="77"/>
      <x:c r="O192" t="str">
        <x:f>IF(A192="","",IF(M192="Paused","Paused",IF(J192&lt;TODAY(),"Overdue",IF(J192&lt;=TODAY()+7,"Due Soon","Scheduled"))))</x:f>
      </x:c>
    </x:row>
    <x:row r="193">
      <x:c r="G193" s="74"/>
      <x:c r="I193" s="77"/>
      <x:c r="J193" s="77"/>
      <x:c r="K193" s="77"/>
      <x:c r="O193" t="str">
        <x:f>IF(A193="","",IF(M193="Paused","Paused",IF(J193&lt;TODAY(),"Overdue",IF(J193&lt;=TODAY()+7,"Due Soon","Scheduled"))))</x:f>
      </x:c>
    </x:row>
    <x:row r="194">
      <x:c r="G194" s="74"/>
      <x:c r="I194" s="77"/>
      <x:c r="J194" s="77"/>
      <x:c r="K194" s="77"/>
      <x:c r="O194" t="str">
        <x:f>IF(A194="","",IF(M194="Paused","Paused",IF(J194&lt;TODAY(),"Overdue",IF(J194&lt;=TODAY()+7,"Due Soon","Scheduled"))))</x:f>
      </x:c>
    </x:row>
    <x:row r="195">
      <x:c r="G195" s="74"/>
      <x:c r="I195" s="77"/>
      <x:c r="J195" s="77"/>
      <x:c r="K195" s="77"/>
      <x:c r="O195" t="str">
        <x:f>IF(A195="","",IF(M195="Paused","Paused",IF(J195&lt;TODAY(),"Overdue",IF(J195&lt;=TODAY()+7,"Due Soon","Scheduled"))))</x:f>
      </x:c>
    </x:row>
    <x:row r="196">
      <x:c r="G196" s="74"/>
      <x:c r="I196" s="77"/>
      <x:c r="J196" s="77"/>
      <x:c r="K196" s="77"/>
      <x:c r="O196" t="str">
        <x:f>IF(A196="","",IF(M196="Paused","Paused",IF(J196&lt;TODAY(),"Overdue",IF(J196&lt;=TODAY()+7,"Due Soon","Scheduled"))))</x:f>
      </x:c>
    </x:row>
    <x:row r="197">
      <x:c r="G197" s="74"/>
      <x:c r="I197" s="77"/>
      <x:c r="J197" s="77"/>
      <x:c r="K197" s="77"/>
      <x:c r="O197" t="str">
        <x:f>IF(A197="","",IF(M197="Paused","Paused",IF(J197&lt;TODAY(),"Overdue",IF(J197&lt;=TODAY()+7,"Due Soon","Scheduled"))))</x:f>
      </x:c>
    </x:row>
    <x:row r="198">
      <x:c r="G198" s="74"/>
      <x:c r="I198" s="77"/>
      <x:c r="J198" s="77"/>
      <x:c r="K198" s="77"/>
      <x:c r="O198" t="str">
        <x:f>IF(A198="","",IF(M198="Paused","Paused",IF(J198&lt;TODAY(),"Overdue",IF(J198&lt;=TODAY()+7,"Due Soon","Scheduled"))))</x:f>
      </x:c>
    </x:row>
    <x:row r="199">
      <x:c r="G199" s="74"/>
      <x:c r="I199" s="77"/>
      <x:c r="J199" s="77"/>
      <x:c r="K199" s="77"/>
      <x:c r="O199" t="str">
        <x:f>IF(A199="","",IF(M199="Paused","Paused",IF(J199&lt;TODAY(),"Overdue",IF(J199&lt;=TODAY()+7,"Due Soon","Scheduled"))))</x:f>
      </x:c>
    </x:row>
    <x:row r="200">
      <x:c r="G200" s="74"/>
      <x:c r="I200" s="77"/>
      <x:c r="J200" s="77"/>
      <x:c r="K200" s="77"/>
      <x:c r="O200" t="str">
        <x:f>IF(A200="","",IF(M200="Paused","Paused",IF(J200&lt;TODAY(),"Overdue",IF(J200&lt;=TODAY()+7,"Due Soon","Scheduled"))))</x:f>
      </x:c>
    </x:row>
    <x:row r="201">
      <x:c r="G201" s="74"/>
      <x:c r="I201" s="77"/>
      <x:c r="J201" s="77"/>
      <x:c r="K201" s="77"/>
      <x:c r="O201" t="str">
        <x:f>IF(A201="","",IF(M201="Paused","Paused",IF(J201&lt;TODAY(),"Overdue",IF(J201&lt;=TODAY()+7,"Due Soon","Scheduled"))))</x:f>
      </x:c>
    </x:row>
    <x:row r="202">
      <x:c r="G202" s="74"/>
      <x:c r="I202" s="77"/>
      <x:c r="J202" s="77"/>
      <x:c r="K202" s="77"/>
      <x:c r="O202" t="str">
        <x:f>IF(A202="","",IF(M202="Paused","Paused",IF(J202&lt;TODAY(),"Overdue",IF(J202&lt;=TODAY()+7,"Due Soon","Scheduled"))))</x:f>
      </x:c>
    </x:row>
    <x:row r="203">
      <x:c r="G203" s="74"/>
      <x:c r="I203" s="77"/>
      <x:c r="J203" s="77"/>
      <x:c r="K203" s="77"/>
      <x:c r="O203" t="str">
        <x:f>IF(A203="","",IF(M203="Paused","Paused",IF(J203&lt;TODAY(),"Overdue",IF(J203&lt;=TODAY()+7,"Due Soon","Scheduled"))))</x:f>
      </x:c>
    </x:row>
    <x:row r="204">
      <x:c r="G204" s="74"/>
      <x:c r="I204" s="77"/>
      <x:c r="J204" s="77"/>
      <x:c r="K204" s="77"/>
      <x:c r="O204" t="str">
        <x:f>IF(A204="","",IF(M204="Paused","Paused",IF(J204&lt;TODAY(),"Overdue",IF(J204&lt;=TODAY()+7,"Due Soon","Scheduled"))))</x:f>
      </x:c>
    </x:row>
    <x:row r="205">
      <x:c r="G205" s="74"/>
      <x:c r="I205" s="77"/>
      <x:c r="J205" s="77"/>
      <x:c r="K205" s="77"/>
      <x:c r="O205" t="str">
        <x:f>IF(A205="","",IF(M205="Paused","Paused",IF(J205&lt;TODAY(),"Overdue",IF(J205&lt;=TODAY()+7,"Due Soon","Scheduled"))))</x:f>
      </x:c>
    </x:row>
    <x:row r="206">
      <x:c r="G206" s="74"/>
      <x:c r="I206" s="77"/>
      <x:c r="J206" s="77"/>
      <x:c r="K206" s="77"/>
      <x:c r="O206" t="str">
        <x:f>IF(A206="","",IF(M206="Paused","Paused",IF(J206&lt;TODAY(),"Overdue",IF(J206&lt;=TODAY()+7,"Due Soon","Scheduled"))))</x:f>
      </x:c>
    </x:row>
    <x:row r="207">
      <x:c r="G207" s="74"/>
      <x:c r="I207" s="77"/>
      <x:c r="J207" s="77"/>
      <x:c r="K207" s="77"/>
      <x:c r="O207" t="str">
        <x:f>IF(A207="","",IF(M207="Paused","Paused",IF(J207&lt;TODAY(),"Overdue",IF(J207&lt;=TODAY()+7,"Due Soon","Scheduled"))))</x:f>
      </x:c>
    </x:row>
    <x:row r="208">
      <x:c r="G208" s="74"/>
      <x:c r="I208" s="77"/>
      <x:c r="J208" s="77"/>
      <x:c r="K208" s="77"/>
      <x:c r="O208" t="str">
        <x:f>IF(A208="","",IF(M208="Paused","Paused",IF(J208&lt;TODAY(),"Overdue",IF(J208&lt;=TODAY()+7,"Due Soon","Scheduled"))))</x:f>
      </x:c>
    </x:row>
    <x:row r="209">
      <x:c r="G209" s="74"/>
      <x:c r="I209" s="77"/>
      <x:c r="J209" s="77"/>
      <x:c r="K209" s="77"/>
      <x:c r="O209" t="str">
        <x:f>IF(A209="","",IF(M209="Paused","Paused",IF(J209&lt;TODAY(),"Overdue",IF(J209&lt;=TODAY()+7,"Due Soon","Scheduled"))))</x:f>
      </x:c>
    </x:row>
    <x:row r="210">
      <x:c r="G210" s="74"/>
      <x:c r="I210" s="77"/>
      <x:c r="J210" s="77"/>
      <x:c r="K210" s="77"/>
      <x:c r="O210" t="str">
        <x:f>IF(A210="","",IF(M210="Paused","Paused",IF(J210&lt;TODAY(),"Overdue",IF(J210&lt;=TODAY()+7,"Due Soon","Scheduled"))))</x:f>
      </x:c>
    </x:row>
    <x:row r="211">
      <x:c r="G211" s="74"/>
      <x:c r="I211" s="77"/>
      <x:c r="J211" s="77"/>
      <x:c r="K211" s="77"/>
      <x:c r="O211" t="str">
        <x:f>IF(A211="","",IF(M211="Paused","Paused",IF(J211&lt;TODAY(),"Overdue",IF(J211&lt;=TODAY()+7,"Due Soon","Scheduled"))))</x:f>
      </x:c>
    </x:row>
    <x:row r="212">
      <x:c r="G212" s="74"/>
      <x:c r="I212" s="77"/>
      <x:c r="J212" s="77"/>
      <x:c r="K212" s="77"/>
      <x:c r="O212" t="str">
        <x:f>IF(A212="","",IF(M212="Paused","Paused",IF(J212&lt;TODAY(),"Overdue",IF(J212&lt;=TODAY()+7,"Due Soon","Scheduled"))))</x:f>
      </x:c>
    </x:row>
    <x:row r="213">
      <x:c r="G213" s="74"/>
      <x:c r="I213" s="77"/>
      <x:c r="J213" s="77"/>
      <x:c r="K213" s="77"/>
      <x:c r="O213" t="str">
        <x:f>IF(A213="","",IF(M213="Paused","Paused",IF(J213&lt;TODAY(),"Overdue",IF(J213&lt;=TODAY()+7,"Due Soon","Scheduled"))))</x:f>
      </x:c>
    </x:row>
    <x:row r="214">
      <x:c r="G214" s="74"/>
      <x:c r="I214" s="77"/>
      <x:c r="J214" s="77"/>
      <x:c r="K214" s="77"/>
      <x:c r="O214" t="str">
        <x:f>IF(A214="","",IF(M214="Paused","Paused",IF(J214&lt;TODAY(),"Overdue",IF(J214&lt;=TODAY()+7,"Due Soon","Scheduled"))))</x:f>
      </x:c>
    </x:row>
    <x:row r="215">
      <x:c r="G215" s="74"/>
      <x:c r="I215" s="77"/>
      <x:c r="J215" s="77"/>
      <x:c r="K215" s="77"/>
      <x:c r="O215" t="str">
        <x:f>IF(A215="","",IF(M215="Paused","Paused",IF(J215&lt;TODAY(),"Overdue",IF(J215&lt;=TODAY()+7,"Due Soon","Scheduled"))))</x:f>
      </x:c>
    </x:row>
    <x:row r="216">
      <x:c r="G216" s="74"/>
      <x:c r="I216" s="77"/>
      <x:c r="J216" s="77"/>
      <x:c r="K216" s="77"/>
      <x:c r="O216" t="str">
        <x:f>IF(A216="","",IF(M216="Paused","Paused",IF(J216&lt;TODAY(),"Overdue",IF(J216&lt;=TODAY()+7,"Due Soon","Scheduled"))))</x:f>
      </x:c>
    </x:row>
    <x:row r="217">
      <x:c r="G217" s="74"/>
      <x:c r="I217" s="77"/>
      <x:c r="J217" s="77"/>
      <x:c r="K217" s="77"/>
      <x:c r="O217" t="str">
        <x:f>IF(A217="","",IF(M217="Paused","Paused",IF(J217&lt;TODAY(),"Overdue",IF(J217&lt;=TODAY()+7,"Due Soon","Scheduled"))))</x:f>
      </x:c>
    </x:row>
    <x:row r="218">
      <x:c r="G218" s="74"/>
      <x:c r="I218" s="77"/>
      <x:c r="J218" s="77"/>
      <x:c r="K218" s="77"/>
      <x:c r="O218" t="str">
        <x:f>IF(A218="","",IF(M218="Paused","Paused",IF(J218&lt;TODAY(),"Overdue",IF(J218&lt;=TODAY()+7,"Due Soon","Scheduled"))))</x:f>
      </x:c>
    </x:row>
    <x:row r="219">
      <x:c r="G219" s="74"/>
      <x:c r="I219" s="77"/>
      <x:c r="J219" s="77"/>
      <x:c r="K219" s="77"/>
      <x:c r="O219" t="str">
        <x:f>IF(A219="","",IF(M219="Paused","Paused",IF(J219&lt;TODAY(),"Overdue",IF(J219&lt;=TODAY()+7,"Due Soon","Scheduled"))))</x:f>
      </x:c>
    </x:row>
    <x:row r="220">
      <x:c r="G220" s="74"/>
      <x:c r="I220" s="77"/>
      <x:c r="J220" s="77"/>
      <x:c r="K220" s="77"/>
      <x:c r="O220" t="str">
        <x:f>IF(A220="","",IF(M220="Paused","Paused",IF(J220&lt;TODAY(),"Overdue",IF(J220&lt;=TODAY()+7,"Due Soon","Scheduled"))))</x:f>
      </x:c>
    </x:row>
    <x:row r="221">
      <x:c r="G221" s="74"/>
      <x:c r="I221" s="77"/>
      <x:c r="J221" s="77"/>
      <x:c r="K221" s="77"/>
      <x:c r="O221" t="str">
        <x:f>IF(A221="","",IF(M221="Paused","Paused",IF(J221&lt;TODAY(),"Overdue",IF(J221&lt;=TODAY()+7,"Due Soon","Scheduled"))))</x:f>
      </x:c>
    </x:row>
    <x:row r="222">
      <x:c r="G222" s="74"/>
      <x:c r="I222" s="77"/>
      <x:c r="J222" s="77"/>
      <x:c r="K222" s="77"/>
      <x:c r="O222" t="str">
        <x:f>IF(A222="","",IF(M222="Paused","Paused",IF(J222&lt;TODAY(),"Overdue",IF(J222&lt;=TODAY()+7,"Due Soon","Scheduled"))))</x:f>
      </x:c>
    </x:row>
    <x:row r="223">
      <x:c r="G223" s="74"/>
      <x:c r="I223" s="77"/>
      <x:c r="J223" s="77"/>
      <x:c r="K223" s="77"/>
      <x:c r="O223" t="str">
        <x:f>IF(A223="","",IF(M223="Paused","Paused",IF(J223&lt;TODAY(),"Overdue",IF(J223&lt;=TODAY()+7,"Due Soon","Scheduled"))))</x:f>
      </x:c>
    </x:row>
    <x:row r="224">
      <x:c r="G224" s="74"/>
      <x:c r="I224" s="77"/>
      <x:c r="J224" s="77"/>
      <x:c r="K224" s="77"/>
      <x:c r="O224" t="str">
        <x:f>IF(A224="","",IF(M224="Paused","Paused",IF(J224&lt;TODAY(),"Overdue",IF(J224&lt;=TODAY()+7,"Due Soon","Scheduled"))))</x:f>
      </x:c>
    </x:row>
    <x:row r="225">
      <x:c r="G225" s="74"/>
      <x:c r="I225" s="77"/>
      <x:c r="J225" s="77"/>
      <x:c r="K225" s="77"/>
      <x:c r="O225" t="str">
        <x:f>IF(A225="","",IF(M225="Paused","Paused",IF(J225&lt;TODAY(),"Overdue",IF(J225&lt;=TODAY()+7,"Due Soon","Scheduled"))))</x:f>
      </x:c>
    </x:row>
    <x:row r="226">
      <x:c r="G226" s="74"/>
      <x:c r="I226" s="77"/>
      <x:c r="J226" s="77"/>
      <x:c r="K226" s="77"/>
      <x:c r="O226" t="str">
        <x:f>IF(A226="","",IF(M226="Paused","Paused",IF(J226&lt;TODAY(),"Overdue",IF(J226&lt;=TODAY()+7,"Due Soon","Scheduled"))))</x:f>
      </x:c>
    </x:row>
    <x:row r="227">
      <x:c r="G227" s="74"/>
      <x:c r="I227" s="77"/>
      <x:c r="J227" s="77"/>
      <x:c r="K227" s="77"/>
      <x:c r="O227" t="str">
        <x:f>IF(A227="","",IF(M227="Paused","Paused",IF(J227&lt;TODAY(),"Overdue",IF(J227&lt;=TODAY()+7,"Due Soon","Scheduled"))))</x:f>
      </x:c>
    </x:row>
    <x:row r="228">
      <x:c r="G228" s="74"/>
      <x:c r="I228" s="77"/>
      <x:c r="J228" s="77"/>
      <x:c r="K228" s="77"/>
      <x:c r="O228" t="str">
        <x:f>IF(A228="","",IF(M228="Paused","Paused",IF(J228&lt;TODAY(),"Overdue",IF(J228&lt;=TODAY()+7,"Due Soon","Scheduled"))))</x:f>
      </x:c>
    </x:row>
    <x:row r="229">
      <x:c r="G229" s="74"/>
      <x:c r="I229" s="77"/>
      <x:c r="J229" s="77"/>
      <x:c r="K229" s="77"/>
      <x:c r="O229" t="str">
        <x:f>IF(A229="","",IF(M229="Paused","Paused",IF(J229&lt;TODAY(),"Overdue",IF(J229&lt;=TODAY()+7,"Due Soon","Scheduled"))))</x:f>
      </x:c>
    </x:row>
    <x:row r="230">
      <x:c r="G230" s="74"/>
      <x:c r="I230" s="77"/>
      <x:c r="J230" s="77"/>
      <x:c r="K230" s="77"/>
      <x:c r="O230" t="str">
        <x:f>IF(A230="","",IF(M230="Paused","Paused",IF(J230&lt;TODAY(),"Overdue",IF(J230&lt;=TODAY()+7,"Due Soon","Scheduled"))))</x:f>
      </x:c>
    </x:row>
    <x:row r="231">
      <x:c r="G231" s="74"/>
      <x:c r="I231" s="77"/>
      <x:c r="J231" s="77"/>
      <x:c r="K231" s="77"/>
      <x:c r="O231" t="str">
        <x:f>IF(A231="","",IF(M231="Paused","Paused",IF(J231&lt;TODAY(),"Overdue",IF(J231&lt;=TODAY()+7,"Due Soon","Scheduled"))))</x:f>
      </x:c>
    </x:row>
    <x:row r="232">
      <x:c r="G232" s="74"/>
      <x:c r="I232" s="77"/>
      <x:c r="J232" s="77"/>
      <x:c r="K232" s="77"/>
      <x:c r="O232" t="str">
        <x:f>IF(A232="","",IF(M232="Paused","Paused",IF(J232&lt;TODAY(),"Overdue",IF(J232&lt;=TODAY()+7,"Due Soon","Scheduled"))))</x:f>
      </x:c>
    </x:row>
    <x:row r="233">
      <x:c r="G233" s="74"/>
      <x:c r="I233" s="77"/>
      <x:c r="J233" s="77"/>
      <x:c r="K233" s="77"/>
      <x:c r="O233" t="str">
        <x:f>IF(A233="","",IF(M233="Paused","Paused",IF(J233&lt;TODAY(),"Overdue",IF(J233&lt;=TODAY()+7,"Due Soon","Scheduled"))))</x:f>
      </x:c>
    </x:row>
    <x:row r="234">
      <x:c r="G234" s="74"/>
      <x:c r="I234" s="77"/>
      <x:c r="J234" s="77"/>
      <x:c r="K234" s="77"/>
      <x:c r="O234" t="str">
        <x:f>IF(A234="","",IF(M234="Paused","Paused",IF(J234&lt;TODAY(),"Overdue",IF(J234&lt;=TODAY()+7,"Due Soon","Scheduled"))))</x:f>
      </x:c>
    </x:row>
    <x:row r="235">
      <x:c r="G235" s="74"/>
      <x:c r="I235" s="77"/>
      <x:c r="J235" s="77"/>
      <x:c r="K235" s="77"/>
      <x:c r="O235" t="str">
        <x:f>IF(A235="","",IF(M235="Paused","Paused",IF(J235&lt;TODAY(),"Overdue",IF(J235&lt;=TODAY()+7,"Due Soon","Scheduled"))))</x:f>
      </x:c>
    </x:row>
    <x:row r="236">
      <x:c r="G236" s="74"/>
      <x:c r="I236" s="77"/>
      <x:c r="J236" s="77"/>
      <x:c r="K236" s="77"/>
      <x:c r="O236" t="str">
        <x:f>IF(A236="","",IF(M236="Paused","Paused",IF(J236&lt;TODAY(),"Overdue",IF(J236&lt;=TODAY()+7,"Due Soon","Scheduled"))))</x:f>
      </x:c>
    </x:row>
    <x:row r="237">
      <x:c r="G237" s="74"/>
      <x:c r="I237" s="77"/>
      <x:c r="J237" s="77"/>
      <x:c r="K237" s="77"/>
      <x:c r="O237" t="str">
        <x:f>IF(A237="","",IF(M237="Paused","Paused",IF(J237&lt;TODAY(),"Overdue",IF(J237&lt;=TODAY()+7,"Due Soon","Scheduled"))))</x:f>
      </x:c>
    </x:row>
    <x:row r="238">
      <x:c r="G238" s="74"/>
      <x:c r="I238" s="77"/>
      <x:c r="J238" s="77"/>
      <x:c r="K238" s="77"/>
      <x:c r="O238" t="str">
        <x:f>IF(A238="","",IF(M238="Paused","Paused",IF(J238&lt;TODAY(),"Overdue",IF(J238&lt;=TODAY()+7,"Due Soon","Scheduled"))))</x:f>
      </x:c>
    </x:row>
    <x:row r="239">
      <x:c r="G239" s="74"/>
      <x:c r="I239" s="77"/>
      <x:c r="J239" s="77"/>
      <x:c r="K239" s="77"/>
      <x:c r="O239" t="str">
        <x:f>IF(A239="","",IF(M239="Paused","Paused",IF(J239&lt;TODAY(),"Overdue",IF(J239&lt;=TODAY()+7,"Due Soon","Scheduled"))))</x:f>
      </x:c>
    </x:row>
    <x:row r="240">
      <x:c r="G240" s="74"/>
      <x:c r="I240" s="77"/>
      <x:c r="J240" s="77"/>
      <x:c r="K240" s="77"/>
      <x:c r="O240" t="str">
        <x:f>IF(A240="","",IF(M240="Paused","Paused",IF(J240&lt;TODAY(),"Overdue",IF(J240&lt;=TODAY()+7,"Due Soon","Scheduled"))))</x:f>
      </x:c>
    </x:row>
    <x:row r="241">
      <x:c r="G241" s="74"/>
      <x:c r="I241" s="77"/>
      <x:c r="J241" s="77"/>
      <x:c r="K241" s="77"/>
      <x:c r="O241" t="str">
        <x:f>IF(A241="","",IF(M241="Paused","Paused",IF(J241&lt;TODAY(),"Overdue",IF(J241&lt;=TODAY()+7,"Due Soon","Scheduled"))))</x:f>
      </x:c>
    </x:row>
    <x:row r="242">
      <x:c r="G242" s="74"/>
      <x:c r="I242" s="77"/>
      <x:c r="J242" s="77"/>
      <x:c r="K242" s="77"/>
      <x:c r="O242" t="str">
        <x:f>IF(A242="","",IF(M242="Paused","Paused",IF(J242&lt;TODAY(),"Overdue",IF(J242&lt;=TODAY()+7,"Due Soon","Scheduled"))))</x:f>
      </x:c>
    </x:row>
    <x:row r="243">
      <x:c r="G243" s="74"/>
      <x:c r="I243" s="77"/>
      <x:c r="J243" s="77"/>
      <x:c r="K243" s="77"/>
      <x:c r="O243" t="str">
        <x:f>IF(A243="","",IF(M243="Paused","Paused",IF(J243&lt;TODAY(),"Overdue",IF(J243&lt;=TODAY()+7,"Due Soon","Scheduled"))))</x:f>
      </x:c>
    </x:row>
    <x:row r="244">
      <x:c r="G244" s="74"/>
      <x:c r="I244" s="77"/>
      <x:c r="J244" s="77"/>
      <x:c r="K244" s="77"/>
      <x:c r="O244" t="str">
        <x:f>IF(A244="","",IF(M244="Paused","Paused",IF(J244&lt;TODAY(),"Overdue",IF(J244&lt;=TODAY()+7,"Due Soon","Scheduled"))))</x:f>
      </x:c>
    </x:row>
    <x:row r="245">
      <x:c r="G245" s="74"/>
      <x:c r="I245" s="77"/>
      <x:c r="J245" s="77"/>
      <x:c r="K245" s="77"/>
      <x:c r="O245" t="str">
        <x:f>IF(A245="","",IF(M245="Paused","Paused",IF(J245&lt;TODAY(),"Overdue",IF(J245&lt;=TODAY()+7,"Due Soon","Scheduled"))))</x:f>
      </x:c>
    </x:row>
    <x:row r="246">
      <x:c r="G246" s="74"/>
      <x:c r="I246" s="77"/>
      <x:c r="J246" s="77"/>
      <x:c r="K246" s="77"/>
      <x:c r="O246" t="str">
        <x:f>IF(A246="","",IF(M246="Paused","Paused",IF(J246&lt;TODAY(),"Overdue",IF(J246&lt;=TODAY()+7,"Due Soon","Scheduled"))))</x:f>
      </x:c>
    </x:row>
    <x:row r="247">
      <x:c r="G247" s="74"/>
      <x:c r="I247" s="77"/>
      <x:c r="J247" s="77"/>
      <x:c r="K247" s="77"/>
      <x:c r="O247" t="str">
        <x:f>IF(A247="","",IF(M247="Paused","Paused",IF(J247&lt;TODAY(),"Overdue",IF(J247&lt;=TODAY()+7,"Due Soon","Scheduled"))))</x:f>
      </x:c>
    </x:row>
    <x:row r="248">
      <x:c r="G248" s="74"/>
      <x:c r="I248" s="77"/>
      <x:c r="J248" s="77"/>
      <x:c r="K248" s="77"/>
      <x:c r="O248" t="str">
        <x:f>IF(A248="","",IF(M248="Paused","Paused",IF(J248&lt;TODAY(),"Overdue",IF(J248&lt;=TODAY()+7,"Due Soon","Scheduled"))))</x:f>
      </x:c>
    </x:row>
    <x:row r="249">
      <x:c r="G249" s="74"/>
      <x:c r="I249" s="77"/>
      <x:c r="J249" s="77"/>
      <x:c r="K249" s="77"/>
      <x:c r="O249" t="str">
        <x:f>IF(A249="","",IF(M249="Paused","Paused",IF(J249&lt;TODAY(),"Overdue",IF(J249&lt;=TODAY()+7,"Due Soon","Scheduled"))))</x:f>
      </x:c>
    </x:row>
    <x:row r="250">
      <x:c r="G250" s="74"/>
      <x:c r="I250" s="77"/>
      <x:c r="J250" s="77"/>
      <x:c r="K250" s="77"/>
      <x:c r="O250" t="str">
        <x:f>IF(A250="","",IF(M250="Paused","Paused",IF(J250&lt;TODAY(),"Overdue",IF(J250&lt;=TODAY()+7,"Due Soon","Scheduled"))))</x:f>
      </x:c>
    </x:row>
    <x:row r="251">
      <x:c r="G251" s="74"/>
      <x:c r="I251" s="77"/>
      <x:c r="J251" s="77"/>
      <x:c r="K251" s="77"/>
      <x:c r="O251" t="str">
        <x:f>IF(A251="","",IF(M251="Paused","Paused",IF(J251&lt;TODAY(),"Overdue",IF(J251&lt;=TODAY()+7,"Due Soon","Scheduled"))))</x:f>
      </x:c>
    </x:row>
    <x:row r="252">
      <x:c r="G252" s="74"/>
      <x:c r="I252" s="77"/>
      <x:c r="J252" s="77"/>
      <x:c r="K252" s="77"/>
      <x:c r="O252" t="str">
        <x:f>IF(A252="","",IF(M252="Paused","Paused",IF(J252&lt;TODAY(),"Overdue",IF(J252&lt;=TODAY()+7,"Due Soon","Scheduled"))))</x:f>
      </x:c>
    </x:row>
    <x:row r="253">
      <x:c r="G253" s="74"/>
      <x:c r="I253" s="77"/>
      <x:c r="J253" s="77"/>
      <x:c r="K253" s="77"/>
      <x:c r="O253" t="str">
        <x:f>IF(A253="","",IF(M253="Paused","Paused",IF(J253&lt;TODAY(),"Overdue",IF(J253&lt;=TODAY()+7,"Due Soon","Scheduled"))))</x:f>
      </x:c>
    </x:row>
    <x:row r="254">
      <x:c r="G254" s="74"/>
      <x:c r="I254" s="77"/>
      <x:c r="J254" s="77"/>
      <x:c r="K254" s="77"/>
      <x:c r="O254" t="str">
        <x:f>IF(A254="","",IF(M254="Paused","Paused",IF(J254&lt;TODAY(),"Overdue",IF(J254&lt;=TODAY()+7,"Due Soon","Scheduled"))))</x:f>
      </x:c>
    </x:row>
    <x:row r="255">
      <x:c r="G255" s="74"/>
      <x:c r="I255" s="77"/>
      <x:c r="J255" s="77"/>
      <x:c r="K255" s="77"/>
      <x:c r="O255" t="str">
        <x:f>IF(A255="","",IF(M255="Paused","Paused",IF(J255&lt;TODAY(),"Overdue",IF(J255&lt;=TODAY()+7,"Due Soon","Scheduled"))))</x:f>
      </x:c>
    </x:row>
    <x:row r="256">
      <x:c r="G256" s="74"/>
      <x:c r="I256" s="77"/>
      <x:c r="J256" s="77"/>
      <x:c r="K256" s="77"/>
      <x:c r="O256" t="str">
        <x:f>IF(A256="","",IF(M256="Paused","Paused",IF(J256&lt;TODAY(),"Overdue",IF(J256&lt;=TODAY()+7,"Due Soon","Scheduled"))))</x:f>
      </x:c>
    </x:row>
    <x:row r="257">
      <x:c r="G257" s="74"/>
      <x:c r="I257" s="77"/>
      <x:c r="J257" s="77"/>
      <x:c r="K257" s="77"/>
      <x:c r="O257" t="str">
        <x:f>IF(A257="","",IF(M257="Paused","Paused",IF(J257&lt;TODAY(),"Overdue",IF(J257&lt;=TODAY()+7,"Due Soon","Scheduled"))))</x:f>
      </x:c>
    </x:row>
    <x:row r="258">
      <x:c r="G258" s="74"/>
      <x:c r="I258" s="77"/>
      <x:c r="J258" s="77"/>
      <x:c r="K258" s="77"/>
      <x:c r="O258" t="str">
        <x:f>IF(A258="","",IF(M258="Paused","Paused",IF(J258&lt;TODAY(),"Overdue",IF(J258&lt;=TODAY()+7,"Due Soon","Scheduled"))))</x:f>
      </x:c>
    </x:row>
    <x:row r="259">
      <x:c r="G259" s="74"/>
      <x:c r="I259" s="77"/>
      <x:c r="J259" s="77"/>
      <x:c r="K259" s="77"/>
      <x:c r="O259" t="str">
        <x:f>IF(A259="","",IF(M259="Paused","Paused",IF(J259&lt;TODAY(),"Overdue",IF(J259&lt;=TODAY()+7,"Due Soon","Scheduled"))))</x:f>
      </x:c>
    </x:row>
    <x:row r="260">
      <x:c r="G260" s="74"/>
      <x:c r="I260" s="77"/>
      <x:c r="J260" s="77"/>
      <x:c r="K260" s="77"/>
      <x:c r="O260" t="str">
        <x:f>IF(A260="","",IF(M260="Paused","Paused",IF(J260&lt;TODAY(),"Overdue",IF(J260&lt;=TODAY()+7,"Due Soon","Scheduled"))))</x:f>
      </x:c>
    </x:row>
    <x:row r="261">
      <x:c r="G261" s="74"/>
      <x:c r="I261" s="77"/>
      <x:c r="J261" s="77"/>
      <x:c r="K261" s="77"/>
      <x:c r="O261" t="str">
        <x:f>IF(A261="","",IF(M261="Paused","Paused",IF(J261&lt;TODAY(),"Overdue",IF(J261&lt;=TODAY()+7,"Due Soon","Scheduled"))))</x:f>
      </x:c>
    </x:row>
    <x:row r="262">
      <x:c r="G262" s="74"/>
      <x:c r="I262" s="77"/>
      <x:c r="J262" s="77"/>
      <x:c r="K262" s="77"/>
      <x:c r="O262" t="str">
        <x:f>IF(A262="","",IF(M262="Paused","Paused",IF(J262&lt;TODAY(),"Overdue",IF(J262&lt;=TODAY()+7,"Due Soon","Scheduled"))))</x:f>
      </x:c>
    </x:row>
    <x:row r="263">
      <x:c r="G263" s="74"/>
      <x:c r="I263" s="77"/>
      <x:c r="J263" s="77"/>
      <x:c r="K263" s="77"/>
      <x:c r="O263" t="str">
        <x:f>IF(A263="","",IF(M263="Paused","Paused",IF(J263&lt;TODAY(),"Overdue",IF(J263&lt;=TODAY()+7,"Due Soon","Scheduled"))))</x:f>
      </x:c>
    </x:row>
    <x:row r="264">
      <x:c r="G264" s="74"/>
      <x:c r="I264" s="77"/>
      <x:c r="J264" s="77"/>
      <x:c r="K264" s="77"/>
      <x:c r="O264" t="str">
        <x:f>IF(A264="","",IF(M264="Paused","Paused",IF(J264&lt;TODAY(),"Overdue",IF(J264&lt;=TODAY()+7,"Due Soon","Scheduled"))))</x:f>
      </x:c>
    </x:row>
    <x:row r="265">
      <x:c r="G265" s="74"/>
      <x:c r="I265" s="77"/>
      <x:c r="J265" s="77"/>
      <x:c r="K265" s="77"/>
      <x:c r="O265" t="str">
        <x:f>IF(A265="","",IF(M265="Paused","Paused",IF(J265&lt;TODAY(),"Overdue",IF(J265&lt;=TODAY()+7,"Due Soon","Scheduled"))))</x:f>
      </x:c>
    </x:row>
    <x:row r="266">
      <x:c r="G266" s="74"/>
      <x:c r="I266" s="77"/>
      <x:c r="J266" s="77"/>
      <x:c r="K266" s="77"/>
      <x:c r="O266" t="str">
        <x:f>IF(A266="","",IF(M266="Paused","Paused",IF(J266&lt;TODAY(),"Overdue",IF(J266&lt;=TODAY()+7,"Due Soon","Scheduled"))))</x:f>
      </x:c>
    </x:row>
    <x:row r="267">
      <x:c r="G267" s="74"/>
      <x:c r="I267" s="77"/>
      <x:c r="J267" s="77"/>
      <x:c r="K267" s="77"/>
      <x:c r="O267" t="str">
        <x:f>IF(A267="","",IF(M267="Paused","Paused",IF(J267&lt;TODAY(),"Overdue",IF(J267&lt;=TODAY()+7,"Due Soon","Scheduled"))))</x:f>
      </x:c>
    </x:row>
    <x:row r="268">
      <x:c r="G268" s="74"/>
      <x:c r="I268" s="77"/>
      <x:c r="J268" s="77"/>
      <x:c r="K268" s="77"/>
      <x:c r="O268" t="str">
        <x:f>IF(A268="","",IF(M268="Paused","Paused",IF(J268&lt;TODAY(),"Overdue",IF(J268&lt;=TODAY()+7,"Due Soon","Scheduled"))))</x:f>
      </x:c>
    </x:row>
    <x:row r="269">
      <x:c r="G269" s="74"/>
      <x:c r="I269" s="77"/>
      <x:c r="J269" s="77"/>
      <x:c r="K269" s="77"/>
      <x:c r="O269" t="str">
        <x:f>IF(A269="","",IF(M269="Paused","Paused",IF(J269&lt;TODAY(),"Overdue",IF(J269&lt;=TODAY()+7,"Due Soon","Scheduled"))))</x:f>
      </x:c>
    </x:row>
    <x:row r="270">
      <x:c r="G270" s="74"/>
      <x:c r="I270" s="77"/>
      <x:c r="J270" s="77"/>
      <x:c r="K270" s="77"/>
      <x:c r="O270" t="str">
        <x:f>IF(A270="","",IF(M270="Paused","Paused",IF(J270&lt;TODAY(),"Overdue",IF(J270&lt;=TODAY()+7,"Due Soon","Scheduled"))))</x:f>
      </x:c>
    </x:row>
    <x:row r="271">
      <x:c r="G271" s="74"/>
      <x:c r="I271" s="77"/>
      <x:c r="J271" s="77"/>
      <x:c r="K271" s="77"/>
      <x:c r="O271" t="str">
        <x:f>IF(A271="","",IF(M271="Paused","Paused",IF(J271&lt;TODAY(),"Overdue",IF(J271&lt;=TODAY()+7,"Due Soon","Scheduled"))))</x:f>
      </x:c>
    </x:row>
    <x:row r="272">
      <x:c r="G272" s="74"/>
      <x:c r="I272" s="77"/>
      <x:c r="J272" s="77"/>
      <x:c r="K272" s="77"/>
      <x:c r="O272" t="str">
        <x:f>IF(A272="","",IF(M272="Paused","Paused",IF(J272&lt;TODAY(),"Overdue",IF(J272&lt;=TODAY()+7,"Due Soon","Scheduled"))))</x:f>
      </x:c>
    </x:row>
    <x:row r="273">
      <x:c r="G273" s="74"/>
      <x:c r="I273" s="77"/>
      <x:c r="J273" s="77"/>
      <x:c r="K273" s="77"/>
      <x:c r="O273" t="str">
        <x:f>IF(A273="","",IF(M273="Paused","Paused",IF(J273&lt;TODAY(),"Overdue",IF(J273&lt;=TODAY()+7,"Due Soon","Scheduled"))))</x:f>
      </x:c>
    </x:row>
    <x:row r="274">
      <x:c r="G274" s="74"/>
      <x:c r="I274" s="77"/>
      <x:c r="J274" s="77"/>
      <x:c r="K274" s="77"/>
      <x:c r="O274" t="str">
        <x:f>IF(A274="","",IF(M274="Paused","Paused",IF(J274&lt;TODAY(),"Overdue",IF(J274&lt;=TODAY()+7,"Due Soon","Scheduled"))))</x:f>
      </x:c>
    </x:row>
    <x:row r="275">
      <x:c r="G275" s="74"/>
      <x:c r="I275" s="77"/>
      <x:c r="J275" s="77"/>
      <x:c r="K275" s="77"/>
      <x:c r="O275" t="str">
        <x:f>IF(A275="","",IF(M275="Paused","Paused",IF(J275&lt;TODAY(),"Overdue",IF(J275&lt;=TODAY()+7,"Due Soon","Scheduled"))))</x:f>
      </x:c>
    </x:row>
    <x:row r="276">
      <x:c r="G276" s="74"/>
      <x:c r="I276" s="77"/>
      <x:c r="J276" s="77"/>
      <x:c r="K276" s="77"/>
      <x:c r="O276" t="str">
        <x:f>IF(A276="","",IF(M276="Paused","Paused",IF(J276&lt;TODAY(),"Overdue",IF(J276&lt;=TODAY()+7,"Due Soon","Scheduled"))))</x:f>
      </x:c>
    </x:row>
    <x:row r="277">
      <x:c r="G277" s="74"/>
      <x:c r="I277" s="77"/>
      <x:c r="J277" s="77"/>
      <x:c r="K277" s="77"/>
      <x:c r="O277" t="str">
        <x:f>IF(A277="","",IF(M277="Paused","Paused",IF(J277&lt;TODAY(),"Overdue",IF(J277&lt;=TODAY()+7,"Due Soon","Scheduled"))))</x:f>
      </x:c>
    </x:row>
    <x:row r="278">
      <x:c r="G278" s="74"/>
      <x:c r="I278" s="77"/>
      <x:c r="J278" s="77"/>
      <x:c r="K278" s="77"/>
      <x:c r="O278" t="str">
        <x:f>IF(A278="","",IF(M278="Paused","Paused",IF(J278&lt;TODAY(),"Overdue",IF(J278&lt;=TODAY()+7,"Due Soon","Scheduled"))))</x:f>
      </x:c>
    </x:row>
    <x:row r="279">
      <x:c r="G279" s="74"/>
      <x:c r="I279" s="77"/>
      <x:c r="J279" s="77"/>
      <x:c r="K279" s="77"/>
      <x:c r="O279" t="str">
        <x:f>IF(A279="","",IF(M279="Paused","Paused",IF(J279&lt;TODAY(),"Overdue",IF(J279&lt;=TODAY()+7,"Due Soon","Scheduled"))))</x:f>
      </x:c>
    </x:row>
    <x:row r="280">
      <x:c r="G280" s="74"/>
      <x:c r="I280" s="77"/>
      <x:c r="J280" s="77"/>
      <x:c r="K280" s="77"/>
      <x:c r="O280" t="str">
        <x:f>IF(A280="","",IF(M280="Paused","Paused",IF(J280&lt;TODAY(),"Overdue",IF(J280&lt;=TODAY()+7,"Due Soon","Scheduled"))))</x:f>
      </x:c>
    </x:row>
    <x:row r="281">
      <x:c r="G281" s="74"/>
      <x:c r="I281" s="77"/>
      <x:c r="J281" s="77"/>
      <x:c r="K281" s="77"/>
      <x:c r="O281" t="str">
        <x:f>IF(A281="","",IF(M281="Paused","Paused",IF(J281&lt;TODAY(),"Overdue",IF(J281&lt;=TODAY()+7,"Due Soon","Scheduled"))))</x:f>
      </x:c>
    </x:row>
    <x:row r="282">
      <x:c r="G282" s="74"/>
      <x:c r="I282" s="77"/>
      <x:c r="J282" s="77"/>
      <x:c r="K282" s="77"/>
      <x:c r="O282" t="str">
        <x:f>IF(A282="","",IF(M282="Paused","Paused",IF(J282&lt;TODAY(),"Overdue",IF(J282&lt;=TODAY()+7,"Due Soon","Scheduled"))))</x:f>
      </x:c>
    </x:row>
    <x:row r="283">
      <x:c r="G283" s="74"/>
      <x:c r="I283" s="77"/>
      <x:c r="J283" s="77"/>
      <x:c r="K283" s="77"/>
      <x:c r="O283" t="str">
        <x:f>IF(A283="","",IF(M283="Paused","Paused",IF(J283&lt;TODAY(),"Overdue",IF(J283&lt;=TODAY()+7,"Due Soon","Scheduled"))))</x:f>
      </x:c>
    </x:row>
    <x:row r="284">
      <x:c r="G284" s="74"/>
      <x:c r="I284" s="77"/>
      <x:c r="J284" s="77"/>
      <x:c r="K284" s="77"/>
      <x:c r="O284" t="str">
        <x:f>IF(A284="","",IF(M284="Paused","Paused",IF(J284&lt;TODAY(),"Overdue",IF(J284&lt;=TODAY()+7,"Due Soon","Scheduled"))))</x:f>
      </x:c>
    </x:row>
    <x:row r="285">
      <x:c r="G285" s="74"/>
      <x:c r="I285" s="77"/>
      <x:c r="J285" s="77"/>
      <x:c r="K285" s="77"/>
      <x:c r="O285" t="str">
        <x:f>IF(A285="","",IF(M285="Paused","Paused",IF(J285&lt;TODAY(),"Overdue",IF(J285&lt;=TODAY()+7,"Due Soon","Scheduled"))))</x:f>
      </x:c>
    </x:row>
    <x:row r="286">
      <x:c r="G286" s="74"/>
      <x:c r="I286" s="77"/>
      <x:c r="J286" s="77"/>
      <x:c r="K286" s="77"/>
      <x:c r="O286" t="str">
        <x:f>IF(A286="","",IF(M286="Paused","Paused",IF(J286&lt;TODAY(),"Overdue",IF(J286&lt;=TODAY()+7,"Due Soon","Scheduled"))))</x:f>
      </x:c>
    </x:row>
    <x:row r="287">
      <x:c r="G287" s="74"/>
      <x:c r="I287" s="77"/>
      <x:c r="J287" s="77"/>
      <x:c r="K287" s="77"/>
      <x:c r="O287" t="str">
        <x:f>IF(A287="","",IF(M287="Paused","Paused",IF(J287&lt;TODAY(),"Overdue",IF(J287&lt;=TODAY()+7,"Due Soon","Scheduled"))))</x:f>
      </x:c>
    </x:row>
    <x:row r="288">
      <x:c r="G288" s="74"/>
      <x:c r="I288" s="77"/>
      <x:c r="J288" s="77"/>
      <x:c r="K288" s="77"/>
      <x:c r="O288" t="str">
        <x:f>IF(A288="","",IF(M288="Paused","Paused",IF(J288&lt;TODAY(),"Overdue",IF(J288&lt;=TODAY()+7,"Due Soon","Scheduled"))))</x:f>
      </x:c>
    </x:row>
    <x:row r="289">
      <x:c r="G289" s="74"/>
      <x:c r="I289" s="77"/>
      <x:c r="J289" s="77"/>
      <x:c r="K289" s="77"/>
      <x:c r="O289" t="str">
        <x:f>IF(A289="","",IF(M289="Paused","Paused",IF(J289&lt;TODAY(),"Overdue",IF(J289&lt;=TODAY()+7,"Due Soon","Scheduled"))))</x:f>
      </x:c>
    </x:row>
    <x:row r="290">
      <x:c r="G290" s="74"/>
      <x:c r="I290" s="77"/>
      <x:c r="J290" s="77"/>
      <x:c r="K290" s="77"/>
      <x:c r="O290" t="str">
        <x:f>IF(A290="","",IF(M290="Paused","Paused",IF(J290&lt;TODAY(),"Overdue",IF(J290&lt;=TODAY()+7,"Due Soon","Scheduled"))))</x:f>
      </x:c>
    </x:row>
    <x:row r="291">
      <x:c r="G291" s="74"/>
      <x:c r="I291" s="77"/>
      <x:c r="J291" s="77"/>
      <x:c r="K291" s="77"/>
      <x:c r="O291" t="str">
        <x:f>IF(A291="","",IF(M291="Paused","Paused",IF(J291&lt;TODAY(),"Overdue",IF(J291&lt;=TODAY()+7,"Due Soon","Scheduled"))))</x:f>
      </x:c>
    </x:row>
    <x:row r="292">
      <x:c r="G292" s="74"/>
      <x:c r="I292" s="77"/>
      <x:c r="J292" s="77"/>
      <x:c r="K292" s="77"/>
      <x:c r="O292" t="str">
        <x:f>IF(A292="","",IF(M292="Paused","Paused",IF(J292&lt;TODAY(),"Overdue",IF(J292&lt;=TODAY()+7,"Due Soon","Scheduled"))))</x:f>
      </x:c>
    </x:row>
    <x:row r="293">
      <x:c r="G293" s="74"/>
      <x:c r="I293" s="77"/>
      <x:c r="J293" s="77"/>
      <x:c r="K293" s="77"/>
      <x:c r="O293" t="str">
        <x:f>IF(A293="","",IF(M293="Paused","Paused",IF(J293&lt;TODAY(),"Overdue",IF(J293&lt;=TODAY()+7,"Due Soon","Scheduled"))))</x:f>
      </x:c>
    </x:row>
    <x:row r="294">
      <x:c r="G294" s="74"/>
      <x:c r="I294" s="77"/>
      <x:c r="J294" s="77"/>
      <x:c r="K294" s="77"/>
      <x:c r="O294" t="str">
        <x:f>IF(A294="","",IF(M294="Paused","Paused",IF(J294&lt;TODAY(),"Overdue",IF(J294&lt;=TODAY()+7,"Due Soon","Scheduled"))))</x:f>
      </x:c>
    </x:row>
    <x:row r="295">
      <x:c r="G295" s="74"/>
      <x:c r="I295" s="77"/>
      <x:c r="J295" s="77"/>
      <x:c r="K295" s="77"/>
      <x:c r="O295" t="str">
        <x:f>IF(A295="","",IF(M295="Paused","Paused",IF(J295&lt;TODAY(),"Overdue",IF(J295&lt;=TODAY()+7,"Due Soon","Scheduled"))))</x:f>
      </x:c>
    </x:row>
    <x:row r="296">
      <x:c r="G296" s="74"/>
      <x:c r="I296" s="77"/>
      <x:c r="J296" s="77"/>
      <x:c r="K296" s="77"/>
      <x:c r="O296" t="str">
        <x:f>IF(A296="","",IF(M296="Paused","Paused",IF(J296&lt;TODAY(),"Overdue",IF(J296&lt;=TODAY()+7,"Due Soon","Scheduled"))))</x:f>
      </x:c>
    </x:row>
    <x:row r="297">
      <x:c r="G297" s="74"/>
      <x:c r="I297" s="77"/>
      <x:c r="J297" s="77"/>
      <x:c r="K297" s="77"/>
      <x:c r="O297" t="str">
        <x:f>IF(A297="","",IF(M297="Paused","Paused",IF(J297&lt;TODAY(),"Overdue",IF(J297&lt;=TODAY()+7,"Due Soon","Scheduled"))))</x:f>
      </x:c>
    </x:row>
    <x:row r="298">
      <x:c r="G298" s="74"/>
      <x:c r="I298" s="77"/>
      <x:c r="J298" s="77"/>
      <x:c r="K298" s="77"/>
      <x:c r="O298" t="str">
        <x:f>IF(A298="","",IF(M298="Paused","Paused",IF(J298&lt;TODAY(),"Overdue",IF(J298&lt;=TODAY()+7,"Due Soon","Scheduled"))))</x:f>
      </x:c>
    </x:row>
    <x:row r="299">
      <x:c r="G299" s="74"/>
      <x:c r="I299" s="77"/>
      <x:c r="J299" s="77"/>
      <x:c r="K299" s="77"/>
      <x:c r="O299" t="str">
        <x:f>IF(A299="","",IF(M299="Paused","Paused",IF(J299&lt;TODAY(),"Overdue",IF(J299&lt;=TODAY()+7,"Due Soon","Scheduled"))))</x:f>
      </x:c>
    </x:row>
    <x:row r="300">
      <x:c r="G300" s="74"/>
      <x:c r="I300" s="77"/>
      <x:c r="J300" s="77"/>
      <x:c r="K300" s="77"/>
      <x:c r="O300" t="str">
        <x:f>IF(A300="","",IF(M300="Paused","Paused",IF(J300&lt;TODAY(),"Overdue",IF(J300&lt;=TODAY()+7,"Due Soon","Scheduled"))))</x:f>
      </x:c>
    </x:row>
  </x:sheetData>
  <x:dataValidations count="6">
    <x:dataValidation type="list" sqref="B2:B300">
      <x:formula1>'Lists'!$J$2:$J$5</x:formula1>
    </x:dataValidation>
    <x:dataValidation type="list" sqref="C2:C300">
      <x:formula1>'Lists'!$A$2:$A$12</x:formula1>
    </x:dataValidation>
    <x:dataValidation type="list" sqref="D2:D300">
      <x:formula1>'Lists'!$B$2:$B$46</x:formula1>
    </x:dataValidation>
    <x:dataValidation type="list" sqref="H2:H300">
      <x:formula1>'Lists'!$K$2:$K$5</x:formula1>
    </x:dataValidation>
    <x:dataValidation type="list" sqref="L2:L300">
      <x:formula1>'Lists'!$L$2:$L$5</x:formula1>
    </x:dataValidation>
    <x:dataValidation type="list" sqref="M2:M300">
      <x:formula1>'Lists'!$N$2:$N$3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1.890000343322754" hidden="0" customWidth="1"/>
    <x:col min="2" max="2" width="11.5600004196167" hidden="0" customWidth="1"/>
    <x:col min="3" max="3" width="12.779999732971191" hidden="0" customWidth="1"/>
    <x:col min="4" max="4" width="9.890000343322754" hidden="0" customWidth="1"/>
    <x:col min="5" max="5" width="9.670000076293945" hidden="0" customWidth="1"/>
    <x:col min="6" max="6" width="6.110000133514404" hidden="0" customWidth="1"/>
    <x:col min="7" max="7" width="5.440000057220459" hidden="0" customWidth="1"/>
    <x:col min="8" max="8" width="7.670000076293945" hidden="0" customWidth="1"/>
    <x:col min="9" max="9" width="17.329999923706055" hidden="0" customWidth="1"/>
    <x:col min="10" max="10" width="14.4399995803833" hidden="0" customWidth="1"/>
    <x:col min="11" max="11" width="15.779999732971191" hidden="0" customWidth="1"/>
    <x:col min="12" max="12" width="5.110000133514404" hidden="0" customWidth="1"/>
  </x:cols>
  <x:sheetData>
    <x:row r="1">
      <x:c r="A1" s="6" t="str">
        <x:v>Reported Date</x:v>
      </x:c>
      <x:c r="B1" s="6" t="str">
        <x:v>Business Area</x:v>
      </x:c>
      <x:c r="C1" s="6" t="str">
        <x:v>Location / Suite</x:v>
      </x:c>
      <x:c r="D1" s="6" t="str">
        <x:v>Asset / Item</x:v>
      </x:c>
      <x:c r="E1" s="6" t="str">
        <x:v>Issue / Task</x:v>
      </x:c>
      <x:c r="F1" s="6" t="str">
        <x:v>Priority</x:v>
      </x:c>
      <x:c r="G1" s="6" t="str">
        <x:v>Status</x:v>
      </x:c>
      <x:c r="H1" s="6" t="str">
        <x:v>Due Date</x:v>
      </x:c>
      <x:c r="I1" s="6" t="str">
        <x:v>Estimated Cost (GHS)</x:v>
      </x:c>
      <x:c r="J1" s="6" t="str">
        <x:v>Actual Cost (GHS)</x:v>
      </x:c>
      <x:c r="K1" s="6" t="str">
        <x:v>Vendor / Technician</x:v>
      </x:c>
      <x:c r="L1" s="6" t="str">
        <x:v>Notes</x:v>
      </x:c>
    </x:row>
    <x:row r="2">
      <x:c r="A2" s="77"/>
      <x:c r="H2" s="77"/>
      <x:c r="I2" s="74"/>
      <x:c r="J2" s="74"/>
    </x:row>
    <x:row r="3">
      <x:c r="A3" s="77"/>
      <x:c r="H3" s="77"/>
      <x:c r="I3" s="74"/>
      <x:c r="J3" s="74"/>
    </x:row>
    <x:row r="4">
      <x:c r="A4" s="77"/>
      <x:c r="H4" s="77"/>
      <x:c r="I4" s="74"/>
      <x:c r="J4" s="74"/>
    </x:row>
    <x:row r="5">
      <x:c r="A5" s="77"/>
      <x:c r="H5" s="77"/>
      <x:c r="I5" s="74"/>
      <x:c r="J5" s="74"/>
    </x:row>
    <x:row r="6">
      <x:c r="A6" s="77"/>
      <x:c r="H6" s="77"/>
      <x:c r="I6" s="74"/>
      <x:c r="J6" s="74"/>
    </x:row>
    <x:row r="7">
      <x:c r="A7" s="77"/>
      <x:c r="H7" s="77"/>
      <x:c r="I7" s="74"/>
      <x:c r="J7" s="74"/>
    </x:row>
    <x:row r="8">
      <x:c r="A8" s="77"/>
      <x:c r="H8" s="77"/>
      <x:c r="I8" s="74"/>
      <x:c r="J8" s="74"/>
    </x:row>
    <x:row r="9">
      <x:c r="A9" s="77"/>
      <x:c r="H9" s="77"/>
      <x:c r="I9" s="74"/>
      <x:c r="J9" s="74"/>
    </x:row>
    <x:row r="10">
      <x:c r="A10" s="77"/>
      <x:c r="H10" s="77"/>
      <x:c r="I10" s="74"/>
      <x:c r="J10" s="74"/>
    </x:row>
    <x:row r="11">
      <x:c r="A11" s="77"/>
      <x:c r="H11" s="77"/>
      <x:c r="I11" s="74"/>
      <x:c r="J11" s="74"/>
    </x:row>
    <x:row r="12">
      <x:c r="A12" s="77"/>
      <x:c r="H12" s="77"/>
      <x:c r="I12" s="74"/>
      <x:c r="J12" s="74"/>
    </x:row>
    <x:row r="13">
      <x:c r="A13" s="77"/>
      <x:c r="H13" s="77"/>
      <x:c r="I13" s="74"/>
      <x:c r="J13" s="74"/>
    </x:row>
    <x:row r="14">
      <x:c r="A14" s="77"/>
      <x:c r="H14" s="77"/>
      <x:c r="I14" s="74"/>
      <x:c r="J14" s="74"/>
    </x:row>
    <x:row r="15">
      <x:c r="A15" s="77"/>
      <x:c r="H15" s="77"/>
      <x:c r="I15" s="74"/>
      <x:c r="J15" s="74"/>
    </x:row>
    <x:row r="16">
      <x:c r="A16" s="77"/>
      <x:c r="H16" s="77"/>
      <x:c r="I16" s="74"/>
      <x:c r="J16" s="74"/>
    </x:row>
    <x:row r="17">
      <x:c r="A17" s="77"/>
      <x:c r="H17" s="77"/>
      <x:c r="I17" s="74"/>
      <x:c r="J17" s="74"/>
    </x:row>
    <x:row r="18">
      <x:c r="A18" s="77"/>
      <x:c r="H18" s="77"/>
      <x:c r="I18" s="74"/>
      <x:c r="J18" s="74"/>
    </x:row>
    <x:row r="19">
      <x:c r="A19" s="77"/>
      <x:c r="H19" s="77"/>
      <x:c r="I19" s="74"/>
      <x:c r="J19" s="74"/>
    </x:row>
    <x:row r="20">
      <x:c r="A20" s="77"/>
      <x:c r="H20" s="77"/>
      <x:c r="I20" s="74"/>
      <x:c r="J20" s="74"/>
    </x:row>
    <x:row r="21">
      <x:c r="A21" s="77"/>
      <x:c r="H21" s="77"/>
      <x:c r="I21" s="74"/>
      <x:c r="J21" s="74"/>
    </x:row>
    <x:row r="22">
      <x:c r="A22" s="77"/>
      <x:c r="H22" s="77"/>
      <x:c r="I22" s="74"/>
      <x:c r="J22" s="74"/>
    </x:row>
    <x:row r="23">
      <x:c r="A23" s="77"/>
      <x:c r="H23" s="77"/>
      <x:c r="I23" s="74"/>
      <x:c r="J23" s="74"/>
    </x:row>
    <x:row r="24">
      <x:c r="A24" s="77"/>
      <x:c r="H24" s="77"/>
      <x:c r="I24" s="74"/>
      <x:c r="J24" s="74"/>
    </x:row>
    <x:row r="25">
      <x:c r="A25" s="77"/>
      <x:c r="H25" s="77"/>
      <x:c r="I25" s="74"/>
      <x:c r="J25" s="74"/>
    </x:row>
    <x:row r="26">
      <x:c r="A26" s="77"/>
      <x:c r="H26" s="77"/>
      <x:c r="I26" s="74"/>
      <x:c r="J26" s="74"/>
    </x:row>
    <x:row r="27">
      <x:c r="A27" s="77"/>
      <x:c r="H27" s="77"/>
      <x:c r="I27" s="74"/>
      <x:c r="J27" s="74"/>
    </x:row>
    <x:row r="28">
      <x:c r="A28" s="77"/>
      <x:c r="H28" s="77"/>
      <x:c r="I28" s="74"/>
      <x:c r="J28" s="74"/>
    </x:row>
    <x:row r="29">
      <x:c r="A29" s="77"/>
      <x:c r="H29" s="77"/>
      <x:c r="I29" s="74"/>
      <x:c r="J29" s="74"/>
    </x:row>
    <x:row r="30">
      <x:c r="A30" s="77"/>
      <x:c r="H30" s="77"/>
      <x:c r="I30" s="74"/>
      <x:c r="J30" s="74"/>
    </x:row>
    <x:row r="31">
      <x:c r="A31" s="77"/>
      <x:c r="H31" s="77"/>
      <x:c r="I31" s="74"/>
      <x:c r="J31" s="74"/>
    </x:row>
    <x:row r="32">
      <x:c r="A32" s="77"/>
      <x:c r="H32" s="77"/>
      <x:c r="I32" s="74"/>
      <x:c r="J32" s="74"/>
    </x:row>
    <x:row r="33">
      <x:c r="A33" s="77"/>
      <x:c r="H33" s="77"/>
      <x:c r="I33" s="74"/>
      <x:c r="J33" s="74"/>
    </x:row>
    <x:row r="34">
      <x:c r="A34" s="77"/>
      <x:c r="H34" s="77"/>
      <x:c r="I34" s="74"/>
      <x:c r="J34" s="74"/>
    </x:row>
    <x:row r="35">
      <x:c r="A35" s="77"/>
      <x:c r="H35" s="77"/>
      <x:c r="I35" s="74"/>
      <x:c r="J35" s="74"/>
    </x:row>
    <x:row r="36">
      <x:c r="A36" s="77"/>
      <x:c r="H36" s="77"/>
      <x:c r="I36" s="74"/>
      <x:c r="J36" s="74"/>
    </x:row>
    <x:row r="37">
      <x:c r="A37" s="77"/>
      <x:c r="H37" s="77"/>
      <x:c r="I37" s="74"/>
      <x:c r="J37" s="74"/>
    </x:row>
    <x:row r="38">
      <x:c r="A38" s="77"/>
      <x:c r="H38" s="77"/>
      <x:c r="I38" s="74"/>
      <x:c r="J38" s="74"/>
    </x:row>
    <x:row r="39">
      <x:c r="A39" s="77"/>
      <x:c r="H39" s="77"/>
      <x:c r="I39" s="74"/>
      <x:c r="J39" s="74"/>
    </x:row>
    <x:row r="40">
      <x:c r="A40" s="77"/>
      <x:c r="H40" s="77"/>
      <x:c r="I40" s="74"/>
      <x:c r="J40" s="74"/>
    </x:row>
    <x:row r="41">
      <x:c r="A41" s="77"/>
      <x:c r="H41" s="77"/>
      <x:c r="I41" s="74"/>
      <x:c r="J41" s="74"/>
    </x:row>
    <x:row r="42">
      <x:c r="A42" s="77"/>
      <x:c r="H42" s="77"/>
      <x:c r="I42" s="74"/>
      <x:c r="J42" s="74"/>
    </x:row>
    <x:row r="43">
      <x:c r="A43" s="77"/>
      <x:c r="H43" s="77"/>
      <x:c r="I43" s="74"/>
      <x:c r="J43" s="74"/>
    </x:row>
    <x:row r="44">
      <x:c r="A44" s="77"/>
      <x:c r="H44" s="77"/>
      <x:c r="I44" s="74"/>
      <x:c r="J44" s="74"/>
    </x:row>
    <x:row r="45">
      <x:c r="A45" s="77"/>
      <x:c r="H45" s="77"/>
      <x:c r="I45" s="74"/>
      <x:c r="J45" s="74"/>
    </x:row>
    <x:row r="46">
      <x:c r="A46" s="77"/>
      <x:c r="H46" s="77"/>
      <x:c r="I46" s="74"/>
      <x:c r="J46" s="74"/>
    </x:row>
    <x:row r="47">
      <x:c r="A47" s="77"/>
      <x:c r="H47" s="77"/>
      <x:c r="I47" s="74"/>
      <x:c r="J47" s="74"/>
    </x:row>
    <x:row r="48">
      <x:c r="A48" s="77"/>
      <x:c r="H48" s="77"/>
      <x:c r="I48" s="74"/>
      <x:c r="J48" s="74"/>
    </x:row>
    <x:row r="49">
      <x:c r="A49" s="77"/>
      <x:c r="H49" s="77"/>
      <x:c r="I49" s="74"/>
      <x:c r="J49" s="74"/>
    </x:row>
    <x:row r="50">
      <x:c r="A50" s="77"/>
      <x:c r="H50" s="77"/>
      <x:c r="I50" s="74"/>
      <x:c r="J50" s="74"/>
    </x:row>
    <x:row r="51">
      <x:c r="A51" s="77"/>
      <x:c r="H51" s="77"/>
      <x:c r="I51" s="74"/>
      <x:c r="J51" s="74"/>
    </x:row>
    <x:row r="52">
      <x:c r="A52" s="77"/>
      <x:c r="H52" s="77"/>
      <x:c r="I52" s="74"/>
      <x:c r="J52" s="74"/>
    </x:row>
    <x:row r="53">
      <x:c r="A53" s="77"/>
      <x:c r="H53" s="77"/>
      <x:c r="I53" s="74"/>
      <x:c r="J53" s="74"/>
    </x:row>
    <x:row r="54">
      <x:c r="A54" s="77"/>
      <x:c r="H54" s="77"/>
      <x:c r="I54" s="74"/>
      <x:c r="J54" s="74"/>
    </x:row>
    <x:row r="55">
      <x:c r="A55" s="77"/>
      <x:c r="H55" s="77"/>
      <x:c r="I55" s="74"/>
      <x:c r="J55" s="74"/>
    </x:row>
    <x:row r="56">
      <x:c r="A56" s="77"/>
      <x:c r="H56" s="77"/>
      <x:c r="I56" s="74"/>
      <x:c r="J56" s="74"/>
    </x:row>
    <x:row r="57">
      <x:c r="A57" s="77"/>
      <x:c r="H57" s="77"/>
      <x:c r="I57" s="74"/>
      <x:c r="J57" s="74"/>
    </x:row>
    <x:row r="58">
      <x:c r="A58" s="77"/>
      <x:c r="H58" s="77"/>
      <x:c r="I58" s="74"/>
      <x:c r="J58" s="74"/>
    </x:row>
    <x:row r="59">
      <x:c r="A59" s="77"/>
      <x:c r="H59" s="77"/>
      <x:c r="I59" s="74"/>
      <x:c r="J59" s="74"/>
    </x:row>
    <x:row r="60">
      <x:c r="A60" s="77"/>
      <x:c r="H60" s="77"/>
      <x:c r="I60" s="74"/>
      <x:c r="J60" s="74"/>
    </x:row>
    <x:row r="61">
      <x:c r="A61" s="77"/>
      <x:c r="H61" s="77"/>
      <x:c r="I61" s="74"/>
      <x:c r="J61" s="74"/>
    </x:row>
    <x:row r="62">
      <x:c r="A62" s="77"/>
      <x:c r="H62" s="77"/>
      <x:c r="I62" s="74"/>
      <x:c r="J62" s="74"/>
    </x:row>
    <x:row r="63">
      <x:c r="A63" s="77"/>
      <x:c r="H63" s="77"/>
      <x:c r="I63" s="74"/>
      <x:c r="J63" s="74"/>
    </x:row>
    <x:row r="64">
      <x:c r="A64" s="77"/>
      <x:c r="H64" s="77"/>
      <x:c r="I64" s="74"/>
      <x:c r="J64" s="74"/>
    </x:row>
    <x:row r="65">
      <x:c r="A65" s="77"/>
      <x:c r="H65" s="77"/>
      <x:c r="I65" s="74"/>
      <x:c r="J65" s="74"/>
    </x:row>
    <x:row r="66">
      <x:c r="A66" s="77"/>
      <x:c r="H66" s="77"/>
      <x:c r="I66" s="74"/>
      <x:c r="J66" s="74"/>
    </x:row>
    <x:row r="67">
      <x:c r="A67" s="77"/>
      <x:c r="H67" s="77"/>
      <x:c r="I67" s="74"/>
      <x:c r="J67" s="74"/>
    </x:row>
    <x:row r="68">
      <x:c r="A68" s="77"/>
      <x:c r="H68" s="77"/>
      <x:c r="I68" s="74"/>
      <x:c r="J68" s="74"/>
    </x:row>
    <x:row r="69">
      <x:c r="A69" s="77"/>
      <x:c r="H69" s="77"/>
      <x:c r="I69" s="74"/>
      <x:c r="J69" s="74"/>
    </x:row>
    <x:row r="70">
      <x:c r="A70" s="77"/>
      <x:c r="H70" s="77"/>
      <x:c r="I70" s="74"/>
      <x:c r="J70" s="74"/>
    </x:row>
    <x:row r="71">
      <x:c r="A71" s="77"/>
      <x:c r="H71" s="77"/>
      <x:c r="I71" s="74"/>
      <x:c r="J71" s="74"/>
    </x:row>
    <x:row r="72">
      <x:c r="A72" s="77"/>
      <x:c r="H72" s="77"/>
      <x:c r="I72" s="74"/>
      <x:c r="J72" s="74"/>
    </x:row>
    <x:row r="73">
      <x:c r="A73" s="77"/>
      <x:c r="H73" s="77"/>
      <x:c r="I73" s="74"/>
      <x:c r="J73" s="74"/>
    </x:row>
    <x:row r="74">
      <x:c r="A74" s="77"/>
      <x:c r="H74" s="77"/>
      <x:c r="I74" s="74"/>
      <x:c r="J74" s="74"/>
    </x:row>
    <x:row r="75">
      <x:c r="A75" s="77"/>
      <x:c r="H75" s="77"/>
      <x:c r="I75" s="74"/>
      <x:c r="J75" s="74"/>
    </x:row>
    <x:row r="76">
      <x:c r="A76" s="77"/>
      <x:c r="H76" s="77"/>
      <x:c r="I76" s="74"/>
      <x:c r="J76" s="74"/>
    </x:row>
    <x:row r="77">
      <x:c r="A77" s="77"/>
      <x:c r="H77" s="77"/>
      <x:c r="I77" s="74"/>
      <x:c r="J77" s="74"/>
    </x:row>
    <x:row r="78">
      <x:c r="A78" s="77"/>
      <x:c r="H78" s="77"/>
      <x:c r="I78" s="74"/>
      <x:c r="J78" s="74"/>
    </x:row>
    <x:row r="79">
      <x:c r="A79" s="77"/>
      <x:c r="H79" s="77"/>
      <x:c r="I79" s="74"/>
      <x:c r="J79" s="74"/>
    </x:row>
    <x:row r="80">
      <x:c r="A80" s="77"/>
      <x:c r="H80" s="77"/>
      <x:c r="I80" s="74"/>
      <x:c r="J80" s="74"/>
    </x:row>
    <x:row r="81">
      <x:c r="A81" s="77"/>
      <x:c r="H81" s="77"/>
      <x:c r="I81" s="74"/>
      <x:c r="J81" s="74"/>
    </x:row>
    <x:row r="82">
      <x:c r="A82" s="77"/>
      <x:c r="H82" s="77"/>
      <x:c r="I82" s="74"/>
      <x:c r="J82" s="74"/>
    </x:row>
    <x:row r="83">
      <x:c r="A83" s="77"/>
      <x:c r="H83" s="77"/>
      <x:c r="I83" s="74"/>
      <x:c r="J83" s="74"/>
    </x:row>
    <x:row r="84">
      <x:c r="A84" s="77"/>
      <x:c r="H84" s="77"/>
      <x:c r="I84" s="74"/>
      <x:c r="J84" s="74"/>
    </x:row>
    <x:row r="85">
      <x:c r="A85" s="77"/>
      <x:c r="H85" s="77"/>
      <x:c r="I85" s="74"/>
      <x:c r="J85" s="74"/>
    </x:row>
    <x:row r="86">
      <x:c r="A86" s="77"/>
      <x:c r="H86" s="77"/>
      <x:c r="I86" s="74"/>
      <x:c r="J86" s="74"/>
    </x:row>
    <x:row r="87">
      <x:c r="A87" s="77"/>
      <x:c r="H87" s="77"/>
      <x:c r="I87" s="74"/>
      <x:c r="J87" s="74"/>
    </x:row>
    <x:row r="88">
      <x:c r="A88" s="77"/>
      <x:c r="H88" s="77"/>
      <x:c r="I88" s="74"/>
      <x:c r="J88" s="74"/>
    </x:row>
    <x:row r="89">
      <x:c r="A89" s="77"/>
      <x:c r="H89" s="77"/>
      <x:c r="I89" s="74"/>
      <x:c r="J89" s="74"/>
    </x:row>
    <x:row r="90">
      <x:c r="A90" s="77"/>
      <x:c r="H90" s="77"/>
      <x:c r="I90" s="74"/>
      <x:c r="J90" s="74"/>
    </x:row>
    <x:row r="91">
      <x:c r="A91" s="77"/>
      <x:c r="H91" s="77"/>
      <x:c r="I91" s="74"/>
      <x:c r="J91" s="74"/>
    </x:row>
    <x:row r="92">
      <x:c r="A92" s="77"/>
      <x:c r="H92" s="77"/>
      <x:c r="I92" s="74"/>
      <x:c r="J92" s="74"/>
    </x:row>
    <x:row r="93">
      <x:c r="A93" s="77"/>
      <x:c r="H93" s="77"/>
      <x:c r="I93" s="74"/>
      <x:c r="J93" s="74"/>
    </x:row>
    <x:row r="94">
      <x:c r="A94" s="77"/>
      <x:c r="H94" s="77"/>
      <x:c r="I94" s="74"/>
      <x:c r="J94" s="74"/>
    </x:row>
    <x:row r="95">
      <x:c r="A95" s="77"/>
      <x:c r="H95" s="77"/>
      <x:c r="I95" s="74"/>
      <x:c r="J95" s="74"/>
    </x:row>
    <x:row r="96">
      <x:c r="A96" s="77"/>
      <x:c r="H96" s="77"/>
      <x:c r="I96" s="74"/>
      <x:c r="J96" s="74"/>
    </x:row>
    <x:row r="97">
      <x:c r="A97" s="77"/>
      <x:c r="H97" s="77"/>
      <x:c r="I97" s="74"/>
      <x:c r="J97" s="74"/>
    </x:row>
    <x:row r="98">
      <x:c r="A98" s="77"/>
      <x:c r="H98" s="77"/>
      <x:c r="I98" s="74"/>
      <x:c r="J98" s="74"/>
    </x:row>
    <x:row r="99">
      <x:c r="A99" s="77"/>
      <x:c r="H99" s="77"/>
      <x:c r="I99" s="74"/>
      <x:c r="J99" s="74"/>
    </x:row>
    <x:row r="100">
      <x:c r="A100" s="77"/>
      <x:c r="H100" s="77"/>
      <x:c r="I100" s="74"/>
      <x:c r="J100" s="74"/>
    </x:row>
    <x:row r="101">
      <x:c r="A101" s="77"/>
      <x:c r="H101" s="77"/>
      <x:c r="I101" s="74"/>
      <x:c r="J101" s="74"/>
    </x:row>
    <x:row r="102">
      <x:c r="A102" s="77"/>
      <x:c r="H102" s="77"/>
      <x:c r="I102" s="74"/>
      <x:c r="J102" s="74"/>
    </x:row>
    <x:row r="103">
      <x:c r="A103" s="77"/>
      <x:c r="H103" s="77"/>
      <x:c r="I103" s="74"/>
      <x:c r="J103" s="74"/>
    </x:row>
    <x:row r="104">
      <x:c r="A104" s="77"/>
      <x:c r="H104" s="77"/>
      <x:c r="I104" s="74"/>
      <x:c r="J104" s="74"/>
    </x:row>
    <x:row r="105">
      <x:c r="A105" s="77"/>
      <x:c r="H105" s="77"/>
      <x:c r="I105" s="74"/>
      <x:c r="J105" s="74"/>
    </x:row>
    <x:row r="106">
      <x:c r="A106" s="77"/>
      <x:c r="H106" s="77"/>
      <x:c r="I106" s="74"/>
      <x:c r="J106" s="74"/>
    </x:row>
    <x:row r="107">
      <x:c r="A107" s="77"/>
      <x:c r="H107" s="77"/>
      <x:c r="I107" s="74"/>
      <x:c r="J107" s="74"/>
    </x:row>
    <x:row r="108">
      <x:c r="A108" s="77"/>
      <x:c r="H108" s="77"/>
      <x:c r="I108" s="74"/>
      <x:c r="J108" s="74"/>
    </x:row>
    <x:row r="109">
      <x:c r="A109" s="77"/>
      <x:c r="H109" s="77"/>
      <x:c r="I109" s="74"/>
      <x:c r="J109" s="74"/>
    </x:row>
    <x:row r="110">
      <x:c r="A110" s="77"/>
      <x:c r="H110" s="77"/>
      <x:c r="I110" s="74"/>
      <x:c r="J110" s="74"/>
    </x:row>
    <x:row r="111">
      <x:c r="A111" s="77"/>
      <x:c r="H111" s="77"/>
      <x:c r="I111" s="74"/>
      <x:c r="J111" s="74"/>
    </x:row>
    <x:row r="112">
      <x:c r="A112" s="77"/>
      <x:c r="H112" s="77"/>
      <x:c r="I112" s="74"/>
      <x:c r="J112" s="74"/>
    </x:row>
    <x:row r="113">
      <x:c r="A113" s="77"/>
      <x:c r="H113" s="77"/>
      <x:c r="I113" s="74"/>
      <x:c r="J113" s="74"/>
    </x:row>
    <x:row r="114">
      <x:c r="A114" s="77"/>
      <x:c r="H114" s="77"/>
      <x:c r="I114" s="74"/>
      <x:c r="J114" s="74"/>
    </x:row>
    <x:row r="115">
      <x:c r="A115" s="77"/>
      <x:c r="H115" s="77"/>
      <x:c r="I115" s="74"/>
      <x:c r="J115" s="74"/>
    </x:row>
    <x:row r="116">
      <x:c r="A116" s="77"/>
      <x:c r="H116" s="77"/>
      <x:c r="I116" s="74"/>
      <x:c r="J116" s="74"/>
    </x:row>
    <x:row r="117">
      <x:c r="A117" s="77"/>
      <x:c r="H117" s="77"/>
      <x:c r="I117" s="74"/>
      <x:c r="J117" s="74"/>
    </x:row>
    <x:row r="118">
      <x:c r="A118" s="77"/>
      <x:c r="H118" s="77"/>
      <x:c r="I118" s="74"/>
      <x:c r="J118" s="74"/>
    </x:row>
    <x:row r="119">
      <x:c r="A119" s="77"/>
      <x:c r="H119" s="77"/>
      <x:c r="I119" s="74"/>
      <x:c r="J119" s="74"/>
    </x:row>
    <x:row r="120">
      <x:c r="A120" s="77"/>
      <x:c r="H120" s="77"/>
      <x:c r="I120" s="74"/>
      <x:c r="J120" s="74"/>
    </x:row>
    <x:row r="121">
      <x:c r="A121" s="77"/>
      <x:c r="H121" s="77"/>
      <x:c r="I121" s="74"/>
      <x:c r="J121" s="74"/>
    </x:row>
    <x:row r="122">
      <x:c r="A122" s="77"/>
      <x:c r="H122" s="77"/>
      <x:c r="I122" s="74"/>
      <x:c r="J122" s="74"/>
    </x:row>
    <x:row r="123">
      <x:c r="A123" s="77"/>
      <x:c r="H123" s="77"/>
      <x:c r="I123" s="74"/>
      <x:c r="J123" s="74"/>
    </x:row>
    <x:row r="124">
      <x:c r="A124" s="77"/>
      <x:c r="H124" s="77"/>
      <x:c r="I124" s="74"/>
      <x:c r="J124" s="74"/>
    </x:row>
    <x:row r="125">
      <x:c r="A125" s="77"/>
      <x:c r="H125" s="77"/>
      <x:c r="I125" s="74"/>
      <x:c r="J125" s="74"/>
    </x:row>
    <x:row r="126">
      <x:c r="A126" s="77"/>
      <x:c r="H126" s="77"/>
      <x:c r="I126" s="74"/>
      <x:c r="J126" s="74"/>
    </x:row>
    <x:row r="127">
      <x:c r="A127" s="77"/>
      <x:c r="H127" s="77"/>
      <x:c r="I127" s="74"/>
      <x:c r="J127" s="74"/>
    </x:row>
    <x:row r="128">
      <x:c r="A128" s="77"/>
      <x:c r="H128" s="77"/>
      <x:c r="I128" s="74"/>
      <x:c r="J128" s="74"/>
    </x:row>
    <x:row r="129">
      <x:c r="A129" s="77"/>
      <x:c r="H129" s="77"/>
      <x:c r="I129" s="74"/>
      <x:c r="J129" s="74"/>
    </x:row>
    <x:row r="130">
      <x:c r="A130" s="77"/>
      <x:c r="H130" s="77"/>
      <x:c r="I130" s="74"/>
      <x:c r="J130" s="74"/>
    </x:row>
    <x:row r="131">
      <x:c r="A131" s="77"/>
      <x:c r="H131" s="77"/>
      <x:c r="I131" s="74"/>
      <x:c r="J131" s="74"/>
    </x:row>
    <x:row r="132">
      <x:c r="A132" s="77"/>
      <x:c r="H132" s="77"/>
      <x:c r="I132" s="74"/>
      <x:c r="J132" s="74"/>
    </x:row>
    <x:row r="133">
      <x:c r="A133" s="77"/>
      <x:c r="H133" s="77"/>
      <x:c r="I133" s="74"/>
      <x:c r="J133" s="74"/>
    </x:row>
    <x:row r="134">
      <x:c r="A134" s="77"/>
      <x:c r="H134" s="77"/>
      <x:c r="I134" s="74"/>
      <x:c r="J134" s="74"/>
    </x:row>
    <x:row r="135">
      <x:c r="A135" s="77"/>
      <x:c r="H135" s="77"/>
      <x:c r="I135" s="74"/>
      <x:c r="J135" s="74"/>
    </x:row>
    <x:row r="136">
      <x:c r="A136" s="77"/>
      <x:c r="H136" s="77"/>
      <x:c r="I136" s="74"/>
      <x:c r="J136" s="74"/>
    </x:row>
    <x:row r="137">
      <x:c r="A137" s="77"/>
      <x:c r="H137" s="77"/>
      <x:c r="I137" s="74"/>
      <x:c r="J137" s="74"/>
    </x:row>
    <x:row r="138">
      <x:c r="A138" s="77"/>
      <x:c r="H138" s="77"/>
      <x:c r="I138" s="74"/>
      <x:c r="J138" s="74"/>
    </x:row>
    <x:row r="139">
      <x:c r="A139" s="77"/>
      <x:c r="H139" s="77"/>
      <x:c r="I139" s="74"/>
      <x:c r="J139" s="74"/>
    </x:row>
    <x:row r="140">
      <x:c r="A140" s="77"/>
      <x:c r="H140" s="77"/>
      <x:c r="I140" s="74"/>
      <x:c r="J140" s="74"/>
    </x:row>
    <x:row r="141">
      <x:c r="A141" s="77"/>
      <x:c r="H141" s="77"/>
      <x:c r="I141" s="74"/>
      <x:c r="J141" s="74"/>
    </x:row>
    <x:row r="142">
      <x:c r="A142" s="77"/>
      <x:c r="H142" s="77"/>
      <x:c r="I142" s="74"/>
      <x:c r="J142" s="74"/>
    </x:row>
    <x:row r="143">
      <x:c r="A143" s="77"/>
      <x:c r="H143" s="77"/>
      <x:c r="I143" s="74"/>
      <x:c r="J143" s="74"/>
    </x:row>
    <x:row r="144">
      <x:c r="A144" s="77"/>
      <x:c r="H144" s="77"/>
      <x:c r="I144" s="74"/>
      <x:c r="J144" s="74"/>
    </x:row>
    <x:row r="145">
      <x:c r="A145" s="77"/>
      <x:c r="H145" s="77"/>
      <x:c r="I145" s="74"/>
      <x:c r="J145" s="74"/>
    </x:row>
    <x:row r="146">
      <x:c r="A146" s="77"/>
      <x:c r="H146" s="77"/>
      <x:c r="I146" s="74"/>
      <x:c r="J146" s="74"/>
    </x:row>
    <x:row r="147">
      <x:c r="A147" s="77"/>
      <x:c r="H147" s="77"/>
      <x:c r="I147" s="74"/>
      <x:c r="J147" s="74"/>
    </x:row>
    <x:row r="148">
      <x:c r="A148" s="77"/>
      <x:c r="H148" s="77"/>
      <x:c r="I148" s="74"/>
      <x:c r="J148" s="74"/>
    </x:row>
    <x:row r="149">
      <x:c r="A149" s="77"/>
      <x:c r="H149" s="77"/>
      <x:c r="I149" s="74"/>
      <x:c r="J149" s="74"/>
    </x:row>
    <x:row r="150">
      <x:c r="A150" s="77"/>
      <x:c r="H150" s="77"/>
      <x:c r="I150" s="74"/>
      <x:c r="J150" s="74"/>
    </x:row>
    <x:row r="151">
      <x:c r="A151" s="77"/>
      <x:c r="H151" s="77"/>
      <x:c r="I151" s="74"/>
      <x:c r="J151" s="74"/>
    </x:row>
    <x:row r="152">
      <x:c r="A152" s="77"/>
      <x:c r="H152" s="77"/>
      <x:c r="I152" s="74"/>
      <x:c r="J152" s="74"/>
    </x:row>
    <x:row r="153">
      <x:c r="A153" s="77"/>
      <x:c r="H153" s="77"/>
      <x:c r="I153" s="74"/>
      <x:c r="J153" s="74"/>
    </x:row>
    <x:row r="154">
      <x:c r="A154" s="77"/>
      <x:c r="H154" s="77"/>
      <x:c r="I154" s="74"/>
      <x:c r="J154" s="74"/>
    </x:row>
    <x:row r="155">
      <x:c r="A155" s="77"/>
      <x:c r="H155" s="77"/>
      <x:c r="I155" s="74"/>
      <x:c r="J155" s="74"/>
    </x:row>
    <x:row r="156">
      <x:c r="A156" s="77"/>
      <x:c r="H156" s="77"/>
      <x:c r="I156" s="74"/>
      <x:c r="J156" s="74"/>
    </x:row>
    <x:row r="157">
      <x:c r="A157" s="77"/>
      <x:c r="H157" s="77"/>
      <x:c r="I157" s="74"/>
      <x:c r="J157" s="74"/>
    </x:row>
    <x:row r="158">
      <x:c r="A158" s="77"/>
      <x:c r="H158" s="77"/>
      <x:c r="I158" s="74"/>
      <x:c r="J158" s="74"/>
    </x:row>
    <x:row r="159">
      <x:c r="A159" s="77"/>
      <x:c r="H159" s="77"/>
      <x:c r="I159" s="74"/>
      <x:c r="J159" s="74"/>
    </x:row>
    <x:row r="160">
      <x:c r="A160" s="77"/>
      <x:c r="H160" s="77"/>
      <x:c r="I160" s="74"/>
      <x:c r="J160" s="74"/>
    </x:row>
    <x:row r="161">
      <x:c r="A161" s="77"/>
      <x:c r="H161" s="77"/>
      <x:c r="I161" s="74"/>
      <x:c r="J161" s="74"/>
    </x:row>
    <x:row r="162">
      <x:c r="A162" s="77"/>
      <x:c r="H162" s="77"/>
      <x:c r="I162" s="74"/>
      <x:c r="J162" s="74"/>
    </x:row>
    <x:row r="163">
      <x:c r="A163" s="77"/>
      <x:c r="H163" s="77"/>
      <x:c r="I163" s="74"/>
      <x:c r="J163" s="74"/>
    </x:row>
    <x:row r="164">
      <x:c r="A164" s="77"/>
      <x:c r="H164" s="77"/>
      <x:c r="I164" s="74"/>
      <x:c r="J164" s="74"/>
    </x:row>
    <x:row r="165">
      <x:c r="A165" s="77"/>
      <x:c r="H165" s="77"/>
      <x:c r="I165" s="74"/>
      <x:c r="J165" s="74"/>
    </x:row>
    <x:row r="166">
      <x:c r="A166" s="77"/>
      <x:c r="H166" s="77"/>
      <x:c r="I166" s="74"/>
      <x:c r="J166" s="74"/>
    </x:row>
    <x:row r="167">
      <x:c r="A167" s="77"/>
      <x:c r="H167" s="77"/>
      <x:c r="I167" s="74"/>
      <x:c r="J167" s="74"/>
    </x:row>
    <x:row r="168">
      <x:c r="A168" s="77"/>
      <x:c r="H168" s="77"/>
      <x:c r="I168" s="74"/>
      <x:c r="J168" s="74"/>
    </x:row>
    <x:row r="169">
      <x:c r="A169" s="77"/>
      <x:c r="H169" s="77"/>
      <x:c r="I169" s="74"/>
      <x:c r="J169" s="74"/>
    </x:row>
    <x:row r="170">
      <x:c r="A170" s="77"/>
      <x:c r="H170" s="77"/>
      <x:c r="I170" s="74"/>
      <x:c r="J170" s="74"/>
    </x:row>
    <x:row r="171">
      <x:c r="A171" s="77"/>
      <x:c r="H171" s="77"/>
      <x:c r="I171" s="74"/>
      <x:c r="J171" s="74"/>
    </x:row>
    <x:row r="172">
      <x:c r="A172" s="77"/>
      <x:c r="H172" s="77"/>
      <x:c r="I172" s="74"/>
      <x:c r="J172" s="74"/>
    </x:row>
    <x:row r="173">
      <x:c r="A173" s="77"/>
      <x:c r="H173" s="77"/>
      <x:c r="I173" s="74"/>
      <x:c r="J173" s="74"/>
    </x:row>
    <x:row r="174">
      <x:c r="A174" s="77"/>
      <x:c r="H174" s="77"/>
      <x:c r="I174" s="74"/>
      <x:c r="J174" s="74"/>
    </x:row>
    <x:row r="175">
      <x:c r="A175" s="77"/>
      <x:c r="H175" s="77"/>
      <x:c r="I175" s="74"/>
      <x:c r="J175" s="74"/>
    </x:row>
    <x:row r="176">
      <x:c r="A176" s="77"/>
      <x:c r="H176" s="77"/>
      <x:c r="I176" s="74"/>
      <x:c r="J176" s="74"/>
    </x:row>
    <x:row r="177">
      <x:c r="A177" s="77"/>
      <x:c r="H177" s="77"/>
      <x:c r="I177" s="74"/>
      <x:c r="J177" s="74"/>
    </x:row>
    <x:row r="178">
      <x:c r="A178" s="77"/>
      <x:c r="H178" s="77"/>
      <x:c r="I178" s="74"/>
      <x:c r="J178" s="74"/>
    </x:row>
    <x:row r="179">
      <x:c r="A179" s="77"/>
      <x:c r="H179" s="77"/>
      <x:c r="I179" s="74"/>
      <x:c r="J179" s="74"/>
    </x:row>
    <x:row r="180">
      <x:c r="A180" s="77"/>
      <x:c r="H180" s="77"/>
      <x:c r="I180" s="74"/>
      <x:c r="J180" s="74"/>
    </x:row>
    <x:row r="181">
      <x:c r="A181" s="77"/>
      <x:c r="H181" s="77"/>
      <x:c r="I181" s="74"/>
      <x:c r="J181" s="74"/>
    </x:row>
    <x:row r="182">
      <x:c r="A182" s="77"/>
      <x:c r="H182" s="77"/>
      <x:c r="I182" s="74"/>
      <x:c r="J182" s="74"/>
    </x:row>
    <x:row r="183">
      <x:c r="A183" s="77"/>
      <x:c r="H183" s="77"/>
      <x:c r="I183" s="74"/>
      <x:c r="J183" s="74"/>
    </x:row>
    <x:row r="184">
      <x:c r="A184" s="77"/>
      <x:c r="H184" s="77"/>
      <x:c r="I184" s="74"/>
      <x:c r="J184" s="74"/>
    </x:row>
    <x:row r="185">
      <x:c r="A185" s="77"/>
      <x:c r="H185" s="77"/>
      <x:c r="I185" s="74"/>
      <x:c r="J185" s="74"/>
    </x:row>
    <x:row r="186">
      <x:c r="A186" s="77"/>
      <x:c r="H186" s="77"/>
      <x:c r="I186" s="74"/>
      <x:c r="J186" s="74"/>
    </x:row>
    <x:row r="187">
      <x:c r="A187" s="77"/>
      <x:c r="H187" s="77"/>
      <x:c r="I187" s="74"/>
      <x:c r="J187" s="74"/>
    </x:row>
    <x:row r="188">
      <x:c r="A188" s="77"/>
      <x:c r="H188" s="77"/>
      <x:c r="I188" s="74"/>
      <x:c r="J188" s="74"/>
    </x:row>
    <x:row r="189">
      <x:c r="A189" s="77"/>
      <x:c r="H189" s="77"/>
      <x:c r="I189" s="74"/>
      <x:c r="J189" s="74"/>
    </x:row>
    <x:row r="190">
      <x:c r="A190" s="77"/>
      <x:c r="H190" s="77"/>
      <x:c r="I190" s="74"/>
      <x:c r="J190" s="74"/>
    </x:row>
    <x:row r="191">
      <x:c r="A191" s="77"/>
      <x:c r="H191" s="77"/>
      <x:c r="I191" s="74"/>
      <x:c r="J191" s="74"/>
    </x:row>
    <x:row r="192">
      <x:c r="A192" s="77"/>
      <x:c r="H192" s="77"/>
      <x:c r="I192" s="74"/>
      <x:c r="J192" s="74"/>
    </x:row>
    <x:row r="193">
      <x:c r="A193" s="77"/>
      <x:c r="H193" s="77"/>
      <x:c r="I193" s="74"/>
      <x:c r="J193" s="74"/>
    </x:row>
    <x:row r="194">
      <x:c r="A194" s="77"/>
      <x:c r="H194" s="77"/>
      <x:c r="I194" s="74"/>
      <x:c r="J194" s="74"/>
    </x:row>
    <x:row r="195">
      <x:c r="A195" s="77"/>
      <x:c r="H195" s="77"/>
      <x:c r="I195" s="74"/>
      <x:c r="J195" s="74"/>
    </x:row>
    <x:row r="196">
      <x:c r="A196" s="77"/>
      <x:c r="H196" s="77"/>
      <x:c r="I196" s="74"/>
      <x:c r="J196" s="74"/>
    </x:row>
    <x:row r="197">
      <x:c r="A197" s="77"/>
      <x:c r="H197" s="77"/>
      <x:c r="I197" s="74"/>
      <x:c r="J197" s="74"/>
    </x:row>
    <x:row r="198">
      <x:c r="A198" s="77"/>
      <x:c r="H198" s="77"/>
      <x:c r="I198" s="74"/>
      <x:c r="J198" s="74"/>
    </x:row>
    <x:row r="199">
      <x:c r="A199" s="77"/>
      <x:c r="H199" s="77"/>
      <x:c r="I199" s="74"/>
      <x:c r="J199" s="74"/>
    </x:row>
    <x:row r="200">
      <x:c r="A200" s="77"/>
      <x:c r="H200" s="77"/>
      <x:c r="I200" s="74"/>
      <x:c r="J200" s="74"/>
    </x:row>
    <x:row r="201">
      <x:c r="A201" s="77"/>
      <x:c r="H201" s="77"/>
      <x:c r="I201" s="74"/>
      <x:c r="J201" s="74"/>
    </x:row>
    <x:row r="202">
      <x:c r="A202" s="77"/>
      <x:c r="H202" s="77"/>
      <x:c r="I202" s="74"/>
      <x:c r="J202" s="74"/>
    </x:row>
    <x:row r="203">
      <x:c r="A203" s="77"/>
      <x:c r="H203" s="77"/>
      <x:c r="I203" s="74"/>
      <x:c r="J203" s="74"/>
    </x:row>
    <x:row r="204">
      <x:c r="A204" s="77"/>
      <x:c r="H204" s="77"/>
      <x:c r="I204" s="74"/>
      <x:c r="J204" s="74"/>
    </x:row>
    <x:row r="205">
      <x:c r="A205" s="77"/>
      <x:c r="H205" s="77"/>
      <x:c r="I205" s="74"/>
      <x:c r="J205" s="74"/>
    </x:row>
    <x:row r="206">
      <x:c r="A206" s="77"/>
      <x:c r="H206" s="77"/>
      <x:c r="I206" s="74"/>
      <x:c r="J206" s="74"/>
    </x:row>
    <x:row r="207">
      <x:c r="A207" s="77"/>
      <x:c r="H207" s="77"/>
      <x:c r="I207" s="74"/>
      <x:c r="J207" s="74"/>
    </x:row>
    <x:row r="208">
      <x:c r="A208" s="77"/>
      <x:c r="H208" s="77"/>
      <x:c r="I208" s="74"/>
      <x:c r="J208" s="74"/>
    </x:row>
    <x:row r="209">
      <x:c r="A209" s="77"/>
      <x:c r="H209" s="77"/>
      <x:c r="I209" s="74"/>
      <x:c r="J209" s="74"/>
    </x:row>
    <x:row r="210">
      <x:c r="A210" s="77"/>
      <x:c r="H210" s="77"/>
      <x:c r="I210" s="74"/>
      <x:c r="J210" s="74"/>
    </x:row>
    <x:row r="211">
      <x:c r="A211" s="77"/>
      <x:c r="H211" s="77"/>
      <x:c r="I211" s="74"/>
      <x:c r="J211" s="74"/>
    </x:row>
    <x:row r="212">
      <x:c r="A212" s="77"/>
      <x:c r="H212" s="77"/>
      <x:c r="I212" s="74"/>
      <x:c r="J212" s="74"/>
    </x:row>
    <x:row r="213">
      <x:c r="A213" s="77"/>
      <x:c r="H213" s="77"/>
      <x:c r="I213" s="74"/>
      <x:c r="J213" s="74"/>
    </x:row>
    <x:row r="214">
      <x:c r="A214" s="77"/>
      <x:c r="H214" s="77"/>
      <x:c r="I214" s="74"/>
      <x:c r="J214" s="74"/>
    </x:row>
    <x:row r="215">
      <x:c r="A215" s="77"/>
      <x:c r="H215" s="77"/>
      <x:c r="I215" s="74"/>
      <x:c r="J215" s="74"/>
    </x:row>
    <x:row r="216">
      <x:c r="A216" s="77"/>
      <x:c r="H216" s="77"/>
      <x:c r="I216" s="74"/>
      <x:c r="J216" s="74"/>
    </x:row>
    <x:row r="217">
      <x:c r="A217" s="77"/>
      <x:c r="H217" s="77"/>
      <x:c r="I217" s="74"/>
      <x:c r="J217" s="74"/>
    </x:row>
    <x:row r="218">
      <x:c r="A218" s="77"/>
      <x:c r="H218" s="77"/>
      <x:c r="I218" s="74"/>
      <x:c r="J218" s="74"/>
    </x:row>
    <x:row r="219">
      <x:c r="A219" s="77"/>
      <x:c r="H219" s="77"/>
      <x:c r="I219" s="74"/>
      <x:c r="J219" s="74"/>
    </x:row>
    <x:row r="220">
      <x:c r="A220" s="77"/>
      <x:c r="H220" s="77"/>
      <x:c r="I220" s="74"/>
      <x:c r="J220" s="74"/>
    </x:row>
    <x:row r="221">
      <x:c r="A221" s="77"/>
      <x:c r="H221" s="77"/>
      <x:c r="I221" s="74"/>
      <x:c r="J221" s="74"/>
    </x:row>
    <x:row r="222">
      <x:c r="A222" s="77"/>
      <x:c r="H222" s="77"/>
      <x:c r="I222" s="74"/>
      <x:c r="J222" s="74"/>
    </x:row>
    <x:row r="223">
      <x:c r="A223" s="77"/>
      <x:c r="H223" s="77"/>
      <x:c r="I223" s="74"/>
      <x:c r="J223" s="74"/>
    </x:row>
    <x:row r="224">
      <x:c r="A224" s="77"/>
      <x:c r="H224" s="77"/>
      <x:c r="I224" s="74"/>
      <x:c r="J224" s="74"/>
    </x:row>
    <x:row r="225">
      <x:c r="A225" s="77"/>
      <x:c r="H225" s="77"/>
      <x:c r="I225" s="74"/>
      <x:c r="J225" s="74"/>
    </x:row>
    <x:row r="226">
      <x:c r="A226" s="77"/>
      <x:c r="H226" s="77"/>
      <x:c r="I226" s="74"/>
      <x:c r="J226" s="74"/>
    </x:row>
    <x:row r="227">
      <x:c r="A227" s="77"/>
      <x:c r="H227" s="77"/>
      <x:c r="I227" s="74"/>
      <x:c r="J227" s="74"/>
    </x:row>
    <x:row r="228">
      <x:c r="A228" s="77"/>
      <x:c r="H228" s="77"/>
      <x:c r="I228" s="74"/>
      <x:c r="J228" s="74"/>
    </x:row>
    <x:row r="229">
      <x:c r="A229" s="77"/>
      <x:c r="H229" s="77"/>
      <x:c r="I229" s="74"/>
      <x:c r="J229" s="74"/>
    </x:row>
    <x:row r="230">
      <x:c r="A230" s="77"/>
      <x:c r="H230" s="77"/>
      <x:c r="I230" s="74"/>
      <x:c r="J230" s="74"/>
    </x:row>
    <x:row r="231">
      <x:c r="A231" s="77"/>
      <x:c r="H231" s="77"/>
      <x:c r="I231" s="74"/>
      <x:c r="J231" s="74"/>
    </x:row>
    <x:row r="232">
      <x:c r="A232" s="77"/>
      <x:c r="H232" s="77"/>
      <x:c r="I232" s="74"/>
      <x:c r="J232" s="74"/>
    </x:row>
    <x:row r="233">
      <x:c r="A233" s="77"/>
      <x:c r="H233" s="77"/>
      <x:c r="I233" s="74"/>
      <x:c r="J233" s="74"/>
    </x:row>
    <x:row r="234">
      <x:c r="A234" s="77"/>
      <x:c r="H234" s="77"/>
      <x:c r="I234" s="74"/>
      <x:c r="J234" s="74"/>
    </x:row>
    <x:row r="235">
      <x:c r="A235" s="77"/>
      <x:c r="H235" s="77"/>
      <x:c r="I235" s="74"/>
      <x:c r="J235" s="74"/>
    </x:row>
    <x:row r="236">
      <x:c r="A236" s="77"/>
      <x:c r="H236" s="77"/>
      <x:c r="I236" s="74"/>
      <x:c r="J236" s="74"/>
    </x:row>
    <x:row r="237">
      <x:c r="A237" s="77"/>
      <x:c r="H237" s="77"/>
      <x:c r="I237" s="74"/>
      <x:c r="J237" s="74"/>
    </x:row>
    <x:row r="238">
      <x:c r="A238" s="77"/>
      <x:c r="H238" s="77"/>
      <x:c r="I238" s="74"/>
      <x:c r="J238" s="74"/>
    </x:row>
    <x:row r="239">
      <x:c r="A239" s="77"/>
      <x:c r="H239" s="77"/>
      <x:c r="I239" s="74"/>
      <x:c r="J239" s="74"/>
    </x:row>
    <x:row r="240">
      <x:c r="A240" s="77"/>
      <x:c r="H240" s="77"/>
      <x:c r="I240" s="74"/>
      <x:c r="J240" s="74"/>
    </x:row>
    <x:row r="241">
      <x:c r="A241" s="77"/>
      <x:c r="H241" s="77"/>
      <x:c r="I241" s="74"/>
      <x:c r="J241" s="74"/>
    </x:row>
    <x:row r="242">
      <x:c r="A242" s="77"/>
      <x:c r="H242" s="77"/>
      <x:c r="I242" s="74"/>
      <x:c r="J242" s="74"/>
    </x:row>
    <x:row r="243">
      <x:c r="A243" s="77"/>
      <x:c r="H243" s="77"/>
      <x:c r="I243" s="74"/>
      <x:c r="J243" s="74"/>
    </x:row>
    <x:row r="244">
      <x:c r="A244" s="77"/>
      <x:c r="H244" s="77"/>
      <x:c r="I244" s="74"/>
      <x:c r="J244" s="74"/>
    </x:row>
    <x:row r="245">
      <x:c r="A245" s="77"/>
      <x:c r="H245" s="77"/>
      <x:c r="I245" s="74"/>
      <x:c r="J245" s="74"/>
    </x:row>
    <x:row r="246">
      <x:c r="A246" s="77"/>
      <x:c r="H246" s="77"/>
      <x:c r="I246" s="74"/>
      <x:c r="J246" s="74"/>
    </x:row>
    <x:row r="247">
      <x:c r="A247" s="77"/>
      <x:c r="H247" s="77"/>
      <x:c r="I247" s="74"/>
      <x:c r="J247" s="74"/>
    </x:row>
    <x:row r="248">
      <x:c r="A248" s="77"/>
      <x:c r="H248" s="77"/>
      <x:c r="I248" s="74"/>
      <x:c r="J248" s="74"/>
    </x:row>
    <x:row r="249">
      <x:c r="A249" s="77"/>
      <x:c r="H249" s="77"/>
      <x:c r="I249" s="74"/>
      <x:c r="J249" s="74"/>
    </x:row>
    <x:row r="250">
      <x:c r="A250" s="77"/>
      <x:c r="H250" s="77"/>
      <x:c r="I250" s="74"/>
      <x:c r="J250" s="74"/>
    </x:row>
    <x:row r="251">
      <x:c r="A251" s="77"/>
      <x:c r="H251" s="77"/>
      <x:c r="I251" s="74"/>
      <x:c r="J251" s="74"/>
    </x:row>
    <x:row r="252">
      <x:c r="A252" s="77"/>
      <x:c r="H252" s="77"/>
      <x:c r="I252" s="74"/>
      <x:c r="J252" s="74"/>
    </x:row>
    <x:row r="253">
      <x:c r="A253" s="77"/>
      <x:c r="H253" s="77"/>
      <x:c r="I253" s="74"/>
      <x:c r="J253" s="74"/>
    </x:row>
    <x:row r="254">
      <x:c r="A254" s="77"/>
      <x:c r="H254" s="77"/>
      <x:c r="I254" s="74"/>
      <x:c r="J254" s="74"/>
    </x:row>
    <x:row r="255">
      <x:c r="A255" s="77"/>
      <x:c r="H255" s="77"/>
      <x:c r="I255" s="74"/>
      <x:c r="J255" s="74"/>
    </x:row>
    <x:row r="256">
      <x:c r="A256" s="77"/>
      <x:c r="H256" s="77"/>
      <x:c r="I256" s="74"/>
      <x:c r="J256" s="74"/>
    </x:row>
    <x:row r="257">
      <x:c r="A257" s="77"/>
      <x:c r="H257" s="77"/>
      <x:c r="I257" s="74"/>
      <x:c r="J257" s="74"/>
    </x:row>
    <x:row r="258">
      <x:c r="A258" s="77"/>
      <x:c r="H258" s="77"/>
      <x:c r="I258" s="74"/>
      <x:c r="J258" s="74"/>
    </x:row>
    <x:row r="259">
      <x:c r="A259" s="77"/>
      <x:c r="H259" s="77"/>
      <x:c r="I259" s="74"/>
      <x:c r="J259" s="74"/>
    </x:row>
    <x:row r="260">
      <x:c r="A260" s="77"/>
      <x:c r="H260" s="77"/>
      <x:c r="I260" s="74"/>
      <x:c r="J260" s="74"/>
    </x:row>
    <x:row r="261">
      <x:c r="A261" s="77"/>
      <x:c r="H261" s="77"/>
      <x:c r="I261" s="74"/>
      <x:c r="J261" s="74"/>
    </x:row>
    <x:row r="262">
      <x:c r="A262" s="77"/>
      <x:c r="H262" s="77"/>
      <x:c r="I262" s="74"/>
      <x:c r="J262" s="74"/>
    </x:row>
    <x:row r="263">
      <x:c r="A263" s="77"/>
      <x:c r="H263" s="77"/>
      <x:c r="I263" s="74"/>
      <x:c r="J263" s="74"/>
    </x:row>
    <x:row r="264">
      <x:c r="A264" s="77"/>
      <x:c r="H264" s="77"/>
      <x:c r="I264" s="74"/>
      <x:c r="J264" s="74"/>
    </x:row>
    <x:row r="265">
      <x:c r="A265" s="77"/>
      <x:c r="H265" s="77"/>
      <x:c r="I265" s="74"/>
      <x:c r="J265" s="74"/>
    </x:row>
    <x:row r="266">
      <x:c r="A266" s="77"/>
      <x:c r="H266" s="77"/>
      <x:c r="I266" s="74"/>
      <x:c r="J266" s="74"/>
    </x:row>
    <x:row r="267">
      <x:c r="A267" s="77"/>
      <x:c r="H267" s="77"/>
      <x:c r="I267" s="74"/>
      <x:c r="J267" s="74"/>
    </x:row>
    <x:row r="268">
      <x:c r="A268" s="77"/>
      <x:c r="H268" s="77"/>
      <x:c r="I268" s="74"/>
      <x:c r="J268" s="74"/>
    </x:row>
    <x:row r="269">
      <x:c r="A269" s="77"/>
      <x:c r="H269" s="77"/>
      <x:c r="I269" s="74"/>
      <x:c r="J269" s="74"/>
    </x:row>
    <x:row r="270">
      <x:c r="A270" s="77"/>
      <x:c r="H270" s="77"/>
      <x:c r="I270" s="74"/>
      <x:c r="J270" s="74"/>
    </x:row>
    <x:row r="271">
      <x:c r="A271" s="77"/>
      <x:c r="H271" s="77"/>
      <x:c r="I271" s="74"/>
      <x:c r="J271" s="74"/>
    </x:row>
    <x:row r="272">
      <x:c r="A272" s="77"/>
      <x:c r="H272" s="77"/>
      <x:c r="I272" s="74"/>
      <x:c r="J272" s="74"/>
    </x:row>
    <x:row r="273">
      <x:c r="A273" s="77"/>
      <x:c r="H273" s="77"/>
      <x:c r="I273" s="74"/>
      <x:c r="J273" s="74"/>
    </x:row>
    <x:row r="274">
      <x:c r="A274" s="77"/>
      <x:c r="H274" s="77"/>
      <x:c r="I274" s="74"/>
      <x:c r="J274" s="74"/>
    </x:row>
    <x:row r="275">
      <x:c r="A275" s="77"/>
      <x:c r="H275" s="77"/>
      <x:c r="I275" s="74"/>
      <x:c r="J275" s="74"/>
    </x:row>
    <x:row r="276">
      <x:c r="A276" s="77"/>
      <x:c r="H276" s="77"/>
      <x:c r="I276" s="74"/>
      <x:c r="J276" s="74"/>
    </x:row>
    <x:row r="277">
      <x:c r="A277" s="77"/>
      <x:c r="H277" s="77"/>
      <x:c r="I277" s="74"/>
      <x:c r="J277" s="74"/>
    </x:row>
    <x:row r="278">
      <x:c r="A278" s="77"/>
      <x:c r="H278" s="77"/>
      <x:c r="I278" s="74"/>
      <x:c r="J278" s="74"/>
    </x:row>
    <x:row r="279">
      <x:c r="A279" s="77"/>
      <x:c r="H279" s="77"/>
      <x:c r="I279" s="74"/>
      <x:c r="J279" s="74"/>
    </x:row>
    <x:row r="280">
      <x:c r="A280" s="77"/>
      <x:c r="H280" s="77"/>
      <x:c r="I280" s="74"/>
      <x:c r="J280" s="74"/>
    </x:row>
    <x:row r="281">
      <x:c r="A281" s="77"/>
      <x:c r="H281" s="77"/>
      <x:c r="I281" s="74"/>
      <x:c r="J281" s="74"/>
    </x:row>
    <x:row r="282">
      <x:c r="A282" s="77"/>
      <x:c r="H282" s="77"/>
      <x:c r="I282" s="74"/>
      <x:c r="J282" s="74"/>
    </x:row>
    <x:row r="283">
      <x:c r="A283" s="77"/>
      <x:c r="H283" s="77"/>
      <x:c r="I283" s="74"/>
      <x:c r="J283" s="74"/>
    </x:row>
    <x:row r="284">
      <x:c r="A284" s="77"/>
      <x:c r="H284" s="77"/>
      <x:c r="I284" s="74"/>
      <x:c r="J284" s="74"/>
    </x:row>
    <x:row r="285">
      <x:c r="A285" s="77"/>
      <x:c r="H285" s="77"/>
      <x:c r="I285" s="74"/>
      <x:c r="J285" s="74"/>
    </x:row>
    <x:row r="286">
      <x:c r="A286" s="77"/>
      <x:c r="H286" s="77"/>
      <x:c r="I286" s="74"/>
      <x:c r="J286" s="74"/>
    </x:row>
    <x:row r="287">
      <x:c r="A287" s="77"/>
      <x:c r="H287" s="77"/>
      <x:c r="I287" s="74"/>
      <x:c r="J287" s="74"/>
    </x:row>
    <x:row r="288">
      <x:c r="A288" s="77"/>
      <x:c r="H288" s="77"/>
      <x:c r="I288" s="74"/>
      <x:c r="J288" s="74"/>
    </x:row>
    <x:row r="289">
      <x:c r="A289" s="77"/>
      <x:c r="H289" s="77"/>
      <x:c r="I289" s="74"/>
      <x:c r="J289" s="74"/>
    </x:row>
    <x:row r="290">
      <x:c r="A290" s="77"/>
      <x:c r="H290" s="77"/>
      <x:c r="I290" s="74"/>
      <x:c r="J290" s="74"/>
    </x:row>
    <x:row r="291">
      <x:c r="A291" s="77"/>
      <x:c r="H291" s="77"/>
      <x:c r="I291" s="74"/>
      <x:c r="J291" s="74"/>
    </x:row>
    <x:row r="292">
      <x:c r="A292" s="77"/>
      <x:c r="H292" s="77"/>
      <x:c r="I292" s="74"/>
      <x:c r="J292" s="74"/>
    </x:row>
    <x:row r="293">
      <x:c r="A293" s="77"/>
      <x:c r="H293" s="77"/>
      <x:c r="I293" s="74"/>
      <x:c r="J293" s="74"/>
    </x:row>
    <x:row r="294">
      <x:c r="A294" s="77"/>
      <x:c r="H294" s="77"/>
      <x:c r="I294" s="74"/>
      <x:c r="J294" s="74"/>
    </x:row>
    <x:row r="295">
      <x:c r="A295" s="77"/>
      <x:c r="H295" s="77"/>
      <x:c r="I295" s="74"/>
      <x:c r="J295" s="74"/>
    </x:row>
    <x:row r="296">
      <x:c r="A296" s="77"/>
      <x:c r="H296" s="77"/>
      <x:c r="I296" s="74"/>
      <x:c r="J296" s="74"/>
    </x:row>
    <x:row r="297">
      <x:c r="A297" s="77"/>
      <x:c r="H297" s="77"/>
      <x:c r="I297" s="74"/>
      <x:c r="J297" s="74"/>
    </x:row>
    <x:row r="298">
      <x:c r="A298" s="77"/>
      <x:c r="H298" s="77"/>
      <x:c r="I298" s="74"/>
      <x:c r="J298" s="74"/>
    </x:row>
    <x:row r="299">
      <x:c r="A299" s="77"/>
      <x:c r="H299" s="77"/>
      <x:c r="I299" s="74"/>
      <x:c r="J299" s="74"/>
    </x:row>
    <x:row r="300">
      <x:c r="A300" s="77"/>
      <x:c r="H300" s="77"/>
      <x:c r="I300" s="74"/>
      <x:c r="J300" s="74"/>
    </x:row>
  </x:sheetData>
  <x:dataValidations count="3">
    <x:dataValidation type="list" sqref="B2:B300">
      <x:formula1>'Lists'!$A$2:$A$12</x:formula1>
    </x:dataValidation>
    <x:dataValidation type="list" sqref="F2:F300">
      <x:formula1>'Lists'!$L$2:$L$5</x:formula1>
    </x:dataValidation>
    <x:dataValidation type="list" sqref="G2:G300">
      <x:formula1>'Lists'!$M$2:$M$5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.66999816894531" hidden="0" customWidth="1"/>
    <x:col min="2" max="2" width="23.110000610351562" hidden="0" customWidth="1"/>
    <x:col min="3" max="3" width="14.5600004196167" hidden="0" customWidth="1"/>
    <x:col min="4" max="4" width="13.670000076293945" hidden="0" customWidth="1"/>
    <x:col min="5" max="5" width="11.779999732971191" hidden="0" customWidth="1"/>
    <x:col min="6" max="6" width="13.890000343322754" hidden="0" customWidth="1"/>
    <x:col min="7" max="7" width="16.559999465942383" hidden="0" customWidth="1"/>
    <x:col min="8" max="8" width="9.779999732971191" hidden="0" customWidth="1"/>
    <x:col min="9" max="9" width="14.220000267028809" hidden="0" customWidth="1"/>
    <x:col min="10" max="10" width="15.329999923706055" hidden="0" customWidth="1"/>
    <x:col min="11" max="11" width="18.110000610351562" hidden="0" customWidth="1"/>
    <x:col min="12" max="12" width="18" hidden="0" customWidth="1"/>
    <x:col min="13" max="13" width="17.780000686645508" hidden="0" customWidth="1"/>
    <x:col min="14" max="14" width="10.779999732971191" hidden="0" customWidth="1"/>
    <x:col min="15" max="15" width="11.329999923706055" hidden="0" customWidth="1"/>
  </x:cols>
  <x:sheetData>
    <x:row r="1">
      <x:c r="A1" s="6" t="str">
        <x:v>Business Areas</x:v>
      </x:c>
      <x:c r="B1" s="6" t="str">
        <x:v>Expense Types</x:v>
      </x:c>
      <x:c r="C1" s="6" t="str">
        <x:v>Payment Methods</x:v>
      </x:c>
      <x:c r="D1" s="6" t="str">
        <x:v>Receipt Statuses</x:v>
      </x:c>
      <x:c r="E1" s="6" t="str">
        <x:v>Suites</x:v>
      </x:c>
      <x:c r="F1" s="6" t="str">
        <x:v>Petty Cash Types</x:v>
      </x:c>
      <x:c r="G1" s="6" t="str">
        <x:v>Occupancy Statuses</x:v>
      </x:c>
      <x:c r="H1" s="6" t="str">
        <x:v>Rent Cycles</x:v>
      </x:c>
      <x:c r="I1" s="6" t="str">
        <x:v>Supplier Statuses</x:v>
      </x:c>
      <x:c r="J1" s="6" t="str">
        <x:v>Recurring Modules</x:v>
      </x:c>
      <x:c r="K1" s="6" t="str">
        <x:v>Recurring Frequencies</x:v>
      </x:c>
      <x:c r="L1" s="6" t="str">
        <x:v>Maintenance Priorities</x:v>
      </x:c>
      <x:c r="M1" s="6" t="str">
        <x:v>Maintenance Statuses</x:v>
      </x:c>
      <x:c r="N1" s="6" t="str">
        <x:v>Active States</x:v>
      </x:c>
      <x:c r="O1" s="6" t="str">
        <x:v>Salary Types</x:v>
      </x:c>
    </x:row>
    <x:row r="2">
      <x:c r="A2" t="str">
        <x:v>OneRoot Water &amp; Equipment Rentals</x:v>
      </x:c>
      <x:c r="B2" t="str">
        <x:v>Water Stock &amp; Supply</x:v>
      </x:c>
      <x:c r="C2" t="str">
        <x:v>Bank Transfer</x:v>
      </x:c>
      <x:c r="D2" t="str">
        <x:v>Uploaded</x:v>
      </x:c>
      <x:c r="E2" t="str">
        <x:v>Peace</x:v>
      </x:c>
      <x:c r="F2" t="str">
        <x:v>Opening Float</x:v>
      </x:c>
      <x:c r="G2" t="str">
        <x:v>Occupied</x:v>
      </x:c>
      <x:c r="H2" t="str">
        <x:v>6 Months</x:v>
      </x:c>
      <x:c r="I2" t="str">
        <x:v>Due</x:v>
      </x:c>
      <x:c r="J2" t="str">
        <x:v>Expense</x:v>
      </x:c>
      <x:c r="K2" t="str">
        <x:v>Monthly</x:v>
      </x:c>
      <x:c r="L2" t="str">
        <x:v>Low</x:v>
      </x:c>
      <x:c r="M2" t="str">
        <x:v>Open</x:v>
      </x:c>
      <x:c r="N2" t="str">
        <x:v>Active</x:v>
      </x:c>
      <x:c r="O2" t="str">
        <x:v>Monthly Salary</x:v>
      </x:c>
    </x:row>
    <x:row r="3">
      <x:c r="A3" t="str">
        <x:v>OneRoot Cold Store &amp; Kitchen</x:v>
      </x:c>
      <x:c r="B3" t="str">
        <x:v>Equipment Repairs</x:v>
      </x:c>
      <x:c r="C3" t="str">
        <x:v>Cash</x:v>
      </x:c>
      <x:c r="D3" t="str">
        <x:v>Pending</x:v>
      </x:c>
      <x:c r="E3" t="str">
        <x:v>Grace</x:v>
      </x:c>
      <x:c r="F3" t="str">
        <x:v>Cash Top-up</x:v>
      </x:c>
      <x:c r="G3" t="str">
        <x:v>Vacant</x:v>
      </x:c>
      <x:c r="H3" t="str">
        <x:v>12 Months</x:v>
      </x:c>
      <x:c r="I3" t="str">
        <x:v>Part Paid</x:v>
      </x:c>
      <x:c r="J3" t="str">
        <x:v>Supplier Bill</x:v>
      </x:c>
      <x:c r="K3" t="str">
        <x:v>Quarterly</x:v>
      </x:c>
      <x:c r="L3" t="str">
        <x:v>Medium</x:v>
      </x:c>
      <x:c r="M3" t="str">
        <x:v>Scheduled</x:v>
      </x:c>
      <x:c r="N3" t="str">
        <x:v>Paused</x:v>
      </x:c>
      <x:c r="O3" t="str">
        <x:v>Casual Wage</x:v>
      </x:c>
    </x:row>
    <x:row r="4">
      <x:c r="A4" t="str">
        <x:v>OneRoot Groceries &amp; More</x:v>
      </x:c>
      <x:c r="B4" t="str">
        <x:v>Fuel &amp; Delivery</x:v>
      </x:c>
      <x:c r="C4" t="str">
        <x:v>Card</x:v>
      </x:c>
      <x:c r="D4" t="str">
        <x:v>Not Required</x:v>
      </x:c>
      <x:c r="E4" t="str">
        <x:v>Joy</x:v>
      </x:c>
      <x:c r="F4" t="str">
        <x:v>Expense Paid</x:v>
      </x:c>
      <x:c r="G4" t="str">
        <x:v>Reserved</x:v>
      </x:c>
      <x:c r="H4" t="str">
        <x:v>Custom</x:v>
      </x:c>
      <x:c r="I4" t="str">
        <x:v>Paid</x:v>
      </x:c>
      <x:c r="J4" t="str">
        <x:v>Maintenance Task</x:v>
      </x:c>
      <x:c r="K4" t="str">
        <x:v>Half-Yearly</x:v>
      </x:c>
      <x:c r="L4" t="str">
        <x:v>High</x:v>
      </x:c>
      <x:c r="M4" t="str">
        <x:v>In Progress</x:v>
      </x:c>
      <x:c r="O4" t="str">
        <x:v>Overtime</x:v>
      </x:c>
    </x:row>
    <x:row r="5">
      <x:c r="A5" t="str">
        <x:v>OneRoot Phone Accessories &amp; Charging</x:v>
      </x:c>
      <x:c r="B5" t="str">
        <x:v>Tools &amp; Consumables</x:v>
      </x:c>
      <x:c r="C5" t="str">
        <x:v>Mobile Money</x:v>
      </x:c>
      <x:c r="E5" t="str">
        <x:v>Hope</x:v>
      </x:c>
      <x:c r="F5" t="str">
        <x:v>Cash Returned</x:v>
      </x:c>
      <x:c r="G5" t="str">
        <x:v>Under Maintenance</x:v>
      </x:c>
      <x:c r="I5" t="str">
        <x:v>Overdue</x:v>
      </x:c>
      <x:c r="J5" t="str">
        <x:v>Apartment Bill</x:v>
      </x:c>
      <x:c r="K5" t="str">
        <x:v>Yearly</x:v>
      </x:c>
      <x:c r="L5" t="str">
        <x:v>Critical</x:v>
      </x:c>
      <x:c r="M5" t="str">
        <x:v>Completed</x:v>
      </x:c>
      <x:c r="O5" t="str">
        <x:v>Bonus</x:v>
      </x:c>
    </x:row>
    <x:row r="6">
      <x:c r="A6" t="str">
        <x:v>OneRoot Construction Consumables Express</x:v>
      </x:c>
      <x:c r="B6" t="str">
        <x:v>Site Labour</x:v>
      </x:c>
      <x:c r="C6" t="str">
        <x:v>Cheque</x:v>
      </x:c>
      <x:c r="E6" t="str">
        <x:v>Faith</x:v>
      </x:c>
      <x:c r="F6" t="str">
        <x:v>Adjustment In</x:v>
      </x:c>
      <x:c r="O6" t="str">
        <x:v>Advance</x:v>
      </x:c>
    </x:row>
    <x:row r="7">
      <x:c r="A7" t="str">
        <x:v>OneRoot Laundry Services</x:v>
      </x:c>
      <x:c r="B7" t="str">
        <x:v>Utilities</x:v>
      </x:c>
      <x:c r="C7" t="str">
        <x:v>Petty Cash</x:v>
      </x:c>
      <x:c r="E7" t="str">
        <x:v>Love</x:v>
      </x:c>
      <x:c r="F7" t="str">
        <x:v>Adjustment Out</x:v>
      </x:c>
    </x:row>
    <x:row r="8">
      <x:c r="A8" t="str">
        <x:v>OneRoot Mobile Money Services</x:v>
      </x:c>
      <x:c r="B8" t="str">
        <x:v>Marketing &amp; Promotion</x:v>
      </x:c>
      <x:c r="E8" t="str">
        <x:v>Wisdom</x:v>
      </x:c>
    </x:row>
    <x:row r="9">
      <x:c r="A9" t="str">
        <x:v>OneRoot Rentals &amp; Apartments</x:v>
      </x:c>
      <x:c r="B9" t="str">
        <x:v>Professional Services</x:v>
      </x:c>
      <x:c r="E9" t="str">
        <x:v>Unity</x:v>
      </x:c>
    </x:row>
    <x:row r="10">
      <x:c r="A10" t="str">
        <x:v>OneRoot Fresh Foods &amp; Drinks</x:v>
      </x:c>
      <x:c r="B10" t="str">
        <x:v>Rent &amp; Space</x:v>
      </x:c>
      <x:c r="E10" t="str">
        <x:v>Harmony</x:v>
      </x:c>
    </x:row>
    <x:row r="11">
      <x:c r="A11" t="str">
        <x:v>OneRoot Kitchen</x:v>
      </x:c>
      <x:c r="B11" t="str">
        <x:v>Inventory Purchase</x:v>
      </x:c>
      <x:c r="E11" t="str">
        <x:v>Patience</x:v>
      </x:c>
    </x:row>
    <x:row r="12">
      <x:c r="A12" t="str">
        <x:v>OneRoot Shared Operations</x:v>
      </x:c>
      <x:c r="B12" t="str">
        <x:v>Cold Chain Utilities</x:v>
      </x:c>
      <x:c r="E12" t="str">
        <x:v>Blessing</x:v>
      </x:c>
    </x:row>
    <x:row r="13">
      <x:c r="B13" t="str">
        <x:v>Packaging &amp; Carrier Bags</x:v>
      </x:c>
      <x:c r="E13" t="str">
        <x:v>Kindness</x:v>
      </x:c>
    </x:row>
    <x:row r="14">
      <x:c r="B14" t="str">
        <x:v>Delivery &amp; Transport</x:v>
      </x:c>
      <x:c r="E14" t="str">
        <x:v>Victory</x:v>
      </x:c>
    </x:row>
    <x:row r="15">
      <x:c r="B15" t="str">
        <x:v>Spoilage &amp; Waste</x:v>
      </x:c>
      <x:c r="E15" t="str">
        <x:v>Strength</x:v>
      </x:c>
    </x:row>
    <x:row r="16">
      <x:c r="B16" t="str">
        <x:v>Repairs &amp; Maintenance</x:v>
      </x:c>
      <x:c r="E16" t="str">
        <x:v>Comfort</x:v>
      </x:c>
    </x:row>
    <x:row r="17">
      <x:c r="B17" t="str">
        <x:v>Staff Wages</x:v>
      </x:c>
      <x:c r="E17" t="str">
        <x:v>Glory</x:v>
      </x:c>
    </x:row>
    <x:row r="18">
      <x:c r="B18" t="str">
        <x:v>Detergents &amp; Laundry Supplies</x:v>
      </x:c>
      <x:c r="E18" t="str">
        <x:v>Favor</x:v>
      </x:c>
    </x:row>
    <x:row r="19">
      <x:c r="B19" t="str">
        <x:v>Machine Repairs</x:v>
      </x:c>
      <x:c r="E19" t="str">
        <x:v>Other / Custom</x:v>
      </x:c>
    </x:row>
    <x:row r="20">
      <x:c r="B20" t="str">
        <x:v>Power &amp; Water</x:v>
      </x:c>
    </x:row>
    <x:row r="21">
      <x:c r="B21" t="str">
        <x:v>Packaging &amp; Hangers</x:v>
      </x:c>
    </x:row>
    <x:row r="22">
      <x:c r="B22" t="str">
        <x:v>Transaction Charges</x:v>
      </x:c>
    </x:row>
    <x:row r="23">
      <x:c r="B23" t="str">
        <x:v>Booth Utilities</x:v>
      </x:c>
    </x:row>
    <x:row r="24">
      <x:c r="B24" t="str">
        <x:v>Cash Handling &amp; Security</x:v>
      </x:c>
    </x:row>
    <x:row r="25">
      <x:c r="B25" t="str">
        <x:v>Stationery &amp; Receipt Rolls</x:v>
      </x:c>
    </x:row>
    <x:row r="26">
      <x:c r="B26" t="str">
        <x:v>Connectivity &amp; Data</x:v>
      </x:c>
    </x:row>
    <x:row r="27">
      <x:c r="B27" t="str">
        <x:v>Licensing &amp; Fees</x:v>
      </x:c>
    </x:row>
    <x:row r="28">
      <x:c r="B28" t="str">
        <x:v>Suite Maintenance</x:v>
      </x:c>
    </x:row>
    <x:row r="29">
      <x:c r="B29" t="str">
        <x:v>Cleaning &amp; Housekeeping</x:v>
      </x:c>
    </x:row>
    <x:row r="30">
      <x:c r="B30" t="str">
        <x:v>Linen &amp; Furnishings</x:v>
      </x:c>
    </x:row>
    <x:row r="31">
      <x:c r="B31" t="str">
        <x:v>Security</x:v>
      </x:c>
    </x:row>
    <x:row r="32">
      <x:c r="B32" t="str">
        <x:v>Ingredients &amp; Stock</x:v>
      </x:c>
    </x:row>
    <x:row r="33">
      <x:c r="B33" t="str">
        <x:v>Food Ingredients &amp; Produce</x:v>
      </x:c>
    </x:row>
    <x:row r="34">
      <x:c r="B34" t="str">
        <x:v>Packaging &amp; Cups</x:v>
      </x:c>
    </x:row>
    <x:row r="35">
      <x:c r="B35" t="str">
        <x:v>Packaging &amp; Serving</x:v>
      </x:c>
    </x:row>
    <x:row r="36">
      <x:c r="B36" t="str">
        <x:v>Cold Storage &amp; Ice</x:v>
      </x:c>
    </x:row>
    <x:row r="37">
      <x:c r="B37" t="str">
        <x:v>Production Labour</x:v>
      </x:c>
    </x:row>
    <x:row r="38">
      <x:c r="B38" t="str">
        <x:v>Cooking Fuel &amp; Gas</x:v>
      </x:c>
    </x:row>
    <x:row r="39">
      <x:c r="B39" t="str">
        <x:v>Kitchen Utensils &amp; Smallware</x:v>
      </x:c>
    </x:row>
    <x:row r="40">
      <x:c r="B40" t="str">
        <x:v>Cleaning &amp; Hygiene</x:v>
      </x:c>
    </x:row>
    <x:row r="41">
      <x:c r="B41" t="str">
        <x:v>Office Supplies</x:v>
      </x:c>
    </x:row>
    <x:row r="42">
      <x:c r="B42" t="str">
        <x:v>Software &amp; Subscriptions</x:v>
      </x:c>
    </x:row>
    <x:row r="43">
      <x:c r="B43" t="str">
        <x:v>Transport</x:v>
      </x:c>
    </x:row>
    <x:row r="44">
      <x:c r="B44" t="str">
        <x:v>Bank Charges</x:v>
      </x:c>
    </x:row>
    <x:row r="45">
      <x:c r="B45" t="str">
        <x:v>Taxes &amp; Fees</x:v>
      </x:c>
    </x:row>
    <x:row r="46">
      <x:c r="B46" t="str">
        <x:v>Other / Custom</x:v>
      </x:c>
    </x:row>
  </x:sheetData>
  <x:pageMargins left="0.7" right="0.7" top="0.75" bottom="0.75" header="0.3" footer="0.3"/>
</x:worksheet>
</file>