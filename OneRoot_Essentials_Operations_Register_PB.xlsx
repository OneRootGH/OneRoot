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hilipboakye/Documents/OneRoot Expense Register/"/>
    </mc:Choice>
  </mc:AlternateContent>
  <xr:revisionPtr revIDLastSave="0" documentId="13_ncr:1_{B8B96B37-63C1-EE45-9EBD-39092899AF8B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Summary" sheetId="1" r:id="rId1"/>
    <sheet name="Expenses" sheetId="2" r:id="rId2"/>
    <sheet name="Budget_Planner" sheetId="3" r:id="rId3"/>
    <sheet name="Daily_Sales" sheetId="4" r:id="rId4"/>
    <sheet name="Apartments" sheetId="5" r:id="rId5"/>
    <sheet name="Petty_Cash" sheetId="6" r:id="rId6"/>
    <sheet name="Petty_Cash_Budget" sheetId="7" r:id="rId7"/>
    <sheet name="List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0" i="6" l="1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K300" i="5"/>
  <c r="J300" i="5"/>
  <c r="K299" i="5"/>
  <c r="J299" i="5"/>
  <c r="K298" i="5"/>
  <c r="J298" i="5"/>
  <c r="K297" i="5"/>
  <c r="J297" i="5"/>
  <c r="K296" i="5"/>
  <c r="J296" i="5"/>
  <c r="K295" i="5"/>
  <c r="J295" i="5"/>
  <c r="K294" i="5"/>
  <c r="J294" i="5"/>
  <c r="K293" i="5"/>
  <c r="J293" i="5"/>
  <c r="K292" i="5"/>
  <c r="J292" i="5"/>
  <c r="K291" i="5"/>
  <c r="J291" i="5"/>
  <c r="K290" i="5"/>
  <c r="J290" i="5"/>
  <c r="K289" i="5"/>
  <c r="J289" i="5"/>
  <c r="K288" i="5"/>
  <c r="J288" i="5"/>
  <c r="K287" i="5"/>
  <c r="J287" i="5"/>
  <c r="K286" i="5"/>
  <c r="J286" i="5"/>
  <c r="K285" i="5"/>
  <c r="J285" i="5"/>
  <c r="K284" i="5"/>
  <c r="J284" i="5"/>
  <c r="K283" i="5"/>
  <c r="J283" i="5"/>
  <c r="K282" i="5"/>
  <c r="J282" i="5"/>
  <c r="K281" i="5"/>
  <c r="J281" i="5"/>
  <c r="K280" i="5"/>
  <c r="J280" i="5"/>
  <c r="K279" i="5"/>
  <c r="J279" i="5"/>
  <c r="K278" i="5"/>
  <c r="J278" i="5"/>
  <c r="K277" i="5"/>
  <c r="J277" i="5"/>
  <c r="K276" i="5"/>
  <c r="J276" i="5"/>
  <c r="K275" i="5"/>
  <c r="J275" i="5"/>
  <c r="K274" i="5"/>
  <c r="J274" i="5"/>
  <c r="K273" i="5"/>
  <c r="J273" i="5"/>
  <c r="K272" i="5"/>
  <c r="J272" i="5"/>
  <c r="K271" i="5"/>
  <c r="J271" i="5"/>
  <c r="K270" i="5"/>
  <c r="J270" i="5"/>
  <c r="K269" i="5"/>
  <c r="J269" i="5"/>
  <c r="K268" i="5"/>
  <c r="J268" i="5"/>
  <c r="K267" i="5"/>
  <c r="J267" i="5"/>
  <c r="K266" i="5"/>
  <c r="J266" i="5"/>
  <c r="K265" i="5"/>
  <c r="J265" i="5"/>
  <c r="K264" i="5"/>
  <c r="J264" i="5"/>
  <c r="K263" i="5"/>
  <c r="J263" i="5"/>
  <c r="K262" i="5"/>
  <c r="J262" i="5"/>
  <c r="K261" i="5"/>
  <c r="J261" i="5"/>
  <c r="K260" i="5"/>
  <c r="J260" i="5"/>
  <c r="K259" i="5"/>
  <c r="J259" i="5"/>
  <c r="K258" i="5"/>
  <c r="J258" i="5"/>
  <c r="K257" i="5"/>
  <c r="J257" i="5"/>
  <c r="K256" i="5"/>
  <c r="J256" i="5"/>
  <c r="K255" i="5"/>
  <c r="J255" i="5"/>
  <c r="K254" i="5"/>
  <c r="J254" i="5"/>
  <c r="K253" i="5"/>
  <c r="J253" i="5"/>
  <c r="K252" i="5"/>
  <c r="J252" i="5"/>
  <c r="K251" i="5"/>
  <c r="J251" i="5"/>
  <c r="K250" i="5"/>
  <c r="J250" i="5"/>
  <c r="K249" i="5"/>
  <c r="J249" i="5"/>
  <c r="K248" i="5"/>
  <c r="J248" i="5"/>
  <c r="K247" i="5"/>
  <c r="J247" i="5"/>
  <c r="K246" i="5"/>
  <c r="J246" i="5"/>
  <c r="K245" i="5"/>
  <c r="J245" i="5"/>
  <c r="K244" i="5"/>
  <c r="J244" i="5"/>
  <c r="K243" i="5"/>
  <c r="J243" i="5"/>
  <c r="K242" i="5"/>
  <c r="J242" i="5"/>
  <c r="K241" i="5"/>
  <c r="J241" i="5"/>
  <c r="K240" i="5"/>
  <c r="J240" i="5"/>
  <c r="K239" i="5"/>
  <c r="J239" i="5"/>
  <c r="K238" i="5"/>
  <c r="J238" i="5"/>
  <c r="K237" i="5"/>
  <c r="J237" i="5"/>
  <c r="K236" i="5"/>
  <c r="J236" i="5"/>
  <c r="K235" i="5"/>
  <c r="J235" i="5"/>
  <c r="K234" i="5"/>
  <c r="J234" i="5"/>
  <c r="K233" i="5"/>
  <c r="J233" i="5"/>
  <c r="K232" i="5"/>
  <c r="J232" i="5"/>
  <c r="K231" i="5"/>
  <c r="J231" i="5"/>
  <c r="K230" i="5"/>
  <c r="J230" i="5"/>
  <c r="K229" i="5"/>
  <c r="J229" i="5"/>
  <c r="K228" i="5"/>
  <c r="J228" i="5"/>
  <c r="K227" i="5"/>
  <c r="J227" i="5"/>
  <c r="K226" i="5"/>
  <c r="J226" i="5"/>
  <c r="K225" i="5"/>
  <c r="J225" i="5"/>
  <c r="K224" i="5"/>
  <c r="J224" i="5"/>
  <c r="K223" i="5"/>
  <c r="J223" i="5"/>
  <c r="K222" i="5"/>
  <c r="J222" i="5"/>
  <c r="K221" i="5"/>
  <c r="J221" i="5"/>
  <c r="K220" i="5"/>
  <c r="J220" i="5"/>
  <c r="K219" i="5"/>
  <c r="J219" i="5"/>
  <c r="K218" i="5"/>
  <c r="J218" i="5"/>
  <c r="K217" i="5"/>
  <c r="J217" i="5"/>
  <c r="K216" i="5"/>
  <c r="J216" i="5"/>
  <c r="K215" i="5"/>
  <c r="J215" i="5"/>
  <c r="K214" i="5"/>
  <c r="J214" i="5"/>
  <c r="K213" i="5"/>
  <c r="J213" i="5"/>
  <c r="K212" i="5"/>
  <c r="J212" i="5"/>
  <c r="K211" i="5"/>
  <c r="J211" i="5"/>
  <c r="K210" i="5"/>
  <c r="J210" i="5"/>
  <c r="K209" i="5"/>
  <c r="J209" i="5"/>
  <c r="K208" i="5"/>
  <c r="J208" i="5"/>
  <c r="K207" i="5"/>
  <c r="J207" i="5"/>
  <c r="K206" i="5"/>
  <c r="J206" i="5"/>
  <c r="K205" i="5"/>
  <c r="J205" i="5"/>
  <c r="K204" i="5"/>
  <c r="J204" i="5"/>
  <c r="K203" i="5"/>
  <c r="J203" i="5"/>
  <c r="K202" i="5"/>
  <c r="J202" i="5"/>
  <c r="K201" i="5"/>
  <c r="J201" i="5"/>
  <c r="K200" i="5"/>
  <c r="J200" i="5"/>
  <c r="K199" i="5"/>
  <c r="J199" i="5"/>
  <c r="K198" i="5"/>
  <c r="J198" i="5"/>
  <c r="K197" i="5"/>
  <c r="J197" i="5"/>
  <c r="K196" i="5"/>
  <c r="J196" i="5"/>
  <c r="K195" i="5"/>
  <c r="J195" i="5"/>
  <c r="K194" i="5"/>
  <c r="J194" i="5"/>
  <c r="K193" i="5"/>
  <c r="J193" i="5"/>
  <c r="K192" i="5"/>
  <c r="J192" i="5"/>
  <c r="K191" i="5"/>
  <c r="J191" i="5"/>
  <c r="K190" i="5"/>
  <c r="J190" i="5"/>
  <c r="K189" i="5"/>
  <c r="J189" i="5"/>
  <c r="K188" i="5"/>
  <c r="J188" i="5"/>
  <c r="K187" i="5"/>
  <c r="J187" i="5"/>
  <c r="K186" i="5"/>
  <c r="J186" i="5"/>
  <c r="K185" i="5"/>
  <c r="J185" i="5"/>
  <c r="K184" i="5"/>
  <c r="J184" i="5"/>
  <c r="K183" i="5"/>
  <c r="J183" i="5"/>
  <c r="K182" i="5"/>
  <c r="J182" i="5"/>
  <c r="K181" i="5"/>
  <c r="J181" i="5"/>
  <c r="K180" i="5"/>
  <c r="J180" i="5"/>
  <c r="K179" i="5"/>
  <c r="J179" i="5"/>
  <c r="K178" i="5"/>
  <c r="J178" i="5"/>
  <c r="K177" i="5"/>
  <c r="J177" i="5"/>
  <c r="K176" i="5"/>
  <c r="J176" i="5"/>
  <c r="K175" i="5"/>
  <c r="J175" i="5"/>
  <c r="K174" i="5"/>
  <c r="J174" i="5"/>
  <c r="K173" i="5"/>
  <c r="J173" i="5"/>
  <c r="K172" i="5"/>
  <c r="J172" i="5"/>
  <c r="K171" i="5"/>
  <c r="J171" i="5"/>
  <c r="K170" i="5"/>
  <c r="J170" i="5"/>
  <c r="K169" i="5"/>
  <c r="J169" i="5"/>
  <c r="K168" i="5"/>
  <c r="J168" i="5"/>
  <c r="K167" i="5"/>
  <c r="J167" i="5"/>
  <c r="K166" i="5"/>
  <c r="J166" i="5"/>
  <c r="K165" i="5"/>
  <c r="J165" i="5"/>
  <c r="K164" i="5"/>
  <c r="J164" i="5"/>
  <c r="K163" i="5"/>
  <c r="J163" i="5"/>
  <c r="K162" i="5"/>
  <c r="J162" i="5"/>
  <c r="K161" i="5"/>
  <c r="J161" i="5"/>
  <c r="K160" i="5"/>
  <c r="J160" i="5"/>
  <c r="K159" i="5"/>
  <c r="J159" i="5"/>
  <c r="K158" i="5"/>
  <c r="J158" i="5"/>
  <c r="K157" i="5"/>
  <c r="J157" i="5"/>
  <c r="K156" i="5"/>
  <c r="J156" i="5"/>
  <c r="K155" i="5"/>
  <c r="J155" i="5"/>
  <c r="K154" i="5"/>
  <c r="J154" i="5"/>
  <c r="K153" i="5"/>
  <c r="J153" i="5"/>
  <c r="K152" i="5"/>
  <c r="J152" i="5"/>
  <c r="K151" i="5"/>
  <c r="J151" i="5"/>
  <c r="K150" i="5"/>
  <c r="J150" i="5"/>
  <c r="K149" i="5"/>
  <c r="J149" i="5"/>
  <c r="K148" i="5"/>
  <c r="J148" i="5"/>
  <c r="K147" i="5"/>
  <c r="J147" i="5"/>
  <c r="K146" i="5"/>
  <c r="J146" i="5"/>
  <c r="K145" i="5"/>
  <c r="J145" i="5"/>
  <c r="K144" i="5"/>
  <c r="J144" i="5"/>
  <c r="K143" i="5"/>
  <c r="J143" i="5"/>
  <c r="K142" i="5"/>
  <c r="J142" i="5"/>
  <c r="K141" i="5"/>
  <c r="J141" i="5"/>
  <c r="K140" i="5"/>
  <c r="J140" i="5"/>
  <c r="K139" i="5"/>
  <c r="J139" i="5"/>
  <c r="K138" i="5"/>
  <c r="J138" i="5"/>
  <c r="K137" i="5"/>
  <c r="J137" i="5"/>
  <c r="K136" i="5"/>
  <c r="J136" i="5"/>
  <c r="K135" i="5"/>
  <c r="J135" i="5"/>
  <c r="K134" i="5"/>
  <c r="J134" i="5"/>
  <c r="K133" i="5"/>
  <c r="J133" i="5"/>
  <c r="K132" i="5"/>
  <c r="J132" i="5"/>
  <c r="K131" i="5"/>
  <c r="J131" i="5"/>
  <c r="K130" i="5"/>
  <c r="J130" i="5"/>
  <c r="K129" i="5"/>
  <c r="J129" i="5"/>
  <c r="K128" i="5"/>
  <c r="J128" i="5"/>
  <c r="K127" i="5"/>
  <c r="J127" i="5"/>
  <c r="K126" i="5"/>
  <c r="J126" i="5"/>
  <c r="K125" i="5"/>
  <c r="J125" i="5"/>
  <c r="K124" i="5"/>
  <c r="J124" i="5"/>
  <c r="K123" i="5"/>
  <c r="J123" i="5"/>
  <c r="K122" i="5"/>
  <c r="J122" i="5"/>
  <c r="K121" i="5"/>
  <c r="J121" i="5"/>
  <c r="K120" i="5"/>
  <c r="J120" i="5"/>
  <c r="K119" i="5"/>
  <c r="J119" i="5"/>
  <c r="K118" i="5"/>
  <c r="J118" i="5"/>
  <c r="K117" i="5"/>
  <c r="J117" i="5"/>
  <c r="K116" i="5"/>
  <c r="J116" i="5"/>
  <c r="K115" i="5"/>
  <c r="J115" i="5"/>
  <c r="K114" i="5"/>
  <c r="J114" i="5"/>
  <c r="K113" i="5"/>
  <c r="J113" i="5"/>
  <c r="K112" i="5"/>
  <c r="J112" i="5"/>
  <c r="K111" i="5"/>
  <c r="J111" i="5"/>
  <c r="K110" i="5"/>
  <c r="J110" i="5"/>
  <c r="K109" i="5"/>
  <c r="J109" i="5"/>
  <c r="K108" i="5"/>
  <c r="J108" i="5"/>
  <c r="K107" i="5"/>
  <c r="J107" i="5"/>
  <c r="K106" i="5"/>
  <c r="J106" i="5"/>
  <c r="K105" i="5"/>
  <c r="J105" i="5"/>
  <c r="K104" i="5"/>
  <c r="J104" i="5"/>
  <c r="K103" i="5"/>
  <c r="J103" i="5"/>
  <c r="K102" i="5"/>
  <c r="J102" i="5"/>
  <c r="K101" i="5"/>
  <c r="J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E300" i="3"/>
  <c r="F300" i="3" s="1"/>
  <c r="E299" i="3"/>
  <c r="F299" i="3" s="1"/>
  <c r="E298" i="3"/>
  <c r="F298" i="3" s="1"/>
  <c r="E297" i="3"/>
  <c r="F297" i="3" s="1"/>
  <c r="E296" i="3"/>
  <c r="F296" i="3" s="1"/>
  <c r="E295" i="3"/>
  <c r="F295" i="3" s="1"/>
  <c r="E294" i="3"/>
  <c r="F294" i="3" s="1"/>
  <c r="E293" i="3"/>
  <c r="F293" i="3" s="1"/>
  <c r="E292" i="3"/>
  <c r="F292" i="3" s="1"/>
  <c r="E291" i="3"/>
  <c r="F291" i="3" s="1"/>
  <c r="E290" i="3"/>
  <c r="F290" i="3" s="1"/>
  <c r="E289" i="3"/>
  <c r="F289" i="3" s="1"/>
  <c r="E288" i="3"/>
  <c r="F288" i="3" s="1"/>
  <c r="E287" i="3"/>
  <c r="F287" i="3" s="1"/>
  <c r="E286" i="3"/>
  <c r="F286" i="3" s="1"/>
  <c r="E285" i="3"/>
  <c r="F285" i="3" s="1"/>
  <c r="E284" i="3"/>
  <c r="F284" i="3" s="1"/>
  <c r="E283" i="3"/>
  <c r="F283" i="3" s="1"/>
  <c r="E282" i="3"/>
  <c r="F282" i="3" s="1"/>
  <c r="E281" i="3"/>
  <c r="F281" i="3" s="1"/>
  <c r="E280" i="3"/>
  <c r="F280" i="3" s="1"/>
  <c r="E279" i="3"/>
  <c r="F279" i="3" s="1"/>
  <c r="E278" i="3"/>
  <c r="F278" i="3" s="1"/>
  <c r="E277" i="3"/>
  <c r="F277" i="3" s="1"/>
  <c r="E276" i="3"/>
  <c r="F276" i="3" s="1"/>
  <c r="E275" i="3"/>
  <c r="F275" i="3" s="1"/>
  <c r="E274" i="3"/>
  <c r="F274" i="3" s="1"/>
  <c r="E273" i="3"/>
  <c r="F273" i="3" s="1"/>
  <c r="E272" i="3"/>
  <c r="F272" i="3" s="1"/>
  <c r="E271" i="3"/>
  <c r="F271" i="3" s="1"/>
  <c r="E270" i="3"/>
  <c r="F270" i="3" s="1"/>
  <c r="E269" i="3"/>
  <c r="F269" i="3" s="1"/>
  <c r="E268" i="3"/>
  <c r="F268" i="3" s="1"/>
  <c r="E267" i="3"/>
  <c r="F267" i="3" s="1"/>
  <c r="E266" i="3"/>
  <c r="F266" i="3" s="1"/>
  <c r="E265" i="3"/>
  <c r="F265" i="3" s="1"/>
  <c r="E264" i="3"/>
  <c r="F264" i="3" s="1"/>
  <c r="E263" i="3"/>
  <c r="F263" i="3" s="1"/>
  <c r="E262" i="3"/>
  <c r="F262" i="3" s="1"/>
  <c r="E261" i="3"/>
  <c r="F261" i="3" s="1"/>
  <c r="E260" i="3"/>
  <c r="F260" i="3" s="1"/>
  <c r="E259" i="3"/>
  <c r="F259" i="3" s="1"/>
  <c r="E258" i="3"/>
  <c r="F258" i="3" s="1"/>
  <c r="E257" i="3"/>
  <c r="F257" i="3" s="1"/>
  <c r="E256" i="3"/>
  <c r="F256" i="3" s="1"/>
  <c r="E255" i="3"/>
  <c r="F255" i="3" s="1"/>
  <c r="E254" i="3"/>
  <c r="F254" i="3" s="1"/>
  <c r="E253" i="3"/>
  <c r="F253" i="3" s="1"/>
  <c r="E252" i="3"/>
  <c r="F252" i="3" s="1"/>
  <c r="E251" i="3"/>
  <c r="F251" i="3" s="1"/>
  <c r="E250" i="3"/>
  <c r="F250" i="3" s="1"/>
  <c r="E249" i="3"/>
  <c r="F249" i="3" s="1"/>
  <c r="E248" i="3"/>
  <c r="F248" i="3" s="1"/>
  <c r="E247" i="3"/>
  <c r="F247" i="3" s="1"/>
  <c r="E246" i="3"/>
  <c r="F246" i="3" s="1"/>
  <c r="E245" i="3"/>
  <c r="F245" i="3" s="1"/>
  <c r="E244" i="3"/>
  <c r="F244" i="3" s="1"/>
  <c r="E243" i="3"/>
  <c r="F243" i="3" s="1"/>
  <c r="E242" i="3"/>
  <c r="F242" i="3" s="1"/>
  <c r="E241" i="3"/>
  <c r="F241" i="3" s="1"/>
  <c r="E240" i="3"/>
  <c r="F240" i="3" s="1"/>
  <c r="E239" i="3"/>
  <c r="F239" i="3" s="1"/>
  <c r="E238" i="3"/>
  <c r="F238" i="3" s="1"/>
  <c r="E237" i="3"/>
  <c r="F237" i="3" s="1"/>
  <c r="E236" i="3"/>
  <c r="F236" i="3" s="1"/>
  <c r="E235" i="3"/>
  <c r="F235" i="3" s="1"/>
  <c r="E234" i="3"/>
  <c r="F234" i="3" s="1"/>
  <c r="E233" i="3"/>
  <c r="F233" i="3" s="1"/>
  <c r="E232" i="3"/>
  <c r="F232" i="3" s="1"/>
  <c r="E231" i="3"/>
  <c r="F231" i="3" s="1"/>
  <c r="E230" i="3"/>
  <c r="F230" i="3" s="1"/>
  <c r="E229" i="3"/>
  <c r="F229" i="3" s="1"/>
  <c r="E228" i="3"/>
  <c r="F228" i="3" s="1"/>
  <c r="E227" i="3"/>
  <c r="F227" i="3" s="1"/>
  <c r="E226" i="3"/>
  <c r="F226" i="3" s="1"/>
  <c r="E225" i="3"/>
  <c r="F225" i="3" s="1"/>
  <c r="E224" i="3"/>
  <c r="F224" i="3" s="1"/>
  <c r="E223" i="3"/>
  <c r="F223" i="3" s="1"/>
  <c r="E222" i="3"/>
  <c r="F222" i="3" s="1"/>
  <c r="E221" i="3"/>
  <c r="F221" i="3" s="1"/>
  <c r="E220" i="3"/>
  <c r="F220" i="3" s="1"/>
  <c r="E219" i="3"/>
  <c r="F219" i="3" s="1"/>
  <c r="E218" i="3"/>
  <c r="F218" i="3" s="1"/>
  <c r="E217" i="3"/>
  <c r="F217" i="3" s="1"/>
  <c r="E216" i="3"/>
  <c r="F216" i="3" s="1"/>
  <c r="E215" i="3"/>
  <c r="F215" i="3" s="1"/>
  <c r="E214" i="3"/>
  <c r="F214" i="3" s="1"/>
  <c r="E213" i="3"/>
  <c r="F213" i="3" s="1"/>
  <c r="E212" i="3"/>
  <c r="F212" i="3" s="1"/>
  <c r="E211" i="3"/>
  <c r="F211" i="3" s="1"/>
  <c r="E210" i="3"/>
  <c r="F210" i="3" s="1"/>
  <c r="E209" i="3"/>
  <c r="F209" i="3" s="1"/>
  <c r="E208" i="3"/>
  <c r="F208" i="3" s="1"/>
  <c r="E207" i="3"/>
  <c r="F207" i="3" s="1"/>
  <c r="E206" i="3"/>
  <c r="F206" i="3" s="1"/>
  <c r="E205" i="3"/>
  <c r="F205" i="3" s="1"/>
  <c r="E204" i="3"/>
  <c r="F204" i="3" s="1"/>
  <c r="E203" i="3"/>
  <c r="F203" i="3" s="1"/>
  <c r="E202" i="3"/>
  <c r="F202" i="3" s="1"/>
  <c r="E201" i="3"/>
  <c r="F201" i="3" s="1"/>
  <c r="E200" i="3"/>
  <c r="F200" i="3" s="1"/>
  <c r="E199" i="3"/>
  <c r="F199" i="3" s="1"/>
  <c r="E198" i="3"/>
  <c r="F198" i="3" s="1"/>
  <c r="E197" i="3"/>
  <c r="F197" i="3" s="1"/>
  <c r="E196" i="3"/>
  <c r="F196" i="3" s="1"/>
  <c r="E195" i="3"/>
  <c r="F195" i="3" s="1"/>
  <c r="E194" i="3"/>
  <c r="F194" i="3" s="1"/>
  <c r="E193" i="3"/>
  <c r="F193" i="3" s="1"/>
  <c r="E192" i="3"/>
  <c r="F192" i="3" s="1"/>
  <c r="E191" i="3"/>
  <c r="F191" i="3" s="1"/>
  <c r="E190" i="3"/>
  <c r="F190" i="3" s="1"/>
  <c r="E189" i="3"/>
  <c r="F189" i="3" s="1"/>
  <c r="E188" i="3"/>
  <c r="F188" i="3" s="1"/>
  <c r="E187" i="3"/>
  <c r="F187" i="3" s="1"/>
  <c r="E186" i="3"/>
  <c r="F186" i="3" s="1"/>
  <c r="E185" i="3"/>
  <c r="F185" i="3" s="1"/>
  <c r="E184" i="3"/>
  <c r="F184" i="3" s="1"/>
  <c r="E183" i="3"/>
  <c r="F183" i="3" s="1"/>
  <c r="E182" i="3"/>
  <c r="F182" i="3" s="1"/>
  <c r="E181" i="3"/>
  <c r="F181" i="3" s="1"/>
  <c r="E180" i="3"/>
  <c r="F180" i="3" s="1"/>
  <c r="E179" i="3"/>
  <c r="F179" i="3" s="1"/>
  <c r="E178" i="3"/>
  <c r="F178" i="3" s="1"/>
  <c r="E177" i="3"/>
  <c r="F177" i="3" s="1"/>
  <c r="E176" i="3"/>
  <c r="F176" i="3" s="1"/>
  <c r="E175" i="3"/>
  <c r="F175" i="3" s="1"/>
  <c r="E174" i="3"/>
  <c r="F174" i="3" s="1"/>
  <c r="E173" i="3"/>
  <c r="F173" i="3" s="1"/>
  <c r="E172" i="3"/>
  <c r="F172" i="3" s="1"/>
  <c r="E171" i="3"/>
  <c r="F171" i="3" s="1"/>
  <c r="E170" i="3"/>
  <c r="F170" i="3" s="1"/>
  <c r="E169" i="3"/>
  <c r="F169" i="3" s="1"/>
  <c r="E168" i="3"/>
  <c r="F168" i="3" s="1"/>
  <c r="E167" i="3"/>
  <c r="F167" i="3" s="1"/>
  <c r="E166" i="3"/>
  <c r="F166" i="3" s="1"/>
  <c r="E165" i="3"/>
  <c r="F165" i="3" s="1"/>
  <c r="E164" i="3"/>
  <c r="F164" i="3" s="1"/>
  <c r="E163" i="3"/>
  <c r="F163" i="3" s="1"/>
  <c r="E162" i="3"/>
  <c r="F162" i="3" s="1"/>
  <c r="E161" i="3"/>
  <c r="F161" i="3" s="1"/>
  <c r="E160" i="3"/>
  <c r="F160" i="3" s="1"/>
  <c r="E159" i="3"/>
  <c r="F159" i="3" s="1"/>
  <c r="E158" i="3"/>
  <c r="F158" i="3" s="1"/>
  <c r="E157" i="3"/>
  <c r="F157" i="3" s="1"/>
  <c r="E156" i="3"/>
  <c r="F156" i="3" s="1"/>
  <c r="E155" i="3"/>
  <c r="F155" i="3" s="1"/>
  <c r="E154" i="3"/>
  <c r="F154" i="3" s="1"/>
  <c r="E153" i="3"/>
  <c r="F153" i="3" s="1"/>
  <c r="E152" i="3"/>
  <c r="F152" i="3" s="1"/>
  <c r="E151" i="3"/>
  <c r="F151" i="3" s="1"/>
  <c r="E150" i="3"/>
  <c r="F150" i="3" s="1"/>
  <c r="E149" i="3"/>
  <c r="F149" i="3" s="1"/>
  <c r="E148" i="3"/>
  <c r="F148" i="3" s="1"/>
  <c r="E147" i="3"/>
  <c r="F147" i="3" s="1"/>
  <c r="E146" i="3"/>
  <c r="F146" i="3" s="1"/>
  <c r="E145" i="3"/>
  <c r="F145" i="3" s="1"/>
  <c r="E144" i="3"/>
  <c r="F144" i="3" s="1"/>
  <c r="E143" i="3"/>
  <c r="F143" i="3" s="1"/>
  <c r="E142" i="3"/>
  <c r="F142" i="3" s="1"/>
  <c r="E141" i="3"/>
  <c r="F141" i="3" s="1"/>
  <c r="E140" i="3"/>
  <c r="F140" i="3" s="1"/>
  <c r="E139" i="3"/>
  <c r="F139" i="3" s="1"/>
  <c r="E138" i="3"/>
  <c r="F138" i="3" s="1"/>
  <c r="E137" i="3"/>
  <c r="F137" i="3" s="1"/>
  <c r="E136" i="3"/>
  <c r="F136" i="3" s="1"/>
  <c r="E135" i="3"/>
  <c r="F135" i="3" s="1"/>
  <c r="E134" i="3"/>
  <c r="F134" i="3" s="1"/>
  <c r="E133" i="3"/>
  <c r="F133" i="3" s="1"/>
  <c r="E132" i="3"/>
  <c r="F132" i="3" s="1"/>
  <c r="E131" i="3"/>
  <c r="F131" i="3" s="1"/>
  <c r="E130" i="3"/>
  <c r="F130" i="3" s="1"/>
  <c r="E129" i="3"/>
  <c r="F129" i="3" s="1"/>
  <c r="E128" i="3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F2" i="3" s="1"/>
  <c r="B13" i="1"/>
  <c r="B12" i="1"/>
  <c r="B10" i="1"/>
  <c r="B9" i="1"/>
  <c r="B7" i="1"/>
  <c r="B6" i="1"/>
  <c r="B5" i="1"/>
  <c r="B11" i="1" l="1"/>
  <c r="B8" i="1"/>
  <c r="B14" i="1"/>
  <c r="B15" i="1"/>
</calcChain>
</file>

<file path=xl/sharedStrings.xml><?xml version="1.0" encoding="utf-8"?>
<sst xmlns="http://schemas.openxmlformats.org/spreadsheetml/2006/main" count="251" uniqueCount="136">
  <si>
    <t>OneRoot Essentials Operations Register</t>
  </si>
  <si>
    <t>Capture expenses, daily sales, apartments, and petty cash without using business-unit columns.</t>
  </si>
  <si>
    <t>Metric</t>
  </si>
  <si>
    <t>Value</t>
  </si>
  <si>
    <t>OneRoot business areas covered</t>
  </si>
  <si>
    <t>Total Expenses</t>
  </si>
  <si>
    <t>OneRoot Water &amp; Equipment Rentals</t>
  </si>
  <si>
    <t>Expense Budgeted</t>
  </si>
  <si>
    <t>OneRoot Cold Store &amp; Groceries</t>
  </si>
  <si>
    <t>Total Daily Sales</t>
  </si>
  <si>
    <t>OneRoot Laundry Services</t>
  </si>
  <si>
    <t>Net Sales Less Expenses</t>
  </si>
  <si>
    <t>OneRoot Mobile Money Services</t>
  </si>
  <si>
    <t>Rent Due</t>
  </si>
  <si>
    <t>OneRoot Rentals &amp; Apartments</t>
  </si>
  <si>
    <t>Rent Paid</t>
  </si>
  <si>
    <t>OneRoot Fresh Foods &amp; Drinks</t>
  </si>
  <si>
    <t>Bills Paid</t>
  </si>
  <si>
    <t>OneRoot Kitchen</t>
  </si>
  <si>
    <t>Petty Cash Budgeted</t>
  </si>
  <si>
    <t>OneRoot Shared Operations</t>
  </si>
  <si>
    <t>Petty Cash Expense Paid</t>
  </si>
  <si>
    <t>Petty Cash Balance</t>
  </si>
  <si>
    <t>Petty Cash Budget Remaining</t>
  </si>
  <si>
    <t>Workbook workflow: fill Expenses, Budget_Planner, Daily_Sales, Apartments, Petty_Cash, and Petty_Cash_Budget. Dropdown columns are preloaded from Lists.</t>
  </si>
  <si>
    <t>Apartment bills captured: water bill, toilet bill, sweeping and gutter cleaning bill, and waste management bill.</t>
  </si>
  <si>
    <t>Petty cash ledger captures opening float, top-ups, expense-paid entries, cash returns, adjustments, and monthly budgets.</t>
  </si>
  <si>
    <t>Date</t>
  </si>
  <si>
    <t>Business Area</t>
  </si>
  <si>
    <t>Vendor / Payee</t>
  </si>
  <si>
    <t>Expense Type</t>
  </si>
  <si>
    <t>Description</t>
  </si>
  <si>
    <t>Payment Method</t>
  </si>
  <si>
    <t>Receipt Status</t>
  </si>
  <si>
    <t>Amount (GHS)</t>
  </si>
  <si>
    <t>Notes</t>
  </si>
  <si>
    <t>Budget Month</t>
  </si>
  <si>
    <t>Budget Amount (GHS)</t>
  </si>
  <si>
    <t>Actual Spend (GHS)</t>
  </si>
  <si>
    <t>Variance (GHS)</t>
  </si>
  <si>
    <t>Total Daily Sales (GHS)</t>
  </si>
  <si>
    <t>Billing Month</t>
  </si>
  <si>
    <t>Suite / Apartment</t>
  </si>
  <si>
    <t>Tenant / Occupant</t>
  </si>
  <si>
    <t>Rent Due (GHS)</t>
  </si>
  <si>
    <t>Rent Paid (GHS)</t>
  </si>
  <si>
    <t>Water Bill (GHS)</t>
  </si>
  <si>
    <t>Toilet Bill (GHS)</t>
  </si>
  <si>
    <t>Sweeping &amp; Gutter Cleaning (GHS)</t>
  </si>
  <si>
    <t>Waste Management (GHS)</t>
  </si>
  <si>
    <t>Total Bills Paid (GHS)</t>
  </si>
  <si>
    <t>Outstanding Rent (GHS)</t>
  </si>
  <si>
    <t>Transaction Type</t>
  </si>
  <si>
    <t>Payee / Purpose</t>
  </si>
  <si>
    <t>Cash Effect (GHS)</t>
  </si>
  <si>
    <t>Business Areas</t>
  </si>
  <si>
    <t>Expense Types</t>
  </si>
  <si>
    <t>Payment Methods</t>
  </si>
  <si>
    <t>Receipt Statuses</t>
  </si>
  <si>
    <t>Suites</t>
  </si>
  <si>
    <t>Petty Cash Types</t>
  </si>
  <si>
    <t>Water Stock &amp; Supply</t>
  </si>
  <si>
    <t>Bank Transfer</t>
  </si>
  <si>
    <t>Uploaded</t>
  </si>
  <si>
    <t>Peace Suite</t>
  </si>
  <si>
    <t>Opening Float</t>
  </si>
  <si>
    <t>Equipment Repairs</t>
  </si>
  <si>
    <t>Cash</t>
  </si>
  <si>
    <t>Pending</t>
  </si>
  <si>
    <t>Grace Suite</t>
  </si>
  <si>
    <t>Cash Top-up</t>
  </si>
  <si>
    <t>Fuel &amp; Delivery</t>
  </si>
  <si>
    <t>Card</t>
  </si>
  <si>
    <t>Not Required</t>
  </si>
  <si>
    <t>Joy Suite</t>
  </si>
  <si>
    <t>Expense Paid</t>
  </si>
  <si>
    <t>Tools &amp; Consumables</t>
  </si>
  <si>
    <t>Mobile Money</t>
  </si>
  <si>
    <t>Hope Suite</t>
  </si>
  <si>
    <t>Cash Returned</t>
  </si>
  <si>
    <t>Site Labour</t>
  </si>
  <si>
    <t>Cheque</t>
  </si>
  <si>
    <t>Faith Suite</t>
  </si>
  <si>
    <t>Adjustment In</t>
  </si>
  <si>
    <t>Utilities</t>
  </si>
  <si>
    <t>Petty Cash</t>
  </si>
  <si>
    <t>Love Suite</t>
  </si>
  <si>
    <t>Adjustment Out</t>
  </si>
  <si>
    <t>Marketing &amp; Promotion</t>
  </si>
  <si>
    <t>Wisdom Suite</t>
  </si>
  <si>
    <t>Professional Services</t>
  </si>
  <si>
    <t>Unity Suite</t>
  </si>
  <si>
    <t>Rent &amp; Space</t>
  </si>
  <si>
    <t>Harmony Suite</t>
  </si>
  <si>
    <t>Inventory Purchase</t>
  </si>
  <si>
    <t>Additional Suites / Common Areas</t>
  </si>
  <si>
    <t>Cold Chain Utilities</t>
  </si>
  <si>
    <t>Other / Custom</t>
  </si>
  <si>
    <t>Packaging &amp; Carrier Bags</t>
  </si>
  <si>
    <t>Delivery &amp; Transport</t>
  </si>
  <si>
    <t>Spoilage &amp; Waste</t>
  </si>
  <si>
    <t>Repairs &amp; Maintenance</t>
  </si>
  <si>
    <t>Staff Wages</t>
  </si>
  <si>
    <t>Detergents &amp; Laundry Supplies</t>
  </si>
  <si>
    <t>Machine Repairs</t>
  </si>
  <si>
    <t>Power &amp; Water</t>
  </si>
  <si>
    <t>Packaging &amp; Hangers</t>
  </si>
  <si>
    <t>Transaction Charges</t>
  </si>
  <si>
    <t>Booth Utilities</t>
  </si>
  <si>
    <t>Cash Handling &amp; Security</t>
  </si>
  <si>
    <t>Stationery &amp; Receipt Rolls</t>
  </si>
  <si>
    <t>Connectivity &amp; Data</t>
  </si>
  <si>
    <t>Licensing &amp; Fees</t>
  </si>
  <si>
    <t>Suite Maintenance</t>
  </si>
  <si>
    <t>Cleaning &amp; Housekeeping</t>
  </si>
  <si>
    <t>Linen &amp; Furnishings</t>
  </si>
  <si>
    <t>Security</t>
  </si>
  <si>
    <t>Ingredients &amp; Stock</t>
  </si>
  <si>
    <t>Food Ingredients &amp; Produce</t>
  </si>
  <si>
    <t>Packaging &amp; Cups</t>
  </si>
  <si>
    <t>Packaging &amp; Serving</t>
  </si>
  <si>
    <t>Cold Storage &amp; Ice</t>
  </si>
  <si>
    <t>Production Labour</t>
  </si>
  <si>
    <t>Cooking Fuel &amp; Gas</t>
  </si>
  <si>
    <t>Kitchen Utensils &amp; Smallware</t>
  </si>
  <si>
    <t>Cleaning &amp; Hygiene</t>
  </si>
  <si>
    <t>Office Supplies</t>
  </si>
  <si>
    <t>Software &amp; Subscriptions</t>
  </si>
  <si>
    <t>Transport</t>
  </si>
  <si>
    <t>Bank Charges</t>
  </si>
  <si>
    <t>Taxes &amp; Fees</t>
  </si>
  <si>
    <t>Erica Asare</t>
  </si>
  <si>
    <t>Emmanuella Asare</t>
  </si>
  <si>
    <t>Agartha Owusuwaa</t>
  </si>
  <si>
    <t>Gilbert Appiah</t>
  </si>
  <si>
    <t>Daniel Lamadeku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</si>
</sst>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GH₵&quot;\ #,##0.00"/>
    <numFmt numFmtId="165" formatCode="yyyy\-mm\-dd"/>
    <numFmt numFmtId="166" formatCode="mmm\ yyyy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243228"/>
      <name val="Carlito"/>
    </font>
    <font>
      <b/>
      <sz val="11"/>
      <color rgb="FFFFFFFF"/>
      <name val="Carlito"/>
    </font>
    <font>
      <b/>
      <sz val="11"/>
      <color rgb="FF243228"/>
      <name val="Carlito"/>
    </font>
    <font>
      <sz val="11"/>
      <color rgb="FF24322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33553F"/>
      </patternFill>
    </fill>
    <fill>
      <patternFill patternType="solid">
        <fgColor rgb="FFEEF4EC"/>
      </patternFill>
    </fill>
    <fill>
      <patternFill patternType="solid">
        <fgColor rgb="FF54805C"/>
      </patternFill>
    </fill>
    <fill>
      <patternFill patternType="solid">
        <fgColor rgb="FFF7F2E8"/>
      </patternFill>
    </fill>
    <fill>
      <patternFill patternType="solid">
        <fgColor rgb="FFD9E6D7"/>
      </patternFill>
    </fill>
    <fill>
      <patternFill patternType="solid">
        <fgColor rgb="FFF0E7D7"/>
      </patternFill>
    </fill>
  </fills>
  <borders count="17">
    <border>
      <left/>
      <right/>
      <top/>
      <bottom/>
      <diagonal/>
    </border>
    <border>
      <left style="thin">
        <color rgb="FFD9E3D8"/>
      </left>
      <right/>
      <top style="thin">
        <color rgb="FFD9E3D8"/>
      </top>
      <bottom/>
      <diagonal/>
    </border>
    <border>
      <left/>
      <right style="thin">
        <color rgb="FFD9E3D8"/>
      </right>
      <top style="thin">
        <color rgb="FFD9E3D8"/>
      </top>
      <bottom/>
      <diagonal/>
    </border>
    <border>
      <left style="thin">
        <color rgb="FFD9E3D8"/>
      </left>
      <right/>
      <top/>
      <bottom/>
      <diagonal/>
    </border>
    <border>
      <left/>
      <right style="thin">
        <color rgb="FFD9E3D8"/>
      </right>
      <top/>
      <bottom/>
      <diagonal/>
    </border>
    <border>
      <left style="thin">
        <color rgb="FFD9E3D8"/>
      </left>
      <right/>
      <top/>
      <bottom style="thin">
        <color rgb="FFD9E3D8"/>
      </bottom>
      <diagonal/>
    </border>
    <border>
      <left/>
      <right style="thin">
        <color rgb="FFD9E3D8"/>
      </right>
      <top/>
      <bottom style="thin">
        <color rgb="FFD9E3D8"/>
      </bottom>
      <diagonal/>
    </border>
    <border>
      <left/>
      <right/>
      <top style="thin">
        <color rgb="FFD9E3D8"/>
      </top>
      <bottom/>
      <diagonal/>
    </border>
    <border>
      <left/>
      <right/>
      <top/>
      <bottom style="thin">
        <color rgb="FFD9E3D8"/>
      </bottom>
      <diagonal/>
    </border>
    <border>
      <left style="thin">
        <color rgb="FFE3E6DE"/>
      </left>
      <right/>
      <top style="thin">
        <color rgb="FFE3E6DE"/>
      </top>
      <bottom/>
      <diagonal/>
    </border>
    <border>
      <left/>
      <right/>
      <top style="thin">
        <color rgb="FFE3E6DE"/>
      </top>
      <bottom/>
      <diagonal/>
    </border>
    <border>
      <left/>
      <right style="thin">
        <color rgb="FFE3E6DE"/>
      </right>
      <top style="thin">
        <color rgb="FFE3E6DE"/>
      </top>
      <bottom/>
      <diagonal/>
    </border>
    <border>
      <left style="thin">
        <color rgb="FFE3E6DE"/>
      </left>
      <right/>
      <top/>
      <bottom/>
      <diagonal/>
    </border>
    <border>
      <left/>
      <right style="thin">
        <color rgb="FFE3E6DE"/>
      </right>
      <top/>
      <bottom/>
      <diagonal/>
    </border>
    <border>
      <left style="thin">
        <color rgb="FFE3E6DE"/>
      </left>
      <right/>
      <top/>
      <bottom style="thin">
        <color rgb="FFE3E6DE"/>
      </bottom>
      <diagonal/>
    </border>
    <border>
      <left/>
      <right/>
      <top/>
      <bottom style="thin">
        <color rgb="FFE3E6DE"/>
      </bottom>
      <diagonal/>
    </border>
    <border>
      <left/>
      <right style="thin">
        <color rgb="FFE3E6DE"/>
      </right>
      <top/>
      <bottom style="thin">
        <color rgb="FFE3E6DE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  <xf numFmtId="164" fontId="0" fillId="5" borderId="4" xfId="0" applyNumberFormat="1" applyFill="1" applyBorder="1" applyAlignment="1">
      <alignment wrapText="1"/>
    </xf>
    <xf numFmtId="164" fontId="0" fillId="5" borderId="6" xfId="0" applyNumberFormat="1" applyFill="1" applyBorder="1" applyAlignment="1">
      <alignment wrapText="1"/>
    </xf>
    <xf numFmtId="0" fontId="4" fillId="0" borderId="1" xfId="0" applyFont="1" applyBorder="1"/>
    <xf numFmtId="0" fontId="0" fillId="0" borderId="7" xfId="0" applyBorder="1"/>
    <xf numFmtId="0" fontId="0" fillId="0" borderId="2" xfId="0" applyBorder="1"/>
    <xf numFmtId="0" fontId="4" fillId="0" borderId="3" xfId="0" applyFont="1" applyBorder="1"/>
    <xf numFmtId="0" fontId="4" fillId="0" borderId="5" xfId="0" applyFon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65" fontId="0" fillId="0" borderId="9" xfId="0" applyNumberFormat="1" applyBorder="1"/>
    <xf numFmtId="165" fontId="0" fillId="0" borderId="12" xfId="0" applyNumberFormat="1" applyBorder="1"/>
    <xf numFmtId="165" fontId="0" fillId="0" borderId="14" xfId="0" applyNumberFormat="1" applyBorder="1"/>
    <xf numFmtId="164" fontId="0" fillId="0" borderId="10" xfId="0" applyNumberFormat="1" applyBorder="1"/>
    <xf numFmtId="164" fontId="0" fillId="0" borderId="0" xfId="0" applyNumberFormat="1"/>
    <xf numFmtId="164" fontId="0" fillId="0" borderId="15" xfId="0" applyNumberFormat="1" applyBorder="1"/>
    <xf numFmtId="166" fontId="0" fillId="0" borderId="0" xfId="0" applyNumberFormat="1"/>
    <xf numFmtId="165" fontId="0" fillId="0" borderId="0" xfId="0" applyNumberFormat="1"/>
    <xf numFmtId="0" fontId="5" fillId="7" borderId="3" xfId="0" applyFont="1" applyFill="1" applyBorder="1" applyAlignment="1">
      <alignment wrapText="1"/>
    </xf>
    <xf numFmtId="0" fontId="5" fillId="7" borderId="0" xfId="0" applyFont="1" applyFill="1" applyAlignment="1">
      <alignment wrapText="1"/>
    </xf>
    <xf numFmtId="0" fontId="5" fillId="7" borderId="4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2" fillId="3" borderId="4" xfId="0" applyFont="1" applyFill="1" applyBorder="1"/>
    <xf numFmtId="0" fontId="4" fillId="6" borderId="0" xfId="0" applyFont="1" applyFill="1"/>
    <xf numFmtId="0" fontId="4" fillId="6" borderId="4" xfId="0" applyFont="1" applyFill="1" applyBorder="1"/>
    <xf numFmtId="0" fontId="2" fillId="5" borderId="3" xfId="0" applyFont="1" applyFill="1" applyBorder="1" applyAlignment="1">
      <alignment wrapText="1"/>
    </xf>
    <xf numFmtId="0" fontId="2" fillId="5" borderId="0" xfId="0" applyFont="1" applyFill="1" applyAlignment="1">
      <alignment wrapText="1"/>
    </xf>
    <xf numFmtId="0" fontId="2" fillId="5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workbookViewId="0">
      <selection activeCell="B8" sqref="B8"/>
    </sheetView>
  </sheetViews>
  <sheetFormatPr baseColWidth="10" defaultColWidth="8.83203125" defaultRowHeight="14"/>
  <cols>
    <col min="1" max="1" width="117.6640625" customWidth="1"/>
    <col min="2" max="2" width="17.5" customWidth="1"/>
    <col min="4" max="4" width="27.5" customWidth="1"/>
  </cols>
  <sheetData>
    <row r="1" spans="1:7" ht="19.25" customHeight="1">
      <c r="A1" s="34" t="s">
        <v>0</v>
      </c>
      <c r="B1" s="35"/>
      <c r="C1" s="35"/>
      <c r="D1" s="35"/>
      <c r="E1" s="35"/>
      <c r="F1" s="35"/>
      <c r="G1" s="36"/>
    </row>
    <row r="2" spans="1:7" ht="15" customHeight="1">
      <c r="A2" s="37" t="s">
        <v>1</v>
      </c>
      <c r="B2" s="38"/>
      <c r="C2" s="38"/>
      <c r="D2" s="38"/>
      <c r="E2" s="38"/>
      <c r="F2" s="38"/>
      <c r="G2" s="39"/>
    </row>
    <row r="3" spans="1:7">
      <c r="A3" s="2"/>
      <c r="G3" s="3"/>
    </row>
    <row r="4" spans="1:7" ht="15" customHeight="1">
      <c r="A4" s="6" t="s">
        <v>2</v>
      </c>
      <c r="B4" s="7" t="s">
        <v>3</v>
      </c>
      <c r="D4" s="40" t="s">
        <v>4</v>
      </c>
      <c r="E4" s="40"/>
      <c r="F4" s="40"/>
      <c r="G4" s="41"/>
    </row>
    <row r="5" spans="1:7" ht="15" customHeight="1">
      <c r="A5" s="8" t="s">
        <v>5</v>
      </c>
      <c r="B5" s="10">
        <f>SUM(Expenses!H2:H300)</f>
        <v>4174</v>
      </c>
      <c r="D5" s="12" t="s">
        <v>6</v>
      </c>
      <c r="E5" s="13"/>
      <c r="F5" s="13"/>
      <c r="G5" s="14"/>
    </row>
    <row r="6" spans="1:7" ht="15" customHeight="1">
      <c r="A6" s="8" t="s">
        <v>7</v>
      </c>
      <c r="B6" s="10">
        <f>SUM(Budget_Planner!D2:D300)</f>
        <v>5800</v>
      </c>
      <c r="D6" s="15" t="s">
        <v>8</v>
      </c>
      <c r="G6" s="3"/>
    </row>
    <row r="7" spans="1:7" ht="15" customHeight="1">
      <c r="A7" s="8" t="s">
        <v>9</v>
      </c>
      <c r="B7" s="10">
        <f>SUM(Daily_Sales!C2:C301)</f>
        <v>3300.3</v>
      </c>
      <c r="D7" s="15" t="s">
        <v>10</v>
      </c>
      <c r="G7" s="3"/>
    </row>
    <row r="8" spans="1:7" ht="15" customHeight="1">
      <c r="A8" s="8" t="s">
        <v>11</v>
      </c>
      <c r="B8" s="10">
        <f>B7-B5</f>
        <v>-873.69999999999982</v>
      </c>
      <c r="D8" s="15" t="s">
        <v>12</v>
      </c>
      <c r="G8" s="3"/>
    </row>
    <row r="9" spans="1:7" ht="15" customHeight="1">
      <c r="A9" s="8" t="s">
        <v>13</v>
      </c>
      <c r="B9" s="10">
        <f>SUM(Apartments!D2:D300)</f>
        <v>9600</v>
      </c>
      <c r="D9" s="15" t="s">
        <v>14</v>
      </c>
      <c r="G9" s="3"/>
    </row>
    <row r="10" spans="1:7" ht="15" customHeight="1">
      <c r="A10" s="8" t="s">
        <v>15</v>
      </c>
      <c r="B10" s="10">
        <f>SUM(Apartments!E2:E300)</f>
        <v>7900</v>
      </c>
      <c r="D10" s="15" t="s">
        <v>16</v>
      </c>
      <c r="G10" s="3"/>
    </row>
    <row r="11" spans="1:7" ht="15" customHeight="1">
      <c r="A11" s="8" t="s">
        <v>17</v>
      </c>
      <c r="B11" s="10">
        <f>SUM(Apartments!J2:J300)</f>
        <v>0</v>
      </c>
      <c r="D11" s="15" t="s">
        <v>18</v>
      </c>
      <c r="G11" s="3"/>
    </row>
    <row r="12" spans="1:7" ht="15" customHeight="1">
      <c r="A12" s="8" t="s">
        <v>19</v>
      </c>
      <c r="B12" s="10">
        <f>SUM(Petty_Cash_Budget!C2:C300)</f>
        <v>2000</v>
      </c>
      <c r="D12" s="16" t="s">
        <v>20</v>
      </c>
      <c r="E12" s="17"/>
      <c r="F12" s="17"/>
      <c r="G12" s="5"/>
    </row>
    <row r="13" spans="1:7" ht="15" customHeight="1">
      <c r="A13" s="8" t="s">
        <v>21</v>
      </c>
      <c r="B13" s="10">
        <f>SUMIF(Petty_Cash!B2:B300,"Expense Paid",Petty_Cash!G2:G300)</f>
        <v>421</v>
      </c>
      <c r="G13" s="3"/>
    </row>
    <row r="14" spans="1:7" ht="15" customHeight="1">
      <c r="A14" s="8" t="s">
        <v>22</v>
      </c>
      <c r="B14" s="10">
        <f>SUM(Petty_Cash!H2:H300)</f>
        <v>890.7</v>
      </c>
      <c r="G14" s="3"/>
    </row>
    <row r="15" spans="1:7" ht="15" customHeight="1">
      <c r="A15" s="9" t="s">
        <v>23</v>
      </c>
      <c r="B15" s="11">
        <f>B12-B13</f>
        <v>1579</v>
      </c>
      <c r="G15" s="3"/>
    </row>
    <row r="16" spans="1:7" ht="15" customHeight="1">
      <c r="A16" s="42" t="s">
        <v>24</v>
      </c>
      <c r="B16" s="43"/>
      <c r="C16" s="43"/>
      <c r="D16" s="43"/>
      <c r="E16" s="43"/>
      <c r="F16" s="43"/>
      <c r="G16" s="44"/>
    </row>
    <row r="17" spans="1:7" ht="15" customHeight="1">
      <c r="A17" s="45" t="s">
        <v>25</v>
      </c>
      <c r="B17" s="46"/>
      <c r="C17" s="46"/>
      <c r="D17" s="46"/>
      <c r="E17" s="46"/>
      <c r="F17" s="46"/>
      <c r="G17" s="47"/>
    </row>
    <row r="18" spans="1:7">
      <c r="A18" s="2"/>
      <c r="G18" s="3"/>
    </row>
    <row r="19" spans="1:7" ht="15" customHeight="1">
      <c r="A19" s="31" t="s">
        <v>26</v>
      </c>
      <c r="B19" s="32"/>
      <c r="C19" s="32"/>
      <c r="D19" s="32"/>
      <c r="E19" s="32"/>
      <c r="F19" s="32"/>
      <c r="G19" s="33"/>
    </row>
    <row r="20" spans="1:7">
      <c r="A20" s="4"/>
      <c r="B20" s="17"/>
      <c r="C20" s="17"/>
      <c r="D20" s="17"/>
      <c r="E20" s="17"/>
      <c r="F20" s="17"/>
      <c r="G20" s="5"/>
    </row>
  </sheetData>
  <mergeCells count="6">
    <mergeCell ref="A19:G19"/>
    <mergeCell ref="A1:G1"/>
    <mergeCell ref="A2:G2"/>
    <mergeCell ref="D4:G4"/>
    <mergeCell ref="A16:G16"/>
    <mergeCell ref="A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0"/>
  <sheetViews>
    <sheetView tabSelected="1" workbookViewId="0">
      <selection activeCell="A2" sqref="A2:H8"/>
    </sheetView>
  </sheetViews>
  <sheetFormatPr baseColWidth="10" defaultColWidth="8.83203125" defaultRowHeight="14"/>
  <cols>
    <col min="1" max="1" width="10.5" bestFit="1" customWidth="1"/>
    <col min="2" max="2" width="27" bestFit="1" customWidth="1"/>
    <col min="3" max="3" width="14.83203125" bestFit="1" customWidth="1"/>
    <col min="4" max="4" width="21.5" bestFit="1" customWidth="1"/>
    <col min="5" max="5" width="11.33203125" bestFit="1" customWidth="1"/>
    <col min="6" max="6" width="13" customWidth="1"/>
    <col min="7" max="7" width="14" bestFit="1" customWidth="1"/>
    <col min="8" max="8" width="14.1640625" bestFit="1" customWidth="1"/>
    <col min="9" max="9" width="4.83203125" customWidth="1"/>
  </cols>
  <sheetData>
    <row r="1" spans="1:9" ht="1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>
      <c r="A2" s="23">
        <v>46174</v>
      </c>
      <c r="B2" s="18" t="s">
        <v>8</v>
      </c>
      <c r="C2" s="18" t="s">
        <v>135</v>
      </c>
      <c r="D2" s="18" t="s">
        <v>94</v>
      </c>
      <c r="E2" s="18"/>
      <c r="F2" s="18" t="s">
        <v>77</v>
      </c>
      <c r="G2" s="18" t="s">
        <v>73</v>
      </c>
      <c r="H2" s="26">
        <v>800</v>
      </c>
      <c r="I2" s="19"/>
    </row>
    <row r="3" spans="1:9">
      <c r="A3" s="24">
        <v>46200</v>
      </c>
      <c r="B3" t="s">
        <v>8</v>
      </c>
      <c r="D3" s="18" t="s">
        <v>94</v>
      </c>
      <c r="F3" t="s">
        <v>67</v>
      </c>
      <c r="G3" s="18" t="s">
        <v>73</v>
      </c>
      <c r="H3" s="27">
        <v>611</v>
      </c>
      <c r="I3" s="20"/>
    </row>
    <row r="4" spans="1:9">
      <c r="A4" s="24">
        <v>46200</v>
      </c>
      <c r="B4" t="s">
        <v>18</v>
      </c>
      <c r="D4" s="18" t="s">
        <v>94</v>
      </c>
      <c r="F4" t="s">
        <v>67</v>
      </c>
      <c r="G4" s="18" t="s">
        <v>73</v>
      </c>
      <c r="H4" s="27">
        <v>2578</v>
      </c>
      <c r="I4" s="20"/>
    </row>
    <row r="5" spans="1:9">
      <c r="A5" s="24">
        <v>46200</v>
      </c>
      <c r="B5" t="s">
        <v>18</v>
      </c>
      <c r="D5" t="s">
        <v>71</v>
      </c>
      <c r="F5" t="s">
        <v>67</v>
      </c>
      <c r="G5" t="s">
        <v>73</v>
      </c>
      <c r="H5" s="27">
        <v>100</v>
      </c>
      <c r="I5" s="20"/>
    </row>
    <row r="6" spans="1:9">
      <c r="A6" s="24">
        <v>46201</v>
      </c>
      <c r="B6" t="s">
        <v>18</v>
      </c>
      <c r="D6" t="s">
        <v>71</v>
      </c>
      <c r="F6" t="s">
        <v>67</v>
      </c>
      <c r="G6" t="s">
        <v>73</v>
      </c>
      <c r="H6" s="27">
        <v>50</v>
      </c>
      <c r="I6" s="20"/>
    </row>
    <row r="7" spans="1:9">
      <c r="A7" s="24">
        <v>46201</v>
      </c>
      <c r="B7" t="s">
        <v>18</v>
      </c>
      <c r="D7" t="s">
        <v>97</v>
      </c>
      <c r="F7" t="s">
        <v>67</v>
      </c>
      <c r="G7" t="s">
        <v>73</v>
      </c>
      <c r="H7" s="27">
        <v>30</v>
      </c>
      <c r="I7" s="20"/>
    </row>
    <row r="8" spans="1:9">
      <c r="A8" s="24">
        <v>46201</v>
      </c>
      <c r="B8" t="s">
        <v>18</v>
      </c>
      <c r="D8" t="s">
        <v>71</v>
      </c>
      <c r="F8" t="s">
        <v>67</v>
      </c>
      <c r="G8" t="s">
        <v>73</v>
      </c>
      <c r="H8" s="27">
        <v>5</v>
      </c>
      <c r="I8" s="20"/>
    </row>
    <row r="9" spans="1:9">
      <c r="A9" s="24"/>
      <c r="H9" s="27"/>
      <c r="I9" s="20"/>
    </row>
    <row r="10" spans="1:9">
      <c r="A10" s="24"/>
      <c r="H10" s="27"/>
      <c r="I10" s="20"/>
    </row>
    <row r="11" spans="1:9">
      <c r="A11" s="24"/>
      <c r="H11" s="27"/>
      <c r="I11" s="20"/>
    </row>
    <row r="12" spans="1:9">
      <c r="A12" s="24"/>
      <c r="H12" s="27"/>
      <c r="I12" s="20"/>
    </row>
    <row r="13" spans="1:9">
      <c r="A13" s="24"/>
      <c r="H13" s="27"/>
      <c r="I13" s="20"/>
    </row>
    <row r="14" spans="1:9">
      <c r="A14" s="24"/>
      <c r="H14" s="27"/>
      <c r="I14" s="20"/>
    </row>
    <row r="15" spans="1:9">
      <c r="A15" s="24"/>
      <c r="H15" s="27"/>
      <c r="I15" s="20"/>
    </row>
    <row r="16" spans="1:9">
      <c r="A16" s="24"/>
      <c r="H16" s="27"/>
      <c r="I16" s="20"/>
    </row>
    <row r="17" spans="1:9">
      <c r="A17" s="24"/>
      <c r="H17" s="27"/>
      <c r="I17" s="20"/>
    </row>
    <row r="18" spans="1:9">
      <c r="A18" s="24"/>
      <c r="H18" s="27"/>
      <c r="I18" s="20"/>
    </row>
    <row r="19" spans="1:9">
      <c r="A19" s="24"/>
      <c r="H19" s="27"/>
      <c r="I19" s="20"/>
    </row>
    <row r="20" spans="1:9">
      <c r="A20" s="24"/>
      <c r="H20" s="27"/>
      <c r="I20" s="20"/>
    </row>
    <row r="21" spans="1:9">
      <c r="A21" s="24"/>
      <c r="H21" s="27"/>
      <c r="I21" s="20"/>
    </row>
    <row r="22" spans="1:9">
      <c r="A22" s="24"/>
      <c r="H22" s="27"/>
      <c r="I22" s="20"/>
    </row>
    <row r="23" spans="1:9">
      <c r="A23" s="24"/>
      <c r="H23" s="27"/>
      <c r="I23" s="20"/>
    </row>
    <row r="24" spans="1:9">
      <c r="A24" s="24"/>
      <c r="H24" s="27"/>
      <c r="I24" s="20"/>
    </row>
    <row r="25" spans="1:9">
      <c r="A25" s="24"/>
      <c r="H25" s="27"/>
      <c r="I25" s="20"/>
    </row>
    <row r="26" spans="1:9">
      <c r="A26" s="24"/>
      <c r="H26" s="27"/>
      <c r="I26" s="20"/>
    </row>
    <row r="27" spans="1:9">
      <c r="A27" s="24"/>
      <c r="H27" s="27"/>
      <c r="I27" s="20"/>
    </row>
    <row r="28" spans="1:9">
      <c r="A28" s="24"/>
      <c r="H28" s="27"/>
      <c r="I28" s="20"/>
    </row>
    <row r="29" spans="1:9">
      <c r="A29" s="24"/>
      <c r="H29" s="27"/>
      <c r="I29" s="20"/>
    </row>
    <row r="30" spans="1:9">
      <c r="A30" s="24"/>
      <c r="H30" s="27"/>
      <c r="I30" s="20"/>
    </row>
    <row r="31" spans="1:9">
      <c r="A31" s="24"/>
      <c r="H31" s="27"/>
      <c r="I31" s="20"/>
    </row>
    <row r="32" spans="1:9">
      <c r="A32" s="24"/>
      <c r="H32" s="27"/>
      <c r="I32" s="20"/>
    </row>
    <row r="33" spans="1:9">
      <c r="A33" s="24"/>
      <c r="H33" s="27"/>
      <c r="I33" s="20"/>
    </row>
    <row r="34" spans="1:9">
      <c r="A34" s="24"/>
      <c r="H34" s="27"/>
      <c r="I34" s="20"/>
    </row>
    <row r="35" spans="1:9">
      <c r="A35" s="24"/>
      <c r="H35" s="27"/>
      <c r="I35" s="20"/>
    </row>
    <row r="36" spans="1:9">
      <c r="A36" s="24"/>
      <c r="H36" s="27"/>
      <c r="I36" s="20"/>
    </row>
    <row r="37" spans="1:9">
      <c r="A37" s="24"/>
      <c r="H37" s="27"/>
      <c r="I37" s="20"/>
    </row>
    <row r="38" spans="1:9">
      <c r="A38" s="24"/>
      <c r="H38" s="27"/>
      <c r="I38" s="20"/>
    </row>
    <row r="39" spans="1:9">
      <c r="A39" s="24"/>
      <c r="H39" s="27"/>
      <c r="I39" s="20"/>
    </row>
    <row r="40" spans="1:9">
      <c r="A40" s="24"/>
      <c r="H40" s="27"/>
      <c r="I40" s="20"/>
    </row>
    <row r="41" spans="1:9">
      <c r="A41" s="24"/>
      <c r="H41" s="27"/>
      <c r="I41" s="20"/>
    </row>
    <row r="42" spans="1:9">
      <c r="A42" s="24"/>
      <c r="H42" s="27"/>
      <c r="I42" s="20"/>
    </row>
    <row r="43" spans="1:9">
      <c r="A43" s="24"/>
      <c r="H43" s="27"/>
      <c r="I43" s="20"/>
    </row>
    <row r="44" spans="1:9">
      <c r="A44" s="24"/>
      <c r="H44" s="27"/>
      <c r="I44" s="20"/>
    </row>
    <row r="45" spans="1:9">
      <c r="A45" s="24"/>
      <c r="H45" s="27"/>
      <c r="I45" s="20"/>
    </row>
    <row r="46" spans="1:9">
      <c r="A46" s="24"/>
      <c r="H46" s="27"/>
      <c r="I46" s="20"/>
    </row>
    <row r="47" spans="1:9">
      <c r="A47" s="24"/>
      <c r="H47" s="27"/>
      <c r="I47" s="20"/>
    </row>
    <row r="48" spans="1:9">
      <c r="A48" s="24"/>
      <c r="H48" s="27"/>
      <c r="I48" s="20"/>
    </row>
    <row r="49" spans="1:9">
      <c r="A49" s="24"/>
      <c r="H49" s="27"/>
      <c r="I49" s="20"/>
    </row>
    <row r="50" spans="1:9">
      <c r="A50" s="24"/>
      <c r="H50" s="27"/>
      <c r="I50" s="20"/>
    </row>
    <row r="51" spans="1:9">
      <c r="A51" s="24"/>
      <c r="H51" s="27"/>
      <c r="I51" s="20"/>
    </row>
    <row r="52" spans="1:9">
      <c r="A52" s="24"/>
      <c r="H52" s="27"/>
      <c r="I52" s="20"/>
    </row>
    <row r="53" spans="1:9">
      <c r="A53" s="24"/>
      <c r="H53" s="27"/>
      <c r="I53" s="20"/>
    </row>
    <row r="54" spans="1:9">
      <c r="A54" s="24"/>
      <c r="H54" s="27"/>
      <c r="I54" s="20"/>
    </row>
    <row r="55" spans="1:9">
      <c r="A55" s="24"/>
      <c r="H55" s="27"/>
      <c r="I55" s="20"/>
    </row>
    <row r="56" spans="1:9">
      <c r="A56" s="24"/>
      <c r="H56" s="27"/>
      <c r="I56" s="20"/>
    </row>
    <row r="57" spans="1:9">
      <c r="A57" s="24"/>
      <c r="H57" s="27"/>
      <c r="I57" s="20"/>
    </row>
    <row r="58" spans="1:9">
      <c r="A58" s="24"/>
      <c r="H58" s="27"/>
      <c r="I58" s="20"/>
    </row>
    <row r="59" spans="1:9">
      <c r="A59" s="24"/>
      <c r="H59" s="27"/>
      <c r="I59" s="20"/>
    </row>
    <row r="60" spans="1:9">
      <c r="A60" s="24"/>
      <c r="H60" s="27"/>
      <c r="I60" s="20"/>
    </row>
    <row r="61" spans="1:9">
      <c r="A61" s="24"/>
      <c r="H61" s="27"/>
      <c r="I61" s="20"/>
    </row>
    <row r="62" spans="1:9">
      <c r="A62" s="24"/>
      <c r="H62" s="27"/>
      <c r="I62" s="20"/>
    </row>
    <row r="63" spans="1:9">
      <c r="A63" s="24"/>
      <c r="H63" s="27"/>
      <c r="I63" s="20"/>
    </row>
    <row r="64" spans="1:9">
      <c r="A64" s="24"/>
      <c r="H64" s="27"/>
      <c r="I64" s="20"/>
    </row>
    <row r="65" spans="1:9">
      <c r="A65" s="24"/>
      <c r="H65" s="27"/>
      <c r="I65" s="20"/>
    </row>
    <row r="66" spans="1:9">
      <c r="A66" s="24"/>
      <c r="H66" s="27"/>
      <c r="I66" s="20"/>
    </row>
    <row r="67" spans="1:9">
      <c r="A67" s="24"/>
      <c r="H67" s="27"/>
      <c r="I67" s="20"/>
    </row>
    <row r="68" spans="1:9">
      <c r="A68" s="24"/>
      <c r="H68" s="27"/>
      <c r="I68" s="20"/>
    </row>
    <row r="69" spans="1:9">
      <c r="A69" s="24"/>
      <c r="H69" s="27"/>
      <c r="I69" s="20"/>
    </row>
    <row r="70" spans="1:9">
      <c r="A70" s="24"/>
      <c r="H70" s="27"/>
      <c r="I70" s="20"/>
    </row>
    <row r="71" spans="1:9">
      <c r="A71" s="24"/>
      <c r="H71" s="27"/>
      <c r="I71" s="20"/>
    </row>
    <row r="72" spans="1:9">
      <c r="A72" s="24"/>
      <c r="H72" s="27"/>
      <c r="I72" s="20"/>
    </row>
    <row r="73" spans="1:9">
      <c r="A73" s="24"/>
      <c r="H73" s="27"/>
      <c r="I73" s="20"/>
    </row>
    <row r="74" spans="1:9">
      <c r="A74" s="24"/>
      <c r="H74" s="27"/>
      <c r="I74" s="20"/>
    </row>
    <row r="75" spans="1:9">
      <c r="A75" s="24"/>
      <c r="H75" s="27"/>
      <c r="I75" s="20"/>
    </row>
    <row r="76" spans="1:9">
      <c r="A76" s="24"/>
      <c r="H76" s="27"/>
      <c r="I76" s="20"/>
    </row>
    <row r="77" spans="1:9">
      <c r="A77" s="24"/>
      <c r="H77" s="27"/>
      <c r="I77" s="20"/>
    </row>
    <row r="78" spans="1:9">
      <c r="A78" s="24"/>
      <c r="H78" s="27"/>
      <c r="I78" s="20"/>
    </row>
    <row r="79" spans="1:9">
      <c r="A79" s="24"/>
      <c r="H79" s="27"/>
      <c r="I79" s="20"/>
    </row>
    <row r="80" spans="1:9">
      <c r="A80" s="24"/>
      <c r="H80" s="27"/>
      <c r="I80" s="20"/>
    </row>
    <row r="81" spans="1:9">
      <c r="A81" s="24"/>
      <c r="H81" s="27"/>
      <c r="I81" s="20"/>
    </row>
    <row r="82" spans="1:9">
      <c r="A82" s="24"/>
      <c r="H82" s="27"/>
      <c r="I82" s="20"/>
    </row>
    <row r="83" spans="1:9">
      <c r="A83" s="24"/>
      <c r="H83" s="27"/>
      <c r="I83" s="20"/>
    </row>
    <row r="84" spans="1:9">
      <c r="A84" s="24"/>
      <c r="H84" s="27"/>
      <c r="I84" s="20"/>
    </row>
    <row r="85" spans="1:9">
      <c r="A85" s="24"/>
      <c r="H85" s="27"/>
      <c r="I85" s="20"/>
    </row>
    <row r="86" spans="1:9">
      <c r="A86" s="24"/>
      <c r="H86" s="27"/>
      <c r="I86" s="20"/>
    </row>
    <row r="87" spans="1:9">
      <c r="A87" s="24"/>
      <c r="H87" s="27"/>
      <c r="I87" s="20"/>
    </row>
    <row r="88" spans="1:9">
      <c r="A88" s="24"/>
      <c r="H88" s="27"/>
      <c r="I88" s="20"/>
    </row>
    <row r="89" spans="1:9">
      <c r="A89" s="24"/>
      <c r="H89" s="27"/>
      <c r="I89" s="20"/>
    </row>
    <row r="90" spans="1:9">
      <c r="A90" s="24"/>
      <c r="H90" s="27"/>
      <c r="I90" s="20"/>
    </row>
    <row r="91" spans="1:9">
      <c r="A91" s="24"/>
      <c r="H91" s="27"/>
      <c r="I91" s="20"/>
    </row>
    <row r="92" spans="1:9">
      <c r="A92" s="24"/>
      <c r="H92" s="27"/>
      <c r="I92" s="20"/>
    </row>
    <row r="93" spans="1:9">
      <c r="A93" s="24"/>
      <c r="H93" s="27"/>
      <c r="I93" s="20"/>
    </row>
    <row r="94" spans="1:9">
      <c r="A94" s="24"/>
      <c r="H94" s="27"/>
      <c r="I94" s="20"/>
    </row>
    <row r="95" spans="1:9">
      <c r="A95" s="24"/>
      <c r="H95" s="27"/>
      <c r="I95" s="20"/>
    </row>
    <row r="96" spans="1:9">
      <c r="A96" s="24"/>
      <c r="H96" s="27"/>
      <c r="I96" s="20"/>
    </row>
    <row r="97" spans="1:9">
      <c r="A97" s="24"/>
      <c r="H97" s="27"/>
      <c r="I97" s="20"/>
    </row>
    <row r="98" spans="1:9">
      <c r="A98" s="24"/>
      <c r="H98" s="27"/>
      <c r="I98" s="20"/>
    </row>
    <row r="99" spans="1:9">
      <c r="A99" s="24"/>
      <c r="H99" s="27"/>
      <c r="I99" s="20"/>
    </row>
    <row r="100" spans="1:9">
      <c r="A100" s="24"/>
      <c r="H100" s="27"/>
      <c r="I100" s="20"/>
    </row>
    <row r="101" spans="1:9">
      <c r="A101" s="24"/>
      <c r="H101" s="27"/>
      <c r="I101" s="20"/>
    </row>
    <row r="102" spans="1:9">
      <c r="A102" s="24"/>
      <c r="H102" s="27"/>
      <c r="I102" s="20"/>
    </row>
    <row r="103" spans="1:9">
      <c r="A103" s="24"/>
      <c r="H103" s="27"/>
      <c r="I103" s="20"/>
    </row>
    <row r="104" spans="1:9">
      <c r="A104" s="24"/>
      <c r="H104" s="27"/>
      <c r="I104" s="20"/>
    </row>
    <row r="105" spans="1:9">
      <c r="A105" s="24"/>
      <c r="H105" s="27"/>
      <c r="I105" s="20"/>
    </row>
    <row r="106" spans="1:9">
      <c r="A106" s="24"/>
      <c r="H106" s="27"/>
      <c r="I106" s="20"/>
    </row>
    <row r="107" spans="1:9">
      <c r="A107" s="24"/>
      <c r="H107" s="27"/>
      <c r="I107" s="20"/>
    </row>
    <row r="108" spans="1:9">
      <c r="A108" s="24"/>
      <c r="H108" s="27"/>
      <c r="I108" s="20"/>
    </row>
    <row r="109" spans="1:9">
      <c r="A109" s="24"/>
      <c r="H109" s="27"/>
      <c r="I109" s="20"/>
    </row>
    <row r="110" spans="1:9">
      <c r="A110" s="24"/>
      <c r="H110" s="27"/>
      <c r="I110" s="20"/>
    </row>
    <row r="111" spans="1:9">
      <c r="A111" s="24"/>
      <c r="H111" s="27"/>
      <c r="I111" s="20"/>
    </row>
    <row r="112" spans="1:9">
      <c r="A112" s="24"/>
      <c r="H112" s="27"/>
      <c r="I112" s="20"/>
    </row>
    <row r="113" spans="1:9">
      <c r="A113" s="24"/>
      <c r="H113" s="27"/>
      <c r="I113" s="20"/>
    </row>
    <row r="114" spans="1:9">
      <c r="A114" s="24"/>
      <c r="H114" s="27"/>
      <c r="I114" s="20"/>
    </row>
    <row r="115" spans="1:9">
      <c r="A115" s="24"/>
      <c r="H115" s="27"/>
      <c r="I115" s="20"/>
    </row>
    <row r="116" spans="1:9">
      <c r="A116" s="24"/>
      <c r="H116" s="27"/>
      <c r="I116" s="20"/>
    </row>
    <row r="117" spans="1:9">
      <c r="A117" s="24"/>
      <c r="H117" s="27"/>
      <c r="I117" s="20"/>
    </row>
    <row r="118" spans="1:9">
      <c r="A118" s="24"/>
      <c r="H118" s="27"/>
      <c r="I118" s="20"/>
    </row>
    <row r="119" spans="1:9">
      <c r="A119" s="24"/>
      <c r="H119" s="27"/>
      <c r="I119" s="20"/>
    </row>
    <row r="120" spans="1:9">
      <c r="A120" s="24"/>
      <c r="H120" s="27"/>
      <c r="I120" s="20"/>
    </row>
    <row r="121" spans="1:9">
      <c r="A121" s="24"/>
      <c r="H121" s="27"/>
      <c r="I121" s="20"/>
    </row>
    <row r="122" spans="1:9">
      <c r="A122" s="24"/>
      <c r="H122" s="27"/>
      <c r="I122" s="20"/>
    </row>
    <row r="123" spans="1:9">
      <c r="A123" s="24"/>
      <c r="H123" s="27"/>
      <c r="I123" s="20"/>
    </row>
    <row r="124" spans="1:9">
      <c r="A124" s="24"/>
      <c r="H124" s="27"/>
      <c r="I124" s="20"/>
    </row>
    <row r="125" spans="1:9">
      <c r="A125" s="24"/>
      <c r="H125" s="27"/>
      <c r="I125" s="20"/>
    </row>
    <row r="126" spans="1:9">
      <c r="A126" s="24"/>
      <c r="H126" s="27"/>
      <c r="I126" s="20"/>
    </row>
    <row r="127" spans="1:9">
      <c r="A127" s="24"/>
      <c r="H127" s="27"/>
      <c r="I127" s="20"/>
    </row>
    <row r="128" spans="1:9">
      <c r="A128" s="24"/>
      <c r="H128" s="27"/>
      <c r="I128" s="20"/>
    </row>
    <row r="129" spans="1:9">
      <c r="A129" s="24"/>
      <c r="H129" s="27"/>
      <c r="I129" s="20"/>
    </row>
    <row r="130" spans="1:9">
      <c r="A130" s="24"/>
      <c r="H130" s="27"/>
      <c r="I130" s="20"/>
    </row>
    <row r="131" spans="1:9">
      <c r="A131" s="24"/>
      <c r="H131" s="27"/>
      <c r="I131" s="20"/>
    </row>
    <row r="132" spans="1:9">
      <c r="A132" s="24"/>
      <c r="H132" s="27"/>
      <c r="I132" s="20"/>
    </row>
    <row r="133" spans="1:9">
      <c r="A133" s="24"/>
      <c r="H133" s="27"/>
      <c r="I133" s="20"/>
    </row>
    <row r="134" spans="1:9">
      <c r="A134" s="24"/>
      <c r="H134" s="27"/>
      <c r="I134" s="20"/>
    </row>
    <row r="135" spans="1:9">
      <c r="A135" s="24"/>
      <c r="H135" s="27"/>
      <c r="I135" s="20"/>
    </row>
    <row r="136" spans="1:9">
      <c r="A136" s="24"/>
      <c r="H136" s="27"/>
      <c r="I136" s="20"/>
    </row>
    <row r="137" spans="1:9">
      <c r="A137" s="24"/>
      <c r="H137" s="27"/>
      <c r="I137" s="20"/>
    </row>
    <row r="138" spans="1:9">
      <c r="A138" s="24"/>
      <c r="H138" s="27"/>
      <c r="I138" s="20"/>
    </row>
    <row r="139" spans="1:9">
      <c r="A139" s="24"/>
      <c r="H139" s="27"/>
      <c r="I139" s="20"/>
    </row>
    <row r="140" spans="1:9">
      <c r="A140" s="24"/>
      <c r="H140" s="27"/>
      <c r="I140" s="20"/>
    </row>
    <row r="141" spans="1:9">
      <c r="A141" s="24"/>
      <c r="H141" s="27"/>
      <c r="I141" s="20"/>
    </row>
    <row r="142" spans="1:9">
      <c r="A142" s="24"/>
      <c r="H142" s="27"/>
      <c r="I142" s="20"/>
    </row>
    <row r="143" spans="1:9">
      <c r="A143" s="24"/>
      <c r="H143" s="27"/>
      <c r="I143" s="20"/>
    </row>
    <row r="144" spans="1:9">
      <c r="A144" s="24"/>
      <c r="H144" s="27"/>
      <c r="I144" s="20"/>
    </row>
    <row r="145" spans="1:9">
      <c r="A145" s="24"/>
      <c r="H145" s="27"/>
      <c r="I145" s="20"/>
    </row>
    <row r="146" spans="1:9">
      <c r="A146" s="24"/>
      <c r="H146" s="27"/>
      <c r="I146" s="20"/>
    </row>
    <row r="147" spans="1:9">
      <c r="A147" s="24"/>
      <c r="H147" s="27"/>
      <c r="I147" s="20"/>
    </row>
    <row r="148" spans="1:9">
      <c r="A148" s="24"/>
      <c r="H148" s="27"/>
      <c r="I148" s="20"/>
    </row>
    <row r="149" spans="1:9">
      <c r="A149" s="24"/>
      <c r="H149" s="27"/>
      <c r="I149" s="20"/>
    </row>
    <row r="150" spans="1:9">
      <c r="A150" s="24"/>
      <c r="H150" s="27"/>
      <c r="I150" s="20"/>
    </row>
    <row r="151" spans="1:9">
      <c r="A151" s="24"/>
      <c r="H151" s="27"/>
      <c r="I151" s="20"/>
    </row>
    <row r="152" spans="1:9">
      <c r="A152" s="24"/>
      <c r="H152" s="27"/>
      <c r="I152" s="20"/>
    </row>
    <row r="153" spans="1:9">
      <c r="A153" s="24"/>
      <c r="H153" s="27"/>
      <c r="I153" s="20"/>
    </row>
    <row r="154" spans="1:9">
      <c r="A154" s="24"/>
      <c r="H154" s="27"/>
      <c r="I154" s="20"/>
    </row>
    <row r="155" spans="1:9">
      <c r="A155" s="24"/>
      <c r="H155" s="27"/>
      <c r="I155" s="20"/>
    </row>
    <row r="156" spans="1:9">
      <c r="A156" s="24"/>
      <c r="H156" s="27"/>
      <c r="I156" s="20"/>
    </row>
    <row r="157" spans="1:9">
      <c r="A157" s="24"/>
      <c r="H157" s="27"/>
      <c r="I157" s="20"/>
    </row>
    <row r="158" spans="1:9">
      <c r="A158" s="24"/>
      <c r="H158" s="27"/>
      <c r="I158" s="20"/>
    </row>
    <row r="159" spans="1:9">
      <c r="A159" s="24"/>
      <c r="H159" s="27"/>
      <c r="I159" s="20"/>
    </row>
    <row r="160" spans="1:9">
      <c r="A160" s="24"/>
      <c r="H160" s="27"/>
      <c r="I160" s="20"/>
    </row>
    <row r="161" spans="1:9">
      <c r="A161" s="24"/>
      <c r="H161" s="27"/>
      <c r="I161" s="20"/>
    </row>
    <row r="162" spans="1:9">
      <c r="A162" s="24"/>
      <c r="H162" s="27"/>
      <c r="I162" s="20"/>
    </row>
    <row r="163" spans="1:9">
      <c r="A163" s="24"/>
      <c r="H163" s="27"/>
      <c r="I163" s="20"/>
    </row>
    <row r="164" spans="1:9">
      <c r="A164" s="24"/>
      <c r="H164" s="27"/>
      <c r="I164" s="20"/>
    </row>
    <row r="165" spans="1:9">
      <c r="A165" s="24"/>
      <c r="H165" s="27"/>
      <c r="I165" s="20"/>
    </row>
    <row r="166" spans="1:9">
      <c r="A166" s="24"/>
      <c r="H166" s="27"/>
      <c r="I166" s="20"/>
    </row>
    <row r="167" spans="1:9">
      <c r="A167" s="24"/>
      <c r="H167" s="27"/>
      <c r="I167" s="20"/>
    </row>
    <row r="168" spans="1:9">
      <c r="A168" s="24"/>
      <c r="H168" s="27"/>
      <c r="I168" s="20"/>
    </row>
    <row r="169" spans="1:9">
      <c r="A169" s="24"/>
      <c r="H169" s="27"/>
      <c r="I169" s="20"/>
    </row>
    <row r="170" spans="1:9">
      <c r="A170" s="24"/>
      <c r="H170" s="27"/>
      <c r="I170" s="20"/>
    </row>
    <row r="171" spans="1:9">
      <c r="A171" s="24"/>
      <c r="H171" s="27"/>
      <c r="I171" s="20"/>
    </row>
    <row r="172" spans="1:9">
      <c r="A172" s="24"/>
      <c r="H172" s="27"/>
      <c r="I172" s="20"/>
    </row>
    <row r="173" spans="1:9">
      <c r="A173" s="24"/>
      <c r="H173" s="27"/>
      <c r="I173" s="20"/>
    </row>
    <row r="174" spans="1:9">
      <c r="A174" s="24"/>
      <c r="H174" s="27"/>
      <c r="I174" s="20"/>
    </row>
    <row r="175" spans="1:9">
      <c r="A175" s="24"/>
      <c r="H175" s="27"/>
      <c r="I175" s="20"/>
    </row>
    <row r="176" spans="1:9">
      <c r="A176" s="24"/>
      <c r="H176" s="27"/>
      <c r="I176" s="20"/>
    </row>
    <row r="177" spans="1:9">
      <c r="A177" s="24"/>
      <c r="H177" s="27"/>
      <c r="I177" s="20"/>
    </row>
    <row r="178" spans="1:9">
      <c r="A178" s="24"/>
      <c r="H178" s="27"/>
      <c r="I178" s="20"/>
    </row>
    <row r="179" spans="1:9">
      <c r="A179" s="24"/>
      <c r="H179" s="27"/>
      <c r="I179" s="20"/>
    </row>
    <row r="180" spans="1:9">
      <c r="A180" s="24"/>
      <c r="H180" s="27"/>
      <c r="I180" s="20"/>
    </row>
    <row r="181" spans="1:9">
      <c r="A181" s="24"/>
      <c r="H181" s="27"/>
      <c r="I181" s="20"/>
    </row>
    <row r="182" spans="1:9">
      <c r="A182" s="24"/>
      <c r="H182" s="27"/>
      <c r="I182" s="20"/>
    </row>
    <row r="183" spans="1:9">
      <c r="A183" s="24"/>
      <c r="H183" s="27"/>
      <c r="I183" s="20"/>
    </row>
    <row r="184" spans="1:9">
      <c r="A184" s="24"/>
      <c r="H184" s="27"/>
      <c r="I184" s="20"/>
    </row>
    <row r="185" spans="1:9">
      <c r="A185" s="24"/>
      <c r="H185" s="27"/>
      <c r="I185" s="20"/>
    </row>
    <row r="186" spans="1:9">
      <c r="A186" s="24"/>
      <c r="H186" s="27"/>
      <c r="I186" s="20"/>
    </row>
    <row r="187" spans="1:9">
      <c r="A187" s="24"/>
      <c r="H187" s="27"/>
      <c r="I187" s="20"/>
    </row>
    <row r="188" spans="1:9">
      <c r="A188" s="24"/>
      <c r="H188" s="27"/>
      <c r="I188" s="20"/>
    </row>
    <row r="189" spans="1:9">
      <c r="A189" s="24"/>
      <c r="H189" s="27"/>
      <c r="I189" s="20"/>
    </row>
    <row r="190" spans="1:9">
      <c r="A190" s="24"/>
      <c r="H190" s="27"/>
      <c r="I190" s="20"/>
    </row>
    <row r="191" spans="1:9">
      <c r="A191" s="24"/>
      <c r="H191" s="27"/>
      <c r="I191" s="20"/>
    </row>
    <row r="192" spans="1:9">
      <c r="A192" s="24"/>
      <c r="H192" s="27"/>
      <c r="I192" s="20"/>
    </row>
    <row r="193" spans="1:9">
      <c r="A193" s="24"/>
      <c r="H193" s="27"/>
      <c r="I193" s="20"/>
    </row>
    <row r="194" spans="1:9">
      <c r="A194" s="24"/>
      <c r="H194" s="27"/>
      <c r="I194" s="20"/>
    </row>
    <row r="195" spans="1:9">
      <c r="A195" s="24"/>
      <c r="H195" s="27"/>
      <c r="I195" s="20"/>
    </row>
    <row r="196" spans="1:9">
      <c r="A196" s="24"/>
      <c r="H196" s="27"/>
      <c r="I196" s="20"/>
    </row>
    <row r="197" spans="1:9">
      <c r="A197" s="24"/>
      <c r="H197" s="27"/>
      <c r="I197" s="20"/>
    </row>
    <row r="198" spans="1:9">
      <c r="A198" s="24"/>
      <c r="H198" s="27"/>
      <c r="I198" s="20"/>
    </row>
    <row r="199" spans="1:9">
      <c r="A199" s="24"/>
      <c r="H199" s="27"/>
      <c r="I199" s="20"/>
    </row>
    <row r="200" spans="1:9">
      <c r="A200" s="24"/>
      <c r="H200" s="27"/>
      <c r="I200" s="20"/>
    </row>
    <row r="201" spans="1:9">
      <c r="A201" s="24"/>
      <c r="H201" s="27"/>
      <c r="I201" s="20"/>
    </row>
    <row r="202" spans="1:9">
      <c r="A202" s="24"/>
      <c r="H202" s="27"/>
      <c r="I202" s="20"/>
    </row>
    <row r="203" spans="1:9">
      <c r="A203" s="24"/>
      <c r="H203" s="27"/>
      <c r="I203" s="20"/>
    </row>
    <row r="204" spans="1:9">
      <c r="A204" s="24"/>
      <c r="H204" s="27"/>
      <c r="I204" s="20"/>
    </row>
    <row r="205" spans="1:9">
      <c r="A205" s="24"/>
      <c r="H205" s="27"/>
      <c r="I205" s="20"/>
    </row>
    <row r="206" spans="1:9">
      <c r="A206" s="24"/>
      <c r="H206" s="27"/>
      <c r="I206" s="20"/>
    </row>
    <row r="207" spans="1:9">
      <c r="A207" s="24"/>
      <c r="H207" s="27"/>
      <c r="I207" s="20"/>
    </row>
    <row r="208" spans="1:9">
      <c r="A208" s="24"/>
      <c r="H208" s="27"/>
      <c r="I208" s="20"/>
    </row>
    <row r="209" spans="1:9">
      <c r="A209" s="24"/>
      <c r="H209" s="27"/>
      <c r="I209" s="20"/>
    </row>
    <row r="210" spans="1:9">
      <c r="A210" s="24"/>
      <c r="H210" s="27"/>
      <c r="I210" s="20"/>
    </row>
    <row r="211" spans="1:9">
      <c r="A211" s="24"/>
      <c r="H211" s="27"/>
      <c r="I211" s="20"/>
    </row>
    <row r="212" spans="1:9">
      <c r="A212" s="24"/>
      <c r="H212" s="27"/>
      <c r="I212" s="20"/>
    </row>
    <row r="213" spans="1:9">
      <c r="A213" s="24"/>
      <c r="H213" s="27"/>
      <c r="I213" s="20"/>
    </row>
    <row r="214" spans="1:9">
      <c r="A214" s="24"/>
      <c r="H214" s="27"/>
      <c r="I214" s="20"/>
    </row>
    <row r="215" spans="1:9">
      <c r="A215" s="24"/>
      <c r="H215" s="27"/>
      <c r="I215" s="20"/>
    </row>
    <row r="216" spans="1:9">
      <c r="A216" s="24"/>
      <c r="H216" s="27"/>
      <c r="I216" s="20"/>
    </row>
    <row r="217" spans="1:9">
      <c r="A217" s="24"/>
      <c r="H217" s="27"/>
      <c r="I217" s="20"/>
    </row>
    <row r="218" spans="1:9">
      <c r="A218" s="24"/>
      <c r="H218" s="27"/>
      <c r="I218" s="20"/>
    </row>
    <row r="219" spans="1:9">
      <c r="A219" s="24"/>
      <c r="H219" s="27"/>
      <c r="I219" s="20"/>
    </row>
    <row r="220" spans="1:9">
      <c r="A220" s="24"/>
      <c r="H220" s="27"/>
      <c r="I220" s="20"/>
    </row>
    <row r="221" spans="1:9">
      <c r="A221" s="24"/>
      <c r="H221" s="27"/>
      <c r="I221" s="20"/>
    </row>
    <row r="222" spans="1:9">
      <c r="A222" s="24"/>
      <c r="H222" s="27"/>
      <c r="I222" s="20"/>
    </row>
    <row r="223" spans="1:9">
      <c r="A223" s="24"/>
      <c r="H223" s="27"/>
      <c r="I223" s="20"/>
    </row>
    <row r="224" spans="1:9">
      <c r="A224" s="24"/>
      <c r="H224" s="27"/>
      <c r="I224" s="20"/>
    </row>
    <row r="225" spans="1:9">
      <c r="A225" s="24"/>
      <c r="H225" s="27"/>
      <c r="I225" s="20"/>
    </row>
    <row r="226" spans="1:9">
      <c r="A226" s="24"/>
      <c r="H226" s="27"/>
      <c r="I226" s="20"/>
    </row>
    <row r="227" spans="1:9">
      <c r="A227" s="24"/>
      <c r="H227" s="27"/>
      <c r="I227" s="20"/>
    </row>
    <row r="228" spans="1:9">
      <c r="A228" s="24"/>
      <c r="H228" s="27"/>
      <c r="I228" s="20"/>
    </row>
    <row r="229" spans="1:9">
      <c r="A229" s="24"/>
      <c r="H229" s="27"/>
      <c r="I229" s="20"/>
    </row>
    <row r="230" spans="1:9">
      <c r="A230" s="24"/>
      <c r="H230" s="27"/>
      <c r="I230" s="20"/>
    </row>
    <row r="231" spans="1:9">
      <c r="A231" s="24"/>
      <c r="H231" s="27"/>
      <c r="I231" s="20"/>
    </row>
    <row r="232" spans="1:9">
      <c r="A232" s="24"/>
      <c r="H232" s="27"/>
      <c r="I232" s="20"/>
    </row>
    <row r="233" spans="1:9">
      <c r="A233" s="24"/>
      <c r="H233" s="27"/>
      <c r="I233" s="20"/>
    </row>
    <row r="234" spans="1:9">
      <c r="A234" s="24"/>
      <c r="H234" s="27"/>
      <c r="I234" s="20"/>
    </row>
    <row r="235" spans="1:9">
      <c r="A235" s="24"/>
      <c r="H235" s="27"/>
      <c r="I235" s="20"/>
    </row>
    <row r="236" spans="1:9">
      <c r="A236" s="24"/>
      <c r="H236" s="27"/>
      <c r="I236" s="20"/>
    </row>
    <row r="237" spans="1:9">
      <c r="A237" s="24"/>
      <c r="H237" s="27"/>
      <c r="I237" s="20"/>
    </row>
    <row r="238" spans="1:9">
      <c r="A238" s="24"/>
      <c r="H238" s="27"/>
      <c r="I238" s="20"/>
    </row>
    <row r="239" spans="1:9">
      <c r="A239" s="24"/>
      <c r="H239" s="27"/>
      <c r="I239" s="20"/>
    </row>
    <row r="240" spans="1:9">
      <c r="A240" s="24"/>
      <c r="H240" s="27"/>
      <c r="I240" s="20"/>
    </row>
    <row r="241" spans="1:9">
      <c r="A241" s="24"/>
      <c r="H241" s="27"/>
      <c r="I241" s="20"/>
    </row>
    <row r="242" spans="1:9">
      <c r="A242" s="24"/>
      <c r="H242" s="27"/>
      <c r="I242" s="20"/>
    </row>
    <row r="243" spans="1:9">
      <c r="A243" s="24"/>
      <c r="H243" s="27"/>
      <c r="I243" s="20"/>
    </row>
    <row r="244" spans="1:9">
      <c r="A244" s="24"/>
      <c r="H244" s="27"/>
      <c r="I244" s="20"/>
    </row>
    <row r="245" spans="1:9">
      <c r="A245" s="24"/>
      <c r="H245" s="27"/>
      <c r="I245" s="20"/>
    </row>
    <row r="246" spans="1:9">
      <c r="A246" s="24"/>
      <c r="H246" s="27"/>
      <c r="I246" s="20"/>
    </row>
    <row r="247" spans="1:9">
      <c r="A247" s="24"/>
      <c r="H247" s="27"/>
      <c r="I247" s="20"/>
    </row>
    <row r="248" spans="1:9">
      <c r="A248" s="24"/>
      <c r="H248" s="27"/>
      <c r="I248" s="20"/>
    </row>
    <row r="249" spans="1:9">
      <c r="A249" s="24"/>
      <c r="H249" s="27"/>
      <c r="I249" s="20"/>
    </row>
    <row r="250" spans="1:9">
      <c r="A250" s="24"/>
      <c r="H250" s="27"/>
      <c r="I250" s="20"/>
    </row>
    <row r="251" spans="1:9">
      <c r="A251" s="24"/>
      <c r="H251" s="27"/>
      <c r="I251" s="20"/>
    </row>
    <row r="252" spans="1:9">
      <c r="A252" s="24"/>
      <c r="H252" s="27"/>
      <c r="I252" s="20"/>
    </row>
    <row r="253" spans="1:9">
      <c r="A253" s="24"/>
      <c r="H253" s="27"/>
      <c r="I253" s="20"/>
    </row>
    <row r="254" spans="1:9">
      <c r="A254" s="24"/>
      <c r="H254" s="27"/>
      <c r="I254" s="20"/>
    </row>
    <row r="255" spans="1:9">
      <c r="A255" s="24"/>
      <c r="H255" s="27"/>
      <c r="I255" s="20"/>
    </row>
    <row r="256" spans="1:9">
      <c r="A256" s="24"/>
      <c r="H256" s="27"/>
      <c r="I256" s="20"/>
    </row>
    <row r="257" spans="1:9">
      <c r="A257" s="24"/>
      <c r="H257" s="27"/>
      <c r="I257" s="20"/>
    </row>
    <row r="258" spans="1:9">
      <c r="A258" s="24"/>
      <c r="H258" s="27"/>
      <c r="I258" s="20"/>
    </row>
    <row r="259" spans="1:9">
      <c r="A259" s="24"/>
      <c r="H259" s="27"/>
      <c r="I259" s="20"/>
    </row>
    <row r="260" spans="1:9">
      <c r="A260" s="24"/>
      <c r="H260" s="27"/>
      <c r="I260" s="20"/>
    </row>
    <row r="261" spans="1:9">
      <c r="A261" s="24"/>
      <c r="H261" s="27"/>
      <c r="I261" s="20"/>
    </row>
    <row r="262" spans="1:9">
      <c r="A262" s="24"/>
      <c r="H262" s="27"/>
      <c r="I262" s="20"/>
    </row>
    <row r="263" spans="1:9">
      <c r="A263" s="24"/>
      <c r="H263" s="27"/>
      <c r="I263" s="20"/>
    </row>
    <row r="264" spans="1:9">
      <c r="A264" s="24"/>
      <c r="H264" s="27"/>
      <c r="I264" s="20"/>
    </row>
    <row r="265" spans="1:9">
      <c r="A265" s="24"/>
      <c r="H265" s="27"/>
      <c r="I265" s="20"/>
    </row>
    <row r="266" spans="1:9">
      <c r="A266" s="24"/>
      <c r="H266" s="27"/>
      <c r="I266" s="20"/>
    </row>
    <row r="267" spans="1:9">
      <c r="A267" s="24"/>
      <c r="H267" s="27"/>
      <c r="I267" s="20"/>
    </row>
    <row r="268" spans="1:9">
      <c r="A268" s="24"/>
      <c r="H268" s="27"/>
      <c r="I268" s="20"/>
    </row>
    <row r="269" spans="1:9">
      <c r="A269" s="24"/>
      <c r="H269" s="27"/>
      <c r="I269" s="20"/>
    </row>
    <row r="270" spans="1:9">
      <c r="A270" s="24"/>
      <c r="H270" s="27"/>
      <c r="I270" s="20"/>
    </row>
    <row r="271" spans="1:9">
      <c r="A271" s="24"/>
      <c r="H271" s="27"/>
      <c r="I271" s="20"/>
    </row>
    <row r="272" spans="1:9">
      <c r="A272" s="24"/>
      <c r="H272" s="27"/>
      <c r="I272" s="20"/>
    </row>
    <row r="273" spans="1:9">
      <c r="A273" s="24"/>
      <c r="H273" s="27"/>
      <c r="I273" s="20"/>
    </row>
    <row r="274" spans="1:9">
      <c r="A274" s="24"/>
      <c r="H274" s="27"/>
      <c r="I274" s="20"/>
    </row>
    <row r="275" spans="1:9">
      <c r="A275" s="24"/>
      <c r="H275" s="27"/>
      <c r="I275" s="20"/>
    </row>
    <row r="276" spans="1:9">
      <c r="A276" s="24"/>
      <c r="H276" s="27"/>
      <c r="I276" s="20"/>
    </row>
    <row r="277" spans="1:9">
      <c r="A277" s="24"/>
      <c r="H277" s="27"/>
      <c r="I277" s="20"/>
    </row>
    <row r="278" spans="1:9">
      <c r="A278" s="24"/>
      <c r="H278" s="27"/>
      <c r="I278" s="20"/>
    </row>
    <row r="279" spans="1:9">
      <c r="A279" s="24"/>
      <c r="H279" s="27"/>
      <c r="I279" s="20"/>
    </row>
    <row r="280" spans="1:9">
      <c r="A280" s="24"/>
      <c r="H280" s="27"/>
      <c r="I280" s="20"/>
    </row>
    <row r="281" spans="1:9">
      <c r="A281" s="24"/>
      <c r="H281" s="27"/>
      <c r="I281" s="20"/>
    </row>
    <row r="282" spans="1:9">
      <c r="A282" s="24"/>
      <c r="H282" s="27"/>
      <c r="I282" s="20"/>
    </row>
    <row r="283" spans="1:9">
      <c r="A283" s="24"/>
      <c r="H283" s="27"/>
      <c r="I283" s="20"/>
    </row>
    <row r="284" spans="1:9">
      <c r="A284" s="24"/>
      <c r="H284" s="27"/>
      <c r="I284" s="20"/>
    </row>
    <row r="285" spans="1:9">
      <c r="A285" s="24"/>
      <c r="H285" s="27"/>
      <c r="I285" s="20"/>
    </row>
    <row r="286" spans="1:9">
      <c r="A286" s="24"/>
      <c r="H286" s="27"/>
      <c r="I286" s="20"/>
    </row>
    <row r="287" spans="1:9">
      <c r="A287" s="24"/>
      <c r="H287" s="27"/>
      <c r="I287" s="20"/>
    </row>
    <row r="288" spans="1:9">
      <c r="A288" s="24"/>
      <c r="H288" s="27"/>
      <c r="I288" s="20"/>
    </row>
    <row r="289" spans="1:9">
      <c r="A289" s="24"/>
      <c r="H289" s="27"/>
      <c r="I289" s="20"/>
    </row>
    <row r="290" spans="1:9">
      <c r="A290" s="24"/>
      <c r="H290" s="27"/>
      <c r="I290" s="20"/>
    </row>
    <row r="291" spans="1:9">
      <c r="A291" s="24"/>
      <c r="H291" s="27"/>
      <c r="I291" s="20"/>
    </row>
    <row r="292" spans="1:9">
      <c r="A292" s="24"/>
      <c r="H292" s="27"/>
      <c r="I292" s="20"/>
    </row>
    <row r="293" spans="1:9">
      <c r="A293" s="24"/>
      <c r="H293" s="27"/>
      <c r="I293" s="20"/>
    </row>
    <row r="294" spans="1:9">
      <c r="A294" s="24"/>
      <c r="H294" s="27"/>
      <c r="I294" s="20"/>
    </row>
    <row r="295" spans="1:9">
      <c r="A295" s="24"/>
      <c r="H295" s="27"/>
      <c r="I295" s="20"/>
    </row>
    <row r="296" spans="1:9">
      <c r="A296" s="24"/>
      <c r="H296" s="27"/>
      <c r="I296" s="20"/>
    </row>
    <row r="297" spans="1:9">
      <c r="A297" s="24"/>
      <c r="H297" s="27"/>
      <c r="I297" s="20"/>
    </row>
    <row r="298" spans="1:9">
      <c r="A298" s="24"/>
      <c r="H298" s="27"/>
      <c r="I298" s="20"/>
    </row>
    <row r="299" spans="1:9">
      <c r="A299" s="24"/>
      <c r="H299" s="27"/>
      <c r="I299" s="20"/>
    </row>
    <row r="300" spans="1:9">
      <c r="A300" s="25"/>
      <c r="B300" s="21"/>
      <c r="C300" s="21"/>
      <c r="D300" s="21"/>
      <c r="E300" s="21"/>
      <c r="F300" s="21"/>
      <c r="G300" s="21"/>
      <c r="H300" s="28"/>
      <c r="I300" s="2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Lists!$A$2:$A$9</xm:f>
          </x14:formula1>
          <xm:sqref>B2:B300</xm:sqref>
        </x14:dataValidation>
        <x14:dataValidation type="list" xr:uid="{00000000-0002-0000-0100-000001000000}">
          <x14:formula1>
            <xm:f>Lists!$B$2:$B$46</xm:f>
          </x14:formula1>
          <xm:sqref>D2:D300</xm:sqref>
        </x14:dataValidation>
        <x14:dataValidation type="list" xr:uid="{00000000-0002-0000-0100-000002000000}">
          <x14:formula1>
            <xm:f>Lists!$C$2:$C$7</xm:f>
          </x14:formula1>
          <xm:sqref>F2:F300</xm:sqref>
        </x14:dataValidation>
        <x14:dataValidation type="list" xr:uid="{00000000-0002-0000-0100-000003000000}">
          <x14:formula1>
            <xm:f>Lists!$D$2:$D$4</xm:f>
          </x14:formula1>
          <xm:sqref>G2:G300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0"/>
  <sheetViews>
    <sheetView workbookViewId="0">
      <selection activeCell="K7" sqref="K7"/>
    </sheetView>
  </sheetViews>
  <sheetFormatPr baseColWidth="10" defaultColWidth="8.83203125" defaultRowHeight="14"/>
  <cols>
    <col min="1" max="1" width="13.83203125" bestFit="1" customWidth="1"/>
    <col min="2" max="2" width="27" bestFit="1" customWidth="1"/>
    <col min="3" max="3" width="18.6640625" bestFit="1" customWidth="1"/>
    <col min="4" max="4" width="21.5" bestFit="1" customWidth="1"/>
    <col min="5" max="5" width="19" bestFit="1" customWidth="1"/>
    <col min="6" max="6" width="14.5" bestFit="1" customWidth="1"/>
    <col min="7" max="7" width="6.33203125" bestFit="1" customWidth="1"/>
  </cols>
  <sheetData>
    <row r="1" spans="1:7" ht="15">
      <c r="A1" s="1" t="s">
        <v>36</v>
      </c>
      <c r="B1" s="1" t="s">
        <v>28</v>
      </c>
      <c r="C1" s="1" t="s">
        <v>30</v>
      </c>
      <c r="D1" s="1" t="s">
        <v>37</v>
      </c>
      <c r="E1" s="1" t="s">
        <v>38</v>
      </c>
      <c r="F1" s="1" t="s">
        <v>39</v>
      </c>
      <c r="G1" s="1" t="s">
        <v>35</v>
      </c>
    </row>
    <row r="2" spans="1:7">
      <c r="A2" s="29">
        <v>46174</v>
      </c>
      <c r="B2" t="s">
        <v>8</v>
      </c>
      <c r="C2" t="s">
        <v>94</v>
      </c>
      <c r="D2" s="27">
        <v>5800</v>
      </c>
      <c r="E2" s="27">
        <f>SUMIFS(Expenses!$H$2:$H$300,Expenses!$B$2:$B$300,B2,Expenses!$D$2:$D$300,C2,Expenses!$A$2:$A$300,"&gt;="&amp;EOMONTH(A2,-1)+1,Expenses!$A$2:$A$300,"&lt;="&amp;EOMONTH(A2,0))</f>
        <v>1411</v>
      </c>
      <c r="F2" s="27">
        <f t="shared" ref="F2:F65" si="0">D2-E2</f>
        <v>4389</v>
      </c>
    </row>
    <row r="3" spans="1:7">
      <c r="A3" s="29"/>
      <c r="D3" s="27"/>
      <c r="E3" s="27">
        <f>SUMIFS(Expenses!$H$2:$H$300,Expenses!$B$2:$B$300,B3,Expenses!$D$2:$D$300,C3,Expenses!$A$2:$A$300,"&gt;="&amp;EOMONTH(A3,-1)+1,Expenses!$A$2:$A$300,"&lt;="&amp;EOMONTH(A3,0))</f>
        <v>0</v>
      </c>
      <c r="F3" s="27">
        <f t="shared" si="0"/>
        <v>0</v>
      </c>
    </row>
    <row r="4" spans="1:7">
      <c r="A4" s="29"/>
      <c r="D4" s="27"/>
      <c r="E4" s="27">
        <f>SUMIFS(Expenses!$H$2:$H$300,Expenses!$B$2:$B$300,B4,Expenses!$D$2:$D$300,C4,Expenses!$A$2:$A$300,"&gt;="&amp;EOMONTH(A4,-1)+1,Expenses!$A$2:$A$300,"&lt;="&amp;EOMONTH(A4,0))</f>
        <v>0</v>
      </c>
      <c r="F4" s="27">
        <f t="shared" si="0"/>
        <v>0</v>
      </c>
    </row>
    <row r="5" spans="1:7">
      <c r="A5" s="29"/>
      <c r="D5" s="27"/>
      <c r="E5" s="27">
        <f>SUMIFS(Expenses!$H$2:$H$300,Expenses!$B$2:$B$300,B5,Expenses!$D$2:$D$300,C5,Expenses!$A$2:$A$300,"&gt;="&amp;EOMONTH(A5,-1)+1,Expenses!$A$2:$A$300,"&lt;="&amp;EOMONTH(A5,0))</f>
        <v>0</v>
      </c>
      <c r="F5" s="27">
        <f t="shared" si="0"/>
        <v>0</v>
      </c>
    </row>
    <row r="6" spans="1:7">
      <c r="A6" s="29"/>
      <c r="D6" s="27"/>
      <c r="E6" s="27">
        <f>SUMIFS(Expenses!$H$2:$H$300,Expenses!$B$2:$B$300,B6,Expenses!$D$2:$D$300,C6,Expenses!$A$2:$A$300,"&gt;="&amp;EOMONTH(A6,-1)+1,Expenses!$A$2:$A$300,"&lt;="&amp;EOMONTH(A6,0))</f>
        <v>0</v>
      </c>
      <c r="F6" s="27">
        <f t="shared" si="0"/>
        <v>0</v>
      </c>
    </row>
    <row r="7" spans="1:7">
      <c r="A7" s="29"/>
      <c r="D7" s="27"/>
      <c r="E7" s="27">
        <f>SUMIFS(Expenses!$H$2:$H$300,Expenses!$B$2:$B$300,B7,Expenses!$D$2:$D$300,C7,Expenses!$A$2:$A$300,"&gt;="&amp;EOMONTH(A7,-1)+1,Expenses!$A$2:$A$300,"&lt;="&amp;EOMONTH(A7,0))</f>
        <v>0</v>
      </c>
      <c r="F7" s="27">
        <f t="shared" si="0"/>
        <v>0</v>
      </c>
    </row>
    <row r="8" spans="1:7">
      <c r="A8" s="29"/>
      <c r="D8" s="27"/>
      <c r="E8" s="27">
        <f>SUMIFS(Expenses!$H$2:$H$300,Expenses!$B$2:$B$300,B8,Expenses!$D$2:$D$300,C8,Expenses!$A$2:$A$300,"&gt;="&amp;EOMONTH(A8,-1)+1,Expenses!$A$2:$A$300,"&lt;="&amp;EOMONTH(A8,0))</f>
        <v>0</v>
      </c>
      <c r="F8" s="27">
        <f t="shared" si="0"/>
        <v>0</v>
      </c>
    </row>
    <row r="9" spans="1:7">
      <c r="A9" s="29"/>
      <c r="D9" s="27"/>
      <c r="E9" s="27">
        <f>SUMIFS(Expenses!$H$2:$H$300,Expenses!$B$2:$B$300,B9,Expenses!$D$2:$D$300,C9,Expenses!$A$2:$A$300,"&gt;="&amp;EOMONTH(A9,-1)+1,Expenses!$A$2:$A$300,"&lt;="&amp;EOMONTH(A9,0))</f>
        <v>0</v>
      </c>
      <c r="F9" s="27">
        <f t="shared" si="0"/>
        <v>0</v>
      </c>
    </row>
    <row r="10" spans="1:7">
      <c r="A10" s="29"/>
      <c r="D10" s="27"/>
      <c r="E10" s="27">
        <f>SUMIFS(Expenses!$H$2:$H$300,Expenses!$B$2:$B$300,B10,Expenses!$D$2:$D$300,C10,Expenses!$A$2:$A$300,"&gt;="&amp;EOMONTH(A10,-1)+1,Expenses!$A$2:$A$300,"&lt;="&amp;EOMONTH(A10,0))</f>
        <v>0</v>
      </c>
      <c r="F10" s="27">
        <f t="shared" si="0"/>
        <v>0</v>
      </c>
    </row>
    <row r="11" spans="1:7">
      <c r="A11" s="29"/>
      <c r="D11" s="27"/>
      <c r="E11" s="27">
        <f>SUMIFS(Expenses!$H$2:$H$300,Expenses!$B$2:$B$300,B11,Expenses!$D$2:$D$300,C11,Expenses!$A$2:$A$300,"&gt;="&amp;EOMONTH(A11,-1)+1,Expenses!$A$2:$A$300,"&lt;="&amp;EOMONTH(A11,0))</f>
        <v>0</v>
      </c>
      <c r="F11" s="27">
        <f t="shared" si="0"/>
        <v>0</v>
      </c>
    </row>
    <row r="12" spans="1:7">
      <c r="A12" s="29"/>
      <c r="D12" s="27"/>
      <c r="E12" s="27">
        <f>SUMIFS(Expenses!$H$2:$H$300,Expenses!$B$2:$B$300,B12,Expenses!$D$2:$D$300,C12,Expenses!$A$2:$A$300,"&gt;="&amp;EOMONTH(A12,-1)+1,Expenses!$A$2:$A$300,"&lt;="&amp;EOMONTH(A12,0))</f>
        <v>0</v>
      </c>
      <c r="F12" s="27">
        <f t="shared" si="0"/>
        <v>0</v>
      </c>
    </row>
    <row r="13" spans="1:7">
      <c r="A13" s="29"/>
      <c r="D13" s="27"/>
      <c r="E13" s="27">
        <f>SUMIFS(Expenses!$H$2:$H$300,Expenses!$B$2:$B$300,B13,Expenses!$D$2:$D$300,C13,Expenses!$A$2:$A$300,"&gt;="&amp;EOMONTH(A13,-1)+1,Expenses!$A$2:$A$300,"&lt;="&amp;EOMONTH(A13,0))</f>
        <v>0</v>
      </c>
      <c r="F13" s="27">
        <f t="shared" si="0"/>
        <v>0</v>
      </c>
    </row>
    <row r="14" spans="1:7">
      <c r="A14" s="29"/>
      <c r="D14" s="27"/>
      <c r="E14" s="27">
        <f>SUMIFS(Expenses!$H$2:$H$300,Expenses!$B$2:$B$300,B14,Expenses!$D$2:$D$300,C14,Expenses!$A$2:$A$300,"&gt;="&amp;EOMONTH(A14,-1)+1,Expenses!$A$2:$A$300,"&lt;="&amp;EOMONTH(A14,0))</f>
        <v>0</v>
      </c>
      <c r="F14" s="27">
        <f t="shared" si="0"/>
        <v>0</v>
      </c>
    </row>
    <row r="15" spans="1:7">
      <c r="A15" s="29"/>
      <c r="D15" s="27"/>
      <c r="E15" s="27">
        <f>SUMIFS(Expenses!$H$2:$H$300,Expenses!$B$2:$B$300,B15,Expenses!$D$2:$D$300,C15,Expenses!$A$2:$A$300,"&gt;="&amp;EOMONTH(A15,-1)+1,Expenses!$A$2:$A$300,"&lt;="&amp;EOMONTH(A15,0))</f>
        <v>0</v>
      </c>
      <c r="F15" s="27">
        <f t="shared" si="0"/>
        <v>0</v>
      </c>
    </row>
    <row r="16" spans="1:7">
      <c r="A16" s="29"/>
      <c r="D16" s="27"/>
      <c r="E16" s="27">
        <f>SUMIFS(Expenses!$H$2:$H$300,Expenses!$B$2:$B$300,B16,Expenses!$D$2:$D$300,C16,Expenses!$A$2:$A$300,"&gt;="&amp;EOMONTH(A16,-1)+1,Expenses!$A$2:$A$300,"&lt;="&amp;EOMONTH(A16,0))</f>
        <v>0</v>
      </c>
      <c r="F16" s="27">
        <f t="shared" si="0"/>
        <v>0</v>
      </c>
    </row>
    <row r="17" spans="1:6">
      <c r="A17" s="29"/>
      <c r="D17" s="27"/>
      <c r="E17" s="27">
        <f>SUMIFS(Expenses!$H$2:$H$300,Expenses!$B$2:$B$300,B17,Expenses!$D$2:$D$300,C17,Expenses!$A$2:$A$300,"&gt;="&amp;EOMONTH(A17,-1)+1,Expenses!$A$2:$A$300,"&lt;="&amp;EOMONTH(A17,0))</f>
        <v>0</v>
      </c>
      <c r="F17" s="27">
        <f t="shared" si="0"/>
        <v>0</v>
      </c>
    </row>
    <row r="18" spans="1:6">
      <c r="A18" s="29"/>
      <c r="D18" s="27"/>
      <c r="E18" s="27">
        <f>SUMIFS(Expenses!$H$2:$H$300,Expenses!$B$2:$B$300,B18,Expenses!$D$2:$D$300,C18,Expenses!$A$2:$A$300,"&gt;="&amp;EOMONTH(A18,-1)+1,Expenses!$A$2:$A$300,"&lt;="&amp;EOMONTH(A18,0))</f>
        <v>0</v>
      </c>
      <c r="F18" s="27">
        <f t="shared" si="0"/>
        <v>0</v>
      </c>
    </row>
    <row r="19" spans="1:6">
      <c r="A19" s="29"/>
      <c r="D19" s="27"/>
      <c r="E19" s="27">
        <f>SUMIFS(Expenses!$H$2:$H$300,Expenses!$B$2:$B$300,B19,Expenses!$D$2:$D$300,C19,Expenses!$A$2:$A$300,"&gt;="&amp;EOMONTH(A19,-1)+1,Expenses!$A$2:$A$300,"&lt;="&amp;EOMONTH(A19,0))</f>
        <v>0</v>
      </c>
      <c r="F19" s="27">
        <f t="shared" si="0"/>
        <v>0</v>
      </c>
    </row>
    <row r="20" spans="1:6">
      <c r="A20" s="29"/>
      <c r="D20" s="27"/>
      <c r="E20" s="27">
        <f>SUMIFS(Expenses!$H$2:$H$300,Expenses!$B$2:$B$300,B20,Expenses!$D$2:$D$300,C20,Expenses!$A$2:$A$300,"&gt;="&amp;EOMONTH(A20,-1)+1,Expenses!$A$2:$A$300,"&lt;="&amp;EOMONTH(A20,0))</f>
        <v>0</v>
      </c>
      <c r="F20" s="27">
        <f t="shared" si="0"/>
        <v>0</v>
      </c>
    </row>
    <row r="21" spans="1:6">
      <c r="A21" s="29"/>
      <c r="D21" s="27"/>
      <c r="E21" s="27">
        <f>SUMIFS(Expenses!$H$2:$H$300,Expenses!$B$2:$B$300,B21,Expenses!$D$2:$D$300,C21,Expenses!$A$2:$A$300,"&gt;="&amp;EOMONTH(A21,-1)+1,Expenses!$A$2:$A$300,"&lt;="&amp;EOMONTH(A21,0))</f>
        <v>0</v>
      </c>
      <c r="F21" s="27">
        <f t="shared" si="0"/>
        <v>0</v>
      </c>
    </row>
    <row r="22" spans="1:6">
      <c r="A22" s="29"/>
      <c r="D22" s="27"/>
      <c r="E22" s="27">
        <f>SUMIFS(Expenses!$H$2:$H$300,Expenses!$B$2:$B$300,B22,Expenses!$D$2:$D$300,C22,Expenses!$A$2:$A$300,"&gt;="&amp;EOMONTH(A22,-1)+1,Expenses!$A$2:$A$300,"&lt;="&amp;EOMONTH(A22,0))</f>
        <v>0</v>
      </c>
      <c r="F22" s="27">
        <f t="shared" si="0"/>
        <v>0</v>
      </c>
    </row>
    <row r="23" spans="1:6">
      <c r="A23" s="29"/>
      <c r="D23" s="27"/>
      <c r="E23" s="27">
        <f>SUMIFS(Expenses!$H$2:$H$300,Expenses!$B$2:$B$300,B23,Expenses!$D$2:$D$300,C23,Expenses!$A$2:$A$300,"&gt;="&amp;EOMONTH(A23,-1)+1,Expenses!$A$2:$A$300,"&lt;="&amp;EOMONTH(A23,0))</f>
        <v>0</v>
      </c>
      <c r="F23" s="27">
        <f t="shared" si="0"/>
        <v>0</v>
      </c>
    </row>
    <row r="24" spans="1:6">
      <c r="A24" s="29"/>
      <c r="D24" s="27"/>
      <c r="E24" s="27">
        <f>SUMIFS(Expenses!$H$2:$H$300,Expenses!$B$2:$B$300,B24,Expenses!$D$2:$D$300,C24,Expenses!$A$2:$A$300,"&gt;="&amp;EOMONTH(A24,-1)+1,Expenses!$A$2:$A$300,"&lt;="&amp;EOMONTH(A24,0))</f>
        <v>0</v>
      </c>
      <c r="F24" s="27">
        <f t="shared" si="0"/>
        <v>0</v>
      </c>
    </row>
    <row r="25" spans="1:6">
      <c r="A25" s="29"/>
      <c r="D25" s="27"/>
      <c r="E25" s="27">
        <f>SUMIFS(Expenses!$H$2:$H$300,Expenses!$B$2:$B$300,B25,Expenses!$D$2:$D$300,C25,Expenses!$A$2:$A$300,"&gt;="&amp;EOMONTH(A25,-1)+1,Expenses!$A$2:$A$300,"&lt;="&amp;EOMONTH(A25,0))</f>
        <v>0</v>
      </c>
      <c r="F25" s="27">
        <f t="shared" si="0"/>
        <v>0</v>
      </c>
    </row>
    <row r="26" spans="1:6">
      <c r="A26" s="29"/>
      <c r="D26" s="27"/>
      <c r="E26" s="27">
        <f>SUMIFS(Expenses!$H$2:$H$300,Expenses!$B$2:$B$300,B26,Expenses!$D$2:$D$300,C26,Expenses!$A$2:$A$300,"&gt;="&amp;EOMONTH(A26,-1)+1,Expenses!$A$2:$A$300,"&lt;="&amp;EOMONTH(A26,0))</f>
        <v>0</v>
      </c>
      <c r="F26" s="27">
        <f t="shared" si="0"/>
        <v>0</v>
      </c>
    </row>
    <row r="27" spans="1:6">
      <c r="A27" s="29"/>
      <c r="D27" s="27"/>
      <c r="E27" s="27">
        <f>SUMIFS(Expenses!$H$2:$H$300,Expenses!$B$2:$B$300,B27,Expenses!$D$2:$D$300,C27,Expenses!$A$2:$A$300,"&gt;="&amp;EOMONTH(A27,-1)+1,Expenses!$A$2:$A$300,"&lt;="&amp;EOMONTH(A27,0))</f>
        <v>0</v>
      </c>
      <c r="F27" s="27">
        <f t="shared" si="0"/>
        <v>0</v>
      </c>
    </row>
    <row r="28" spans="1:6">
      <c r="A28" s="29"/>
      <c r="D28" s="27"/>
      <c r="E28" s="27">
        <f>SUMIFS(Expenses!$H$2:$H$300,Expenses!$B$2:$B$300,B28,Expenses!$D$2:$D$300,C28,Expenses!$A$2:$A$300,"&gt;="&amp;EOMONTH(A28,-1)+1,Expenses!$A$2:$A$300,"&lt;="&amp;EOMONTH(A28,0))</f>
        <v>0</v>
      </c>
      <c r="F28" s="27">
        <f t="shared" si="0"/>
        <v>0</v>
      </c>
    </row>
    <row r="29" spans="1:6">
      <c r="A29" s="29"/>
      <c r="D29" s="27"/>
      <c r="E29" s="27">
        <f>SUMIFS(Expenses!$H$2:$H$300,Expenses!$B$2:$B$300,B29,Expenses!$D$2:$D$300,C29,Expenses!$A$2:$A$300,"&gt;="&amp;EOMONTH(A29,-1)+1,Expenses!$A$2:$A$300,"&lt;="&amp;EOMONTH(A29,0))</f>
        <v>0</v>
      </c>
      <c r="F29" s="27">
        <f t="shared" si="0"/>
        <v>0</v>
      </c>
    </row>
    <row r="30" spans="1:6">
      <c r="A30" s="29"/>
      <c r="D30" s="27"/>
      <c r="E30" s="27">
        <f>SUMIFS(Expenses!$H$2:$H$300,Expenses!$B$2:$B$300,B30,Expenses!$D$2:$D$300,C30,Expenses!$A$2:$A$300,"&gt;="&amp;EOMONTH(A30,-1)+1,Expenses!$A$2:$A$300,"&lt;="&amp;EOMONTH(A30,0))</f>
        <v>0</v>
      </c>
      <c r="F30" s="27">
        <f t="shared" si="0"/>
        <v>0</v>
      </c>
    </row>
    <row r="31" spans="1:6">
      <c r="A31" s="29"/>
      <c r="D31" s="27"/>
      <c r="E31" s="27">
        <f>SUMIFS(Expenses!$H$2:$H$300,Expenses!$B$2:$B$300,B31,Expenses!$D$2:$D$300,C31,Expenses!$A$2:$A$300,"&gt;="&amp;EOMONTH(A31,-1)+1,Expenses!$A$2:$A$300,"&lt;="&amp;EOMONTH(A31,0))</f>
        <v>0</v>
      </c>
      <c r="F31" s="27">
        <f t="shared" si="0"/>
        <v>0</v>
      </c>
    </row>
    <row r="32" spans="1:6">
      <c r="A32" s="29"/>
      <c r="D32" s="27"/>
      <c r="E32" s="27">
        <f>SUMIFS(Expenses!$H$2:$H$300,Expenses!$B$2:$B$300,B32,Expenses!$D$2:$D$300,C32,Expenses!$A$2:$A$300,"&gt;="&amp;EOMONTH(A32,-1)+1,Expenses!$A$2:$A$300,"&lt;="&amp;EOMONTH(A32,0))</f>
        <v>0</v>
      </c>
      <c r="F32" s="27">
        <f t="shared" si="0"/>
        <v>0</v>
      </c>
    </row>
    <row r="33" spans="1:6">
      <c r="A33" s="29"/>
      <c r="D33" s="27"/>
      <c r="E33" s="27">
        <f>SUMIFS(Expenses!$H$2:$H$300,Expenses!$B$2:$B$300,B33,Expenses!$D$2:$D$300,C33,Expenses!$A$2:$A$300,"&gt;="&amp;EOMONTH(A33,-1)+1,Expenses!$A$2:$A$300,"&lt;="&amp;EOMONTH(A33,0))</f>
        <v>0</v>
      </c>
      <c r="F33" s="27">
        <f t="shared" si="0"/>
        <v>0</v>
      </c>
    </row>
    <row r="34" spans="1:6">
      <c r="A34" s="29"/>
      <c r="D34" s="27"/>
      <c r="E34" s="27">
        <f>SUMIFS(Expenses!$H$2:$H$300,Expenses!$B$2:$B$300,B34,Expenses!$D$2:$D$300,C34,Expenses!$A$2:$A$300,"&gt;="&amp;EOMONTH(A34,-1)+1,Expenses!$A$2:$A$300,"&lt;="&amp;EOMONTH(A34,0))</f>
        <v>0</v>
      </c>
      <c r="F34" s="27">
        <f t="shared" si="0"/>
        <v>0</v>
      </c>
    </row>
    <row r="35" spans="1:6">
      <c r="A35" s="29"/>
      <c r="D35" s="27"/>
      <c r="E35" s="27">
        <f>SUMIFS(Expenses!$H$2:$H$300,Expenses!$B$2:$B$300,B35,Expenses!$D$2:$D$300,C35,Expenses!$A$2:$A$300,"&gt;="&amp;EOMONTH(A35,-1)+1,Expenses!$A$2:$A$300,"&lt;="&amp;EOMONTH(A35,0))</f>
        <v>0</v>
      </c>
      <c r="F35" s="27">
        <f t="shared" si="0"/>
        <v>0</v>
      </c>
    </row>
    <row r="36" spans="1:6">
      <c r="A36" s="29"/>
      <c r="D36" s="27"/>
      <c r="E36" s="27">
        <f>SUMIFS(Expenses!$H$2:$H$300,Expenses!$B$2:$B$300,B36,Expenses!$D$2:$D$300,C36,Expenses!$A$2:$A$300,"&gt;="&amp;EOMONTH(A36,-1)+1,Expenses!$A$2:$A$300,"&lt;="&amp;EOMONTH(A36,0))</f>
        <v>0</v>
      </c>
      <c r="F36" s="27">
        <f t="shared" si="0"/>
        <v>0</v>
      </c>
    </row>
    <row r="37" spans="1:6">
      <c r="A37" s="29"/>
      <c r="D37" s="27"/>
      <c r="E37" s="27">
        <f>SUMIFS(Expenses!$H$2:$H$300,Expenses!$B$2:$B$300,B37,Expenses!$D$2:$D$300,C37,Expenses!$A$2:$A$300,"&gt;="&amp;EOMONTH(A37,-1)+1,Expenses!$A$2:$A$300,"&lt;="&amp;EOMONTH(A37,0))</f>
        <v>0</v>
      </c>
      <c r="F37" s="27">
        <f t="shared" si="0"/>
        <v>0</v>
      </c>
    </row>
    <row r="38" spans="1:6">
      <c r="A38" s="29"/>
      <c r="D38" s="27"/>
      <c r="E38" s="27">
        <f>SUMIFS(Expenses!$H$2:$H$300,Expenses!$B$2:$B$300,B38,Expenses!$D$2:$D$300,C38,Expenses!$A$2:$A$300,"&gt;="&amp;EOMONTH(A38,-1)+1,Expenses!$A$2:$A$300,"&lt;="&amp;EOMONTH(A38,0))</f>
        <v>0</v>
      </c>
      <c r="F38" s="27">
        <f t="shared" si="0"/>
        <v>0</v>
      </c>
    </row>
    <row r="39" spans="1:6">
      <c r="A39" s="29"/>
      <c r="D39" s="27"/>
      <c r="E39" s="27">
        <f>SUMIFS(Expenses!$H$2:$H$300,Expenses!$B$2:$B$300,B39,Expenses!$D$2:$D$300,C39,Expenses!$A$2:$A$300,"&gt;="&amp;EOMONTH(A39,-1)+1,Expenses!$A$2:$A$300,"&lt;="&amp;EOMONTH(A39,0))</f>
        <v>0</v>
      </c>
      <c r="F39" s="27">
        <f t="shared" si="0"/>
        <v>0</v>
      </c>
    </row>
    <row r="40" spans="1:6">
      <c r="A40" s="29"/>
      <c r="D40" s="27"/>
      <c r="E40" s="27">
        <f>SUMIFS(Expenses!$H$2:$H$300,Expenses!$B$2:$B$300,B40,Expenses!$D$2:$D$300,C40,Expenses!$A$2:$A$300,"&gt;="&amp;EOMONTH(A40,-1)+1,Expenses!$A$2:$A$300,"&lt;="&amp;EOMONTH(A40,0))</f>
        <v>0</v>
      </c>
      <c r="F40" s="27">
        <f t="shared" si="0"/>
        <v>0</v>
      </c>
    </row>
    <row r="41" spans="1:6">
      <c r="A41" s="29"/>
      <c r="D41" s="27"/>
      <c r="E41" s="27">
        <f>SUMIFS(Expenses!$H$2:$H$300,Expenses!$B$2:$B$300,B41,Expenses!$D$2:$D$300,C41,Expenses!$A$2:$A$300,"&gt;="&amp;EOMONTH(A41,-1)+1,Expenses!$A$2:$A$300,"&lt;="&amp;EOMONTH(A41,0))</f>
        <v>0</v>
      </c>
      <c r="F41" s="27">
        <f t="shared" si="0"/>
        <v>0</v>
      </c>
    </row>
    <row r="42" spans="1:6">
      <c r="A42" s="29"/>
      <c r="D42" s="27"/>
      <c r="E42" s="27">
        <f>SUMIFS(Expenses!$H$2:$H$300,Expenses!$B$2:$B$300,B42,Expenses!$D$2:$D$300,C42,Expenses!$A$2:$A$300,"&gt;="&amp;EOMONTH(A42,-1)+1,Expenses!$A$2:$A$300,"&lt;="&amp;EOMONTH(A42,0))</f>
        <v>0</v>
      </c>
      <c r="F42" s="27">
        <f t="shared" si="0"/>
        <v>0</v>
      </c>
    </row>
    <row r="43" spans="1:6">
      <c r="A43" s="29"/>
      <c r="D43" s="27"/>
      <c r="E43" s="27">
        <f>SUMIFS(Expenses!$H$2:$H$300,Expenses!$B$2:$B$300,B43,Expenses!$D$2:$D$300,C43,Expenses!$A$2:$A$300,"&gt;="&amp;EOMONTH(A43,-1)+1,Expenses!$A$2:$A$300,"&lt;="&amp;EOMONTH(A43,0))</f>
        <v>0</v>
      </c>
      <c r="F43" s="27">
        <f t="shared" si="0"/>
        <v>0</v>
      </c>
    </row>
    <row r="44" spans="1:6">
      <c r="A44" s="29"/>
      <c r="D44" s="27"/>
      <c r="E44" s="27">
        <f>SUMIFS(Expenses!$H$2:$H$300,Expenses!$B$2:$B$300,B44,Expenses!$D$2:$D$300,C44,Expenses!$A$2:$A$300,"&gt;="&amp;EOMONTH(A44,-1)+1,Expenses!$A$2:$A$300,"&lt;="&amp;EOMONTH(A44,0))</f>
        <v>0</v>
      </c>
      <c r="F44" s="27">
        <f t="shared" si="0"/>
        <v>0</v>
      </c>
    </row>
    <row r="45" spans="1:6">
      <c r="A45" s="29"/>
      <c r="D45" s="27"/>
      <c r="E45" s="27">
        <f>SUMIFS(Expenses!$H$2:$H$300,Expenses!$B$2:$B$300,B45,Expenses!$D$2:$D$300,C45,Expenses!$A$2:$A$300,"&gt;="&amp;EOMONTH(A45,-1)+1,Expenses!$A$2:$A$300,"&lt;="&amp;EOMONTH(A45,0))</f>
        <v>0</v>
      </c>
      <c r="F45" s="27">
        <f t="shared" si="0"/>
        <v>0</v>
      </c>
    </row>
    <row r="46" spans="1:6">
      <c r="A46" s="29"/>
      <c r="D46" s="27"/>
      <c r="E46" s="27">
        <f>SUMIFS(Expenses!$H$2:$H$300,Expenses!$B$2:$B$300,B46,Expenses!$D$2:$D$300,C46,Expenses!$A$2:$A$300,"&gt;="&amp;EOMONTH(A46,-1)+1,Expenses!$A$2:$A$300,"&lt;="&amp;EOMONTH(A46,0))</f>
        <v>0</v>
      </c>
      <c r="F46" s="27">
        <f t="shared" si="0"/>
        <v>0</v>
      </c>
    </row>
    <row r="47" spans="1:6">
      <c r="A47" s="29"/>
      <c r="D47" s="27"/>
      <c r="E47" s="27">
        <f>SUMIFS(Expenses!$H$2:$H$300,Expenses!$B$2:$B$300,B47,Expenses!$D$2:$D$300,C47,Expenses!$A$2:$A$300,"&gt;="&amp;EOMONTH(A47,-1)+1,Expenses!$A$2:$A$300,"&lt;="&amp;EOMONTH(A47,0))</f>
        <v>0</v>
      </c>
      <c r="F47" s="27">
        <f t="shared" si="0"/>
        <v>0</v>
      </c>
    </row>
    <row r="48" spans="1:6">
      <c r="A48" s="29"/>
      <c r="D48" s="27"/>
      <c r="E48" s="27">
        <f>SUMIFS(Expenses!$H$2:$H$300,Expenses!$B$2:$B$300,B48,Expenses!$D$2:$D$300,C48,Expenses!$A$2:$A$300,"&gt;="&amp;EOMONTH(A48,-1)+1,Expenses!$A$2:$A$300,"&lt;="&amp;EOMONTH(A48,0))</f>
        <v>0</v>
      </c>
      <c r="F48" s="27">
        <f t="shared" si="0"/>
        <v>0</v>
      </c>
    </row>
    <row r="49" spans="1:6">
      <c r="A49" s="29"/>
      <c r="D49" s="27"/>
      <c r="E49" s="27">
        <f>SUMIFS(Expenses!$H$2:$H$300,Expenses!$B$2:$B$300,B49,Expenses!$D$2:$D$300,C49,Expenses!$A$2:$A$300,"&gt;="&amp;EOMONTH(A49,-1)+1,Expenses!$A$2:$A$300,"&lt;="&amp;EOMONTH(A49,0))</f>
        <v>0</v>
      </c>
      <c r="F49" s="27">
        <f t="shared" si="0"/>
        <v>0</v>
      </c>
    </row>
    <row r="50" spans="1:6">
      <c r="A50" s="29"/>
      <c r="D50" s="27"/>
      <c r="E50" s="27">
        <f>SUMIFS(Expenses!$H$2:$H$300,Expenses!$B$2:$B$300,B50,Expenses!$D$2:$D$300,C50,Expenses!$A$2:$A$300,"&gt;="&amp;EOMONTH(A50,-1)+1,Expenses!$A$2:$A$300,"&lt;="&amp;EOMONTH(A50,0))</f>
        <v>0</v>
      </c>
      <c r="F50" s="27">
        <f t="shared" si="0"/>
        <v>0</v>
      </c>
    </row>
    <row r="51" spans="1:6">
      <c r="A51" s="29"/>
      <c r="D51" s="27"/>
      <c r="E51" s="27">
        <f>SUMIFS(Expenses!$H$2:$H$300,Expenses!$B$2:$B$300,B51,Expenses!$D$2:$D$300,C51,Expenses!$A$2:$A$300,"&gt;="&amp;EOMONTH(A51,-1)+1,Expenses!$A$2:$A$300,"&lt;="&amp;EOMONTH(A51,0))</f>
        <v>0</v>
      </c>
      <c r="F51" s="27">
        <f t="shared" si="0"/>
        <v>0</v>
      </c>
    </row>
    <row r="52" spans="1:6">
      <c r="A52" s="29"/>
      <c r="D52" s="27"/>
      <c r="E52" s="27">
        <f>SUMIFS(Expenses!$H$2:$H$300,Expenses!$B$2:$B$300,B52,Expenses!$D$2:$D$300,C52,Expenses!$A$2:$A$300,"&gt;="&amp;EOMONTH(A52,-1)+1,Expenses!$A$2:$A$300,"&lt;="&amp;EOMONTH(A52,0))</f>
        <v>0</v>
      </c>
      <c r="F52" s="27">
        <f t="shared" si="0"/>
        <v>0</v>
      </c>
    </row>
    <row r="53" spans="1:6">
      <c r="A53" s="29"/>
      <c r="D53" s="27"/>
      <c r="E53" s="27">
        <f>SUMIFS(Expenses!$H$2:$H$300,Expenses!$B$2:$B$300,B53,Expenses!$D$2:$D$300,C53,Expenses!$A$2:$A$300,"&gt;="&amp;EOMONTH(A53,-1)+1,Expenses!$A$2:$A$300,"&lt;="&amp;EOMONTH(A53,0))</f>
        <v>0</v>
      </c>
      <c r="F53" s="27">
        <f t="shared" si="0"/>
        <v>0</v>
      </c>
    </row>
    <row r="54" spans="1:6">
      <c r="A54" s="29"/>
      <c r="D54" s="27"/>
      <c r="E54" s="27">
        <f>SUMIFS(Expenses!$H$2:$H$300,Expenses!$B$2:$B$300,B54,Expenses!$D$2:$D$300,C54,Expenses!$A$2:$A$300,"&gt;="&amp;EOMONTH(A54,-1)+1,Expenses!$A$2:$A$300,"&lt;="&amp;EOMONTH(A54,0))</f>
        <v>0</v>
      </c>
      <c r="F54" s="27">
        <f t="shared" si="0"/>
        <v>0</v>
      </c>
    </row>
    <row r="55" spans="1:6">
      <c r="A55" s="29"/>
      <c r="D55" s="27"/>
      <c r="E55" s="27">
        <f>SUMIFS(Expenses!$H$2:$H$300,Expenses!$B$2:$B$300,B55,Expenses!$D$2:$D$300,C55,Expenses!$A$2:$A$300,"&gt;="&amp;EOMONTH(A55,-1)+1,Expenses!$A$2:$A$300,"&lt;="&amp;EOMONTH(A55,0))</f>
        <v>0</v>
      </c>
      <c r="F55" s="27">
        <f t="shared" si="0"/>
        <v>0</v>
      </c>
    </row>
    <row r="56" spans="1:6">
      <c r="A56" s="29"/>
      <c r="D56" s="27"/>
      <c r="E56" s="27">
        <f>SUMIFS(Expenses!$H$2:$H$300,Expenses!$B$2:$B$300,B56,Expenses!$D$2:$D$300,C56,Expenses!$A$2:$A$300,"&gt;="&amp;EOMONTH(A56,-1)+1,Expenses!$A$2:$A$300,"&lt;="&amp;EOMONTH(A56,0))</f>
        <v>0</v>
      </c>
      <c r="F56" s="27">
        <f t="shared" si="0"/>
        <v>0</v>
      </c>
    </row>
    <row r="57" spans="1:6">
      <c r="A57" s="29"/>
      <c r="D57" s="27"/>
      <c r="E57" s="27">
        <f>SUMIFS(Expenses!$H$2:$H$300,Expenses!$B$2:$B$300,B57,Expenses!$D$2:$D$300,C57,Expenses!$A$2:$A$300,"&gt;="&amp;EOMONTH(A57,-1)+1,Expenses!$A$2:$A$300,"&lt;="&amp;EOMONTH(A57,0))</f>
        <v>0</v>
      </c>
      <c r="F57" s="27">
        <f t="shared" si="0"/>
        <v>0</v>
      </c>
    </row>
    <row r="58" spans="1:6">
      <c r="A58" s="29"/>
      <c r="D58" s="27"/>
      <c r="E58" s="27">
        <f>SUMIFS(Expenses!$H$2:$H$300,Expenses!$B$2:$B$300,B58,Expenses!$D$2:$D$300,C58,Expenses!$A$2:$A$300,"&gt;="&amp;EOMONTH(A58,-1)+1,Expenses!$A$2:$A$300,"&lt;="&amp;EOMONTH(A58,0))</f>
        <v>0</v>
      </c>
      <c r="F58" s="27">
        <f t="shared" si="0"/>
        <v>0</v>
      </c>
    </row>
    <row r="59" spans="1:6">
      <c r="A59" s="29"/>
      <c r="D59" s="27"/>
      <c r="E59" s="27">
        <f>SUMIFS(Expenses!$H$2:$H$300,Expenses!$B$2:$B$300,B59,Expenses!$D$2:$D$300,C59,Expenses!$A$2:$A$300,"&gt;="&amp;EOMONTH(A59,-1)+1,Expenses!$A$2:$A$300,"&lt;="&amp;EOMONTH(A59,0))</f>
        <v>0</v>
      </c>
      <c r="F59" s="27">
        <f t="shared" si="0"/>
        <v>0</v>
      </c>
    </row>
    <row r="60" spans="1:6">
      <c r="A60" s="29"/>
      <c r="D60" s="27"/>
      <c r="E60" s="27">
        <f>SUMIFS(Expenses!$H$2:$H$300,Expenses!$B$2:$B$300,B60,Expenses!$D$2:$D$300,C60,Expenses!$A$2:$A$300,"&gt;="&amp;EOMONTH(A60,-1)+1,Expenses!$A$2:$A$300,"&lt;="&amp;EOMONTH(A60,0))</f>
        <v>0</v>
      </c>
      <c r="F60" s="27">
        <f t="shared" si="0"/>
        <v>0</v>
      </c>
    </row>
    <row r="61" spans="1:6">
      <c r="A61" s="29"/>
      <c r="D61" s="27"/>
      <c r="E61" s="27">
        <f>SUMIFS(Expenses!$H$2:$H$300,Expenses!$B$2:$B$300,B61,Expenses!$D$2:$D$300,C61,Expenses!$A$2:$A$300,"&gt;="&amp;EOMONTH(A61,-1)+1,Expenses!$A$2:$A$300,"&lt;="&amp;EOMONTH(A61,0))</f>
        <v>0</v>
      </c>
      <c r="F61" s="27">
        <f t="shared" si="0"/>
        <v>0</v>
      </c>
    </row>
    <row r="62" spans="1:6">
      <c r="A62" s="29"/>
      <c r="D62" s="27"/>
      <c r="E62" s="27">
        <f>SUMIFS(Expenses!$H$2:$H$300,Expenses!$B$2:$B$300,B62,Expenses!$D$2:$D$300,C62,Expenses!$A$2:$A$300,"&gt;="&amp;EOMONTH(A62,-1)+1,Expenses!$A$2:$A$300,"&lt;="&amp;EOMONTH(A62,0))</f>
        <v>0</v>
      </c>
      <c r="F62" s="27">
        <f t="shared" si="0"/>
        <v>0</v>
      </c>
    </row>
    <row r="63" spans="1:6">
      <c r="A63" s="29"/>
      <c r="D63" s="27"/>
      <c r="E63" s="27">
        <f>SUMIFS(Expenses!$H$2:$H$300,Expenses!$B$2:$B$300,B63,Expenses!$D$2:$D$300,C63,Expenses!$A$2:$A$300,"&gt;="&amp;EOMONTH(A63,-1)+1,Expenses!$A$2:$A$300,"&lt;="&amp;EOMONTH(A63,0))</f>
        <v>0</v>
      </c>
      <c r="F63" s="27">
        <f t="shared" si="0"/>
        <v>0</v>
      </c>
    </row>
    <row r="64" spans="1:6">
      <c r="A64" s="29"/>
      <c r="D64" s="27"/>
      <c r="E64" s="27">
        <f>SUMIFS(Expenses!$H$2:$H$300,Expenses!$B$2:$B$300,B64,Expenses!$D$2:$D$300,C64,Expenses!$A$2:$A$300,"&gt;="&amp;EOMONTH(A64,-1)+1,Expenses!$A$2:$A$300,"&lt;="&amp;EOMONTH(A64,0))</f>
        <v>0</v>
      </c>
      <c r="F64" s="27">
        <f t="shared" si="0"/>
        <v>0</v>
      </c>
    </row>
    <row r="65" spans="1:6">
      <c r="A65" s="29"/>
      <c r="D65" s="27"/>
      <c r="E65" s="27">
        <f>SUMIFS(Expenses!$H$2:$H$300,Expenses!$B$2:$B$300,B65,Expenses!$D$2:$D$300,C65,Expenses!$A$2:$A$300,"&gt;="&amp;EOMONTH(A65,-1)+1,Expenses!$A$2:$A$300,"&lt;="&amp;EOMONTH(A65,0))</f>
        <v>0</v>
      </c>
      <c r="F65" s="27">
        <f t="shared" si="0"/>
        <v>0</v>
      </c>
    </row>
    <row r="66" spans="1:6">
      <c r="A66" s="29"/>
      <c r="D66" s="27"/>
      <c r="E66" s="27">
        <f>SUMIFS(Expenses!$H$2:$H$300,Expenses!$B$2:$B$300,B66,Expenses!$D$2:$D$300,C66,Expenses!$A$2:$A$300,"&gt;="&amp;EOMONTH(A66,-1)+1,Expenses!$A$2:$A$300,"&lt;="&amp;EOMONTH(A66,0))</f>
        <v>0</v>
      </c>
      <c r="F66" s="27">
        <f t="shared" ref="F66:F129" si="1">D66-E66</f>
        <v>0</v>
      </c>
    </row>
    <row r="67" spans="1:6">
      <c r="A67" s="29"/>
      <c r="D67" s="27"/>
      <c r="E67" s="27">
        <f>SUMIFS(Expenses!$H$2:$H$300,Expenses!$B$2:$B$300,B67,Expenses!$D$2:$D$300,C67,Expenses!$A$2:$A$300,"&gt;="&amp;EOMONTH(A67,-1)+1,Expenses!$A$2:$A$300,"&lt;="&amp;EOMONTH(A67,0))</f>
        <v>0</v>
      </c>
      <c r="F67" s="27">
        <f t="shared" si="1"/>
        <v>0</v>
      </c>
    </row>
    <row r="68" spans="1:6">
      <c r="A68" s="29"/>
      <c r="D68" s="27"/>
      <c r="E68" s="27">
        <f>SUMIFS(Expenses!$H$2:$H$300,Expenses!$B$2:$B$300,B68,Expenses!$D$2:$D$300,C68,Expenses!$A$2:$A$300,"&gt;="&amp;EOMONTH(A68,-1)+1,Expenses!$A$2:$A$300,"&lt;="&amp;EOMONTH(A68,0))</f>
        <v>0</v>
      </c>
      <c r="F68" s="27">
        <f t="shared" si="1"/>
        <v>0</v>
      </c>
    </row>
    <row r="69" spans="1:6">
      <c r="A69" s="29"/>
      <c r="D69" s="27"/>
      <c r="E69" s="27">
        <f>SUMIFS(Expenses!$H$2:$H$300,Expenses!$B$2:$B$300,B69,Expenses!$D$2:$D$300,C69,Expenses!$A$2:$A$300,"&gt;="&amp;EOMONTH(A69,-1)+1,Expenses!$A$2:$A$300,"&lt;="&amp;EOMONTH(A69,0))</f>
        <v>0</v>
      </c>
      <c r="F69" s="27">
        <f t="shared" si="1"/>
        <v>0</v>
      </c>
    </row>
    <row r="70" spans="1:6">
      <c r="A70" s="29"/>
      <c r="D70" s="27"/>
      <c r="E70" s="27">
        <f>SUMIFS(Expenses!$H$2:$H$300,Expenses!$B$2:$B$300,B70,Expenses!$D$2:$D$300,C70,Expenses!$A$2:$A$300,"&gt;="&amp;EOMONTH(A70,-1)+1,Expenses!$A$2:$A$300,"&lt;="&amp;EOMONTH(A70,0))</f>
        <v>0</v>
      </c>
      <c r="F70" s="27">
        <f t="shared" si="1"/>
        <v>0</v>
      </c>
    </row>
    <row r="71" spans="1:6">
      <c r="A71" s="29"/>
      <c r="D71" s="27"/>
      <c r="E71" s="27">
        <f>SUMIFS(Expenses!$H$2:$H$300,Expenses!$B$2:$B$300,B71,Expenses!$D$2:$D$300,C71,Expenses!$A$2:$A$300,"&gt;="&amp;EOMONTH(A71,-1)+1,Expenses!$A$2:$A$300,"&lt;="&amp;EOMONTH(A71,0))</f>
        <v>0</v>
      </c>
      <c r="F71" s="27">
        <f t="shared" si="1"/>
        <v>0</v>
      </c>
    </row>
    <row r="72" spans="1:6">
      <c r="A72" s="29"/>
      <c r="D72" s="27"/>
      <c r="E72" s="27">
        <f>SUMIFS(Expenses!$H$2:$H$300,Expenses!$B$2:$B$300,B72,Expenses!$D$2:$D$300,C72,Expenses!$A$2:$A$300,"&gt;="&amp;EOMONTH(A72,-1)+1,Expenses!$A$2:$A$300,"&lt;="&amp;EOMONTH(A72,0))</f>
        <v>0</v>
      </c>
      <c r="F72" s="27">
        <f t="shared" si="1"/>
        <v>0</v>
      </c>
    </row>
    <row r="73" spans="1:6">
      <c r="A73" s="29"/>
      <c r="D73" s="27"/>
      <c r="E73" s="27">
        <f>SUMIFS(Expenses!$H$2:$H$300,Expenses!$B$2:$B$300,B73,Expenses!$D$2:$D$300,C73,Expenses!$A$2:$A$300,"&gt;="&amp;EOMONTH(A73,-1)+1,Expenses!$A$2:$A$300,"&lt;="&amp;EOMONTH(A73,0))</f>
        <v>0</v>
      </c>
      <c r="F73" s="27">
        <f t="shared" si="1"/>
        <v>0</v>
      </c>
    </row>
    <row r="74" spans="1:6">
      <c r="A74" s="29"/>
      <c r="D74" s="27"/>
      <c r="E74" s="27">
        <f>SUMIFS(Expenses!$H$2:$H$300,Expenses!$B$2:$B$300,B74,Expenses!$D$2:$D$300,C74,Expenses!$A$2:$A$300,"&gt;="&amp;EOMONTH(A74,-1)+1,Expenses!$A$2:$A$300,"&lt;="&amp;EOMONTH(A74,0))</f>
        <v>0</v>
      </c>
      <c r="F74" s="27">
        <f t="shared" si="1"/>
        <v>0</v>
      </c>
    </row>
    <row r="75" spans="1:6">
      <c r="A75" s="29"/>
      <c r="D75" s="27"/>
      <c r="E75" s="27">
        <f>SUMIFS(Expenses!$H$2:$H$300,Expenses!$B$2:$B$300,B75,Expenses!$D$2:$D$300,C75,Expenses!$A$2:$A$300,"&gt;="&amp;EOMONTH(A75,-1)+1,Expenses!$A$2:$A$300,"&lt;="&amp;EOMONTH(A75,0))</f>
        <v>0</v>
      </c>
      <c r="F75" s="27">
        <f t="shared" si="1"/>
        <v>0</v>
      </c>
    </row>
    <row r="76" spans="1:6">
      <c r="A76" s="29"/>
      <c r="D76" s="27"/>
      <c r="E76" s="27">
        <f>SUMIFS(Expenses!$H$2:$H$300,Expenses!$B$2:$B$300,B76,Expenses!$D$2:$D$300,C76,Expenses!$A$2:$A$300,"&gt;="&amp;EOMONTH(A76,-1)+1,Expenses!$A$2:$A$300,"&lt;="&amp;EOMONTH(A76,0))</f>
        <v>0</v>
      </c>
      <c r="F76" s="27">
        <f t="shared" si="1"/>
        <v>0</v>
      </c>
    </row>
    <row r="77" spans="1:6">
      <c r="A77" s="29"/>
      <c r="D77" s="27"/>
      <c r="E77" s="27">
        <f>SUMIFS(Expenses!$H$2:$H$300,Expenses!$B$2:$B$300,B77,Expenses!$D$2:$D$300,C77,Expenses!$A$2:$A$300,"&gt;="&amp;EOMONTH(A77,-1)+1,Expenses!$A$2:$A$300,"&lt;="&amp;EOMONTH(A77,0))</f>
        <v>0</v>
      </c>
      <c r="F77" s="27">
        <f t="shared" si="1"/>
        <v>0</v>
      </c>
    </row>
    <row r="78" spans="1:6">
      <c r="A78" s="29"/>
      <c r="D78" s="27"/>
      <c r="E78" s="27">
        <f>SUMIFS(Expenses!$H$2:$H$300,Expenses!$B$2:$B$300,B78,Expenses!$D$2:$D$300,C78,Expenses!$A$2:$A$300,"&gt;="&amp;EOMONTH(A78,-1)+1,Expenses!$A$2:$A$300,"&lt;="&amp;EOMONTH(A78,0))</f>
        <v>0</v>
      </c>
      <c r="F78" s="27">
        <f t="shared" si="1"/>
        <v>0</v>
      </c>
    </row>
    <row r="79" spans="1:6">
      <c r="A79" s="29"/>
      <c r="D79" s="27"/>
      <c r="E79" s="27">
        <f>SUMIFS(Expenses!$H$2:$H$300,Expenses!$B$2:$B$300,B79,Expenses!$D$2:$D$300,C79,Expenses!$A$2:$A$300,"&gt;="&amp;EOMONTH(A79,-1)+1,Expenses!$A$2:$A$300,"&lt;="&amp;EOMONTH(A79,0))</f>
        <v>0</v>
      </c>
      <c r="F79" s="27">
        <f t="shared" si="1"/>
        <v>0</v>
      </c>
    </row>
    <row r="80" spans="1:6">
      <c r="A80" s="29"/>
      <c r="D80" s="27"/>
      <c r="E80" s="27">
        <f>SUMIFS(Expenses!$H$2:$H$300,Expenses!$B$2:$B$300,B80,Expenses!$D$2:$D$300,C80,Expenses!$A$2:$A$300,"&gt;="&amp;EOMONTH(A80,-1)+1,Expenses!$A$2:$A$300,"&lt;="&amp;EOMONTH(A80,0))</f>
        <v>0</v>
      </c>
      <c r="F80" s="27">
        <f t="shared" si="1"/>
        <v>0</v>
      </c>
    </row>
    <row r="81" spans="1:6">
      <c r="A81" s="29"/>
      <c r="D81" s="27"/>
      <c r="E81" s="27">
        <f>SUMIFS(Expenses!$H$2:$H$300,Expenses!$B$2:$B$300,B81,Expenses!$D$2:$D$300,C81,Expenses!$A$2:$A$300,"&gt;="&amp;EOMONTH(A81,-1)+1,Expenses!$A$2:$A$300,"&lt;="&amp;EOMONTH(A81,0))</f>
        <v>0</v>
      </c>
      <c r="F81" s="27">
        <f t="shared" si="1"/>
        <v>0</v>
      </c>
    </row>
    <row r="82" spans="1:6">
      <c r="A82" s="29"/>
      <c r="D82" s="27"/>
      <c r="E82" s="27">
        <f>SUMIFS(Expenses!$H$2:$H$300,Expenses!$B$2:$B$300,B82,Expenses!$D$2:$D$300,C82,Expenses!$A$2:$A$300,"&gt;="&amp;EOMONTH(A82,-1)+1,Expenses!$A$2:$A$300,"&lt;="&amp;EOMONTH(A82,0))</f>
        <v>0</v>
      </c>
      <c r="F82" s="27">
        <f t="shared" si="1"/>
        <v>0</v>
      </c>
    </row>
    <row r="83" spans="1:6">
      <c r="A83" s="29"/>
      <c r="D83" s="27"/>
      <c r="E83" s="27">
        <f>SUMIFS(Expenses!$H$2:$H$300,Expenses!$B$2:$B$300,B83,Expenses!$D$2:$D$300,C83,Expenses!$A$2:$A$300,"&gt;="&amp;EOMONTH(A83,-1)+1,Expenses!$A$2:$A$300,"&lt;="&amp;EOMONTH(A83,0))</f>
        <v>0</v>
      </c>
      <c r="F83" s="27">
        <f t="shared" si="1"/>
        <v>0</v>
      </c>
    </row>
    <row r="84" spans="1:6">
      <c r="A84" s="29"/>
      <c r="D84" s="27"/>
      <c r="E84" s="27">
        <f>SUMIFS(Expenses!$H$2:$H$300,Expenses!$B$2:$B$300,B84,Expenses!$D$2:$D$300,C84,Expenses!$A$2:$A$300,"&gt;="&amp;EOMONTH(A84,-1)+1,Expenses!$A$2:$A$300,"&lt;="&amp;EOMONTH(A84,0))</f>
        <v>0</v>
      </c>
      <c r="F84" s="27">
        <f t="shared" si="1"/>
        <v>0</v>
      </c>
    </row>
    <row r="85" spans="1:6">
      <c r="A85" s="29"/>
      <c r="D85" s="27"/>
      <c r="E85" s="27">
        <f>SUMIFS(Expenses!$H$2:$H$300,Expenses!$B$2:$B$300,B85,Expenses!$D$2:$D$300,C85,Expenses!$A$2:$A$300,"&gt;="&amp;EOMONTH(A85,-1)+1,Expenses!$A$2:$A$300,"&lt;="&amp;EOMONTH(A85,0))</f>
        <v>0</v>
      </c>
      <c r="F85" s="27">
        <f t="shared" si="1"/>
        <v>0</v>
      </c>
    </row>
    <row r="86" spans="1:6">
      <c r="A86" s="29"/>
      <c r="D86" s="27"/>
      <c r="E86" s="27">
        <f>SUMIFS(Expenses!$H$2:$H$300,Expenses!$B$2:$B$300,B86,Expenses!$D$2:$D$300,C86,Expenses!$A$2:$A$300,"&gt;="&amp;EOMONTH(A86,-1)+1,Expenses!$A$2:$A$300,"&lt;="&amp;EOMONTH(A86,0))</f>
        <v>0</v>
      </c>
      <c r="F86" s="27">
        <f t="shared" si="1"/>
        <v>0</v>
      </c>
    </row>
    <row r="87" spans="1:6">
      <c r="A87" s="29"/>
      <c r="D87" s="27"/>
      <c r="E87" s="27">
        <f>SUMIFS(Expenses!$H$2:$H$300,Expenses!$B$2:$B$300,B87,Expenses!$D$2:$D$300,C87,Expenses!$A$2:$A$300,"&gt;="&amp;EOMONTH(A87,-1)+1,Expenses!$A$2:$A$300,"&lt;="&amp;EOMONTH(A87,0))</f>
        <v>0</v>
      </c>
      <c r="F87" s="27">
        <f t="shared" si="1"/>
        <v>0</v>
      </c>
    </row>
    <row r="88" spans="1:6">
      <c r="A88" s="29"/>
      <c r="D88" s="27"/>
      <c r="E88" s="27">
        <f>SUMIFS(Expenses!$H$2:$H$300,Expenses!$B$2:$B$300,B88,Expenses!$D$2:$D$300,C88,Expenses!$A$2:$A$300,"&gt;="&amp;EOMONTH(A88,-1)+1,Expenses!$A$2:$A$300,"&lt;="&amp;EOMONTH(A88,0))</f>
        <v>0</v>
      </c>
      <c r="F88" s="27">
        <f t="shared" si="1"/>
        <v>0</v>
      </c>
    </row>
    <row r="89" spans="1:6">
      <c r="A89" s="29"/>
      <c r="D89" s="27"/>
      <c r="E89" s="27">
        <f>SUMIFS(Expenses!$H$2:$H$300,Expenses!$B$2:$B$300,B89,Expenses!$D$2:$D$300,C89,Expenses!$A$2:$A$300,"&gt;="&amp;EOMONTH(A89,-1)+1,Expenses!$A$2:$A$300,"&lt;="&amp;EOMONTH(A89,0))</f>
        <v>0</v>
      </c>
      <c r="F89" s="27">
        <f t="shared" si="1"/>
        <v>0</v>
      </c>
    </row>
    <row r="90" spans="1:6">
      <c r="A90" s="29"/>
      <c r="D90" s="27"/>
      <c r="E90" s="27">
        <f>SUMIFS(Expenses!$H$2:$H$300,Expenses!$B$2:$B$300,B90,Expenses!$D$2:$D$300,C90,Expenses!$A$2:$A$300,"&gt;="&amp;EOMONTH(A90,-1)+1,Expenses!$A$2:$A$300,"&lt;="&amp;EOMONTH(A90,0))</f>
        <v>0</v>
      </c>
      <c r="F90" s="27">
        <f t="shared" si="1"/>
        <v>0</v>
      </c>
    </row>
    <row r="91" spans="1:6">
      <c r="A91" s="29"/>
      <c r="D91" s="27"/>
      <c r="E91" s="27">
        <f>SUMIFS(Expenses!$H$2:$H$300,Expenses!$B$2:$B$300,B91,Expenses!$D$2:$D$300,C91,Expenses!$A$2:$A$300,"&gt;="&amp;EOMONTH(A91,-1)+1,Expenses!$A$2:$A$300,"&lt;="&amp;EOMONTH(A91,0))</f>
        <v>0</v>
      </c>
      <c r="F91" s="27">
        <f t="shared" si="1"/>
        <v>0</v>
      </c>
    </row>
    <row r="92" spans="1:6">
      <c r="A92" s="29"/>
      <c r="D92" s="27"/>
      <c r="E92" s="27">
        <f>SUMIFS(Expenses!$H$2:$H$300,Expenses!$B$2:$B$300,B92,Expenses!$D$2:$D$300,C92,Expenses!$A$2:$A$300,"&gt;="&amp;EOMONTH(A92,-1)+1,Expenses!$A$2:$A$300,"&lt;="&amp;EOMONTH(A92,0))</f>
        <v>0</v>
      </c>
      <c r="F92" s="27">
        <f t="shared" si="1"/>
        <v>0</v>
      </c>
    </row>
    <row r="93" spans="1:6">
      <c r="A93" s="29"/>
      <c r="D93" s="27"/>
      <c r="E93" s="27">
        <f>SUMIFS(Expenses!$H$2:$H$300,Expenses!$B$2:$B$300,B93,Expenses!$D$2:$D$300,C93,Expenses!$A$2:$A$300,"&gt;="&amp;EOMONTH(A93,-1)+1,Expenses!$A$2:$A$300,"&lt;="&amp;EOMONTH(A93,0))</f>
        <v>0</v>
      </c>
      <c r="F93" s="27">
        <f t="shared" si="1"/>
        <v>0</v>
      </c>
    </row>
    <row r="94" spans="1:6">
      <c r="A94" s="29"/>
      <c r="D94" s="27"/>
      <c r="E94" s="27">
        <f>SUMIFS(Expenses!$H$2:$H$300,Expenses!$B$2:$B$300,B94,Expenses!$D$2:$D$300,C94,Expenses!$A$2:$A$300,"&gt;="&amp;EOMONTH(A94,-1)+1,Expenses!$A$2:$A$300,"&lt;="&amp;EOMONTH(A94,0))</f>
        <v>0</v>
      </c>
      <c r="F94" s="27">
        <f t="shared" si="1"/>
        <v>0</v>
      </c>
    </row>
    <row r="95" spans="1:6">
      <c r="A95" s="29"/>
      <c r="D95" s="27"/>
      <c r="E95" s="27">
        <f>SUMIFS(Expenses!$H$2:$H$300,Expenses!$B$2:$B$300,B95,Expenses!$D$2:$D$300,C95,Expenses!$A$2:$A$300,"&gt;="&amp;EOMONTH(A95,-1)+1,Expenses!$A$2:$A$300,"&lt;="&amp;EOMONTH(A95,0))</f>
        <v>0</v>
      </c>
      <c r="F95" s="27">
        <f t="shared" si="1"/>
        <v>0</v>
      </c>
    </row>
    <row r="96" spans="1:6">
      <c r="A96" s="29"/>
      <c r="D96" s="27"/>
      <c r="E96" s="27">
        <f>SUMIFS(Expenses!$H$2:$H$300,Expenses!$B$2:$B$300,B96,Expenses!$D$2:$D$300,C96,Expenses!$A$2:$A$300,"&gt;="&amp;EOMONTH(A96,-1)+1,Expenses!$A$2:$A$300,"&lt;="&amp;EOMONTH(A96,0))</f>
        <v>0</v>
      </c>
      <c r="F96" s="27">
        <f t="shared" si="1"/>
        <v>0</v>
      </c>
    </row>
    <row r="97" spans="1:6">
      <c r="A97" s="29"/>
      <c r="D97" s="27"/>
      <c r="E97" s="27">
        <f>SUMIFS(Expenses!$H$2:$H$300,Expenses!$B$2:$B$300,B97,Expenses!$D$2:$D$300,C97,Expenses!$A$2:$A$300,"&gt;="&amp;EOMONTH(A97,-1)+1,Expenses!$A$2:$A$300,"&lt;="&amp;EOMONTH(A97,0))</f>
        <v>0</v>
      </c>
      <c r="F97" s="27">
        <f t="shared" si="1"/>
        <v>0</v>
      </c>
    </row>
    <row r="98" spans="1:6">
      <c r="A98" s="29"/>
      <c r="D98" s="27"/>
      <c r="E98" s="27">
        <f>SUMIFS(Expenses!$H$2:$H$300,Expenses!$B$2:$B$300,B98,Expenses!$D$2:$D$300,C98,Expenses!$A$2:$A$300,"&gt;="&amp;EOMONTH(A98,-1)+1,Expenses!$A$2:$A$300,"&lt;="&amp;EOMONTH(A98,0))</f>
        <v>0</v>
      </c>
      <c r="F98" s="27">
        <f t="shared" si="1"/>
        <v>0</v>
      </c>
    </row>
    <row r="99" spans="1:6">
      <c r="A99" s="29"/>
      <c r="D99" s="27"/>
      <c r="E99" s="27">
        <f>SUMIFS(Expenses!$H$2:$H$300,Expenses!$B$2:$B$300,B99,Expenses!$D$2:$D$300,C99,Expenses!$A$2:$A$300,"&gt;="&amp;EOMONTH(A99,-1)+1,Expenses!$A$2:$A$300,"&lt;="&amp;EOMONTH(A99,0))</f>
        <v>0</v>
      </c>
      <c r="F99" s="27">
        <f t="shared" si="1"/>
        <v>0</v>
      </c>
    </row>
    <row r="100" spans="1:6">
      <c r="A100" s="29"/>
      <c r="D100" s="27"/>
      <c r="E100" s="27">
        <f>SUMIFS(Expenses!$H$2:$H$300,Expenses!$B$2:$B$300,B100,Expenses!$D$2:$D$300,C100,Expenses!$A$2:$A$300,"&gt;="&amp;EOMONTH(A100,-1)+1,Expenses!$A$2:$A$300,"&lt;="&amp;EOMONTH(A100,0))</f>
        <v>0</v>
      </c>
      <c r="F100" s="27">
        <f t="shared" si="1"/>
        <v>0</v>
      </c>
    </row>
    <row r="101" spans="1:6">
      <c r="A101" s="29"/>
      <c r="D101" s="27"/>
      <c r="E101" s="27">
        <f>SUMIFS(Expenses!$H$2:$H$300,Expenses!$B$2:$B$300,B101,Expenses!$D$2:$D$300,C101,Expenses!$A$2:$A$300,"&gt;="&amp;EOMONTH(A101,-1)+1,Expenses!$A$2:$A$300,"&lt;="&amp;EOMONTH(A101,0))</f>
        <v>0</v>
      </c>
      <c r="F101" s="27">
        <f t="shared" si="1"/>
        <v>0</v>
      </c>
    </row>
    <row r="102" spans="1:6">
      <c r="A102" s="29"/>
      <c r="D102" s="27"/>
      <c r="E102" s="27">
        <f>SUMIFS(Expenses!$H$2:$H$300,Expenses!$B$2:$B$300,B102,Expenses!$D$2:$D$300,C102,Expenses!$A$2:$A$300,"&gt;="&amp;EOMONTH(A102,-1)+1,Expenses!$A$2:$A$300,"&lt;="&amp;EOMONTH(A102,0))</f>
        <v>0</v>
      </c>
      <c r="F102" s="27">
        <f t="shared" si="1"/>
        <v>0</v>
      </c>
    </row>
    <row r="103" spans="1:6">
      <c r="A103" s="29"/>
      <c r="D103" s="27"/>
      <c r="E103" s="27">
        <f>SUMIFS(Expenses!$H$2:$H$300,Expenses!$B$2:$B$300,B103,Expenses!$D$2:$D$300,C103,Expenses!$A$2:$A$300,"&gt;="&amp;EOMONTH(A103,-1)+1,Expenses!$A$2:$A$300,"&lt;="&amp;EOMONTH(A103,0))</f>
        <v>0</v>
      </c>
      <c r="F103" s="27">
        <f t="shared" si="1"/>
        <v>0</v>
      </c>
    </row>
    <row r="104" spans="1:6">
      <c r="A104" s="29"/>
      <c r="D104" s="27"/>
      <c r="E104" s="27">
        <f>SUMIFS(Expenses!$H$2:$H$300,Expenses!$B$2:$B$300,B104,Expenses!$D$2:$D$300,C104,Expenses!$A$2:$A$300,"&gt;="&amp;EOMONTH(A104,-1)+1,Expenses!$A$2:$A$300,"&lt;="&amp;EOMONTH(A104,0))</f>
        <v>0</v>
      </c>
      <c r="F104" s="27">
        <f t="shared" si="1"/>
        <v>0</v>
      </c>
    </row>
    <row r="105" spans="1:6">
      <c r="A105" s="29"/>
      <c r="D105" s="27"/>
      <c r="E105" s="27">
        <f>SUMIFS(Expenses!$H$2:$H$300,Expenses!$B$2:$B$300,B105,Expenses!$D$2:$D$300,C105,Expenses!$A$2:$A$300,"&gt;="&amp;EOMONTH(A105,-1)+1,Expenses!$A$2:$A$300,"&lt;="&amp;EOMONTH(A105,0))</f>
        <v>0</v>
      </c>
      <c r="F105" s="27">
        <f t="shared" si="1"/>
        <v>0</v>
      </c>
    </row>
    <row r="106" spans="1:6">
      <c r="A106" s="29"/>
      <c r="D106" s="27"/>
      <c r="E106" s="27">
        <f>SUMIFS(Expenses!$H$2:$H$300,Expenses!$B$2:$B$300,B106,Expenses!$D$2:$D$300,C106,Expenses!$A$2:$A$300,"&gt;="&amp;EOMONTH(A106,-1)+1,Expenses!$A$2:$A$300,"&lt;="&amp;EOMONTH(A106,0))</f>
        <v>0</v>
      </c>
      <c r="F106" s="27">
        <f t="shared" si="1"/>
        <v>0</v>
      </c>
    </row>
    <row r="107" spans="1:6">
      <c r="A107" s="29"/>
      <c r="D107" s="27"/>
      <c r="E107" s="27">
        <f>SUMIFS(Expenses!$H$2:$H$300,Expenses!$B$2:$B$300,B107,Expenses!$D$2:$D$300,C107,Expenses!$A$2:$A$300,"&gt;="&amp;EOMONTH(A107,-1)+1,Expenses!$A$2:$A$300,"&lt;="&amp;EOMONTH(A107,0))</f>
        <v>0</v>
      </c>
      <c r="F107" s="27">
        <f t="shared" si="1"/>
        <v>0</v>
      </c>
    </row>
    <row r="108" spans="1:6">
      <c r="A108" s="29"/>
      <c r="D108" s="27"/>
      <c r="E108" s="27">
        <f>SUMIFS(Expenses!$H$2:$H$300,Expenses!$B$2:$B$300,B108,Expenses!$D$2:$D$300,C108,Expenses!$A$2:$A$300,"&gt;="&amp;EOMONTH(A108,-1)+1,Expenses!$A$2:$A$300,"&lt;="&amp;EOMONTH(A108,0))</f>
        <v>0</v>
      </c>
      <c r="F108" s="27">
        <f t="shared" si="1"/>
        <v>0</v>
      </c>
    </row>
    <row r="109" spans="1:6">
      <c r="A109" s="29"/>
      <c r="D109" s="27"/>
      <c r="E109" s="27">
        <f>SUMIFS(Expenses!$H$2:$H$300,Expenses!$B$2:$B$300,B109,Expenses!$D$2:$D$300,C109,Expenses!$A$2:$A$300,"&gt;="&amp;EOMONTH(A109,-1)+1,Expenses!$A$2:$A$300,"&lt;="&amp;EOMONTH(A109,0))</f>
        <v>0</v>
      </c>
      <c r="F109" s="27">
        <f t="shared" si="1"/>
        <v>0</v>
      </c>
    </row>
    <row r="110" spans="1:6">
      <c r="A110" s="29"/>
      <c r="D110" s="27"/>
      <c r="E110" s="27">
        <f>SUMIFS(Expenses!$H$2:$H$300,Expenses!$B$2:$B$300,B110,Expenses!$D$2:$D$300,C110,Expenses!$A$2:$A$300,"&gt;="&amp;EOMONTH(A110,-1)+1,Expenses!$A$2:$A$300,"&lt;="&amp;EOMONTH(A110,0))</f>
        <v>0</v>
      </c>
      <c r="F110" s="27">
        <f t="shared" si="1"/>
        <v>0</v>
      </c>
    </row>
    <row r="111" spans="1:6">
      <c r="A111" s="29"/>
      <c r="D111" s="27"/>
      <c r="E111" s="27">
        <f>SUMIFS(Expenses!$H$2:$H$300,Expenses!$B$2:$B$300,B111,Expenses!$D$2:$D$300,C111,Expenses!$A$2:$A$300,"&gt;="&amp;EOMONTH(A111,-1)+1,Expenses!$A$2:$A$300,"&lt;="&amp;EOMONTH(A111,0))</f>
        <v>0</v>
      </c>
      <c r="F111" s="27">
        <f t="shared" si="1"/>
        <v>0</v>
      </c>
    </row>
    <row r="112" spans="1:6">
      <c r="A112" s="29"/>
      <c r="D112" s="27"/>
      <c r="E112" s="27">
        <f>SUMIFS(Expenses!$H$2:$H$300,Expenses!$B$2:$B$300,B112,Expenses!$D$2:$D$300,C112,Expenses!$A$2:$A$300,"&gt;="&amp;EOMONTH(A112,-1)+1,Expenses!$A$2:$A$300,"&lt;="&amp;EOMONTH(A112,0))</f>
        <v>0</v>
      </c>
      <c r="F112" s="27">
        <f t="shared" si="1"/>
        <v>0</v>
      </c>
    </row>
    <row r="113" spans="1:6">
      <c r="A113" s="29"/>
      <c r="D113" s="27"/>
      <c r="E113" s="27">
        <f>SUMIFS(Expenses!$H$2:$H$300,Expenses!$B$2:$B$300,B113,Expenses!$D$2:$D$300,C113,Expenses!$A$2:$A$300,"&gt;="&amp;EOMONTH(A113,-1)+1,Expenses!$A$2:$A$300,"&lt;="&amp;EOMONTH(A113,0))</f>
        <v>0</v>
      </c>
      <c r="F113" s="27">
        <f t="shared" si="1"/>
        <v>0</v>
      </c>
    </row>
    <row r="114" spans="1:6">
      <c r="A114" s="29"/>
      <c r="D114" s="27"/>
      <c r="E114" s="27">
        <f>SUMIFS(Expenses!$H$2:$H$300,Expenses!$B$2:$B$300,B114,Expenses!$D$2:$D$300,C114,Expenses!$A$2:$A$300,"&gt;="&amp;EOMONTH(A114,-1)+1,Expenses!$A$2:$A$300,"&lt;="&amp;EOMONTH(A114,0))</f>
        <v>0</v>
      </c>
      <c r="F114" s="27">
        <f t="shared" si="1"/>
        <v>0</v>
      </c>
    </row>
    <row r="115" spans="1:6">
      <c r="A115" s="29"/>
      <c r="D115" s="27"/>
      <c r="E115" s="27">
        <f>SUMIFS(Expenses!$H$2:$H$300,Expenses!$B$2:$B$300,B115,Expenses!$D$2:$D$300,C115,Expenses!$A$2:$A$300,"&gt;="&amp;EOMONTH(A115,-1)+1,Expenses!$A$2:$A$300,"&lt;="&amp;EOMONTH(A115,0))</f>
        <v>0</v>
      </c>
      <c r="F115" s="27">
        <f t="shared" si="1"/>
        <v>0</v>
      </c>
    </row>
    <row r="116" spans="1:6">
      <c r="A116" s="29"/>
      <c r="D116" s="27"/>
      <c r="E116" s="27">
        <f>SUMIFS(Expenses!$H$2:$H$300,Expenses!$B$2:$B$300,B116,Expenses!$D$2:$D$300,C116,Expenses!$A$2:$A$300,"&gt;="&amp;EOMONTH(A116,-1)+1,Expenses!$A$2:$A$300,"&lt;="&amp;EOMONTH(A116,0))</f>
        <v>0</v>
      </c>
      <c r="F116" s="27">
        <f t="shared" si="1"/>
        <v>0</v>
      </c>
    </row>
    <row r="117" spans="1:6">
      <c r="A117" s="29"/>
      <c r="D117" s="27"/>
      <c r="E117" s="27">
        <f>SUMIFS(Expenses!$H$2:$H$300,Expenses!$B$2:$B$300,B117,Expenses!$D$2:$D$300,C117,Expenses!$A$2:$A$300,"&gt;="&amp;EOMONTH(A117,-1)+1,Expenses!$A$2:$A$300,"&lt;="&amp;EOMONTH(A117,0))</f>
        <v>0</v>
      </c>
      <c r="F117" s="27">
        <f t="shared" si="1"/>
        <v>0</v>
      </c>
    </row>
    <row r="118" spans="1:6">
      <c r="A118" s="29"/>
      <c r="D118" s="27"/>
      <c r="E118" s="27">
        <f>SUMIFS(Expenses!$H$2:$H$300,Expenses!$B$2:$B$300,B118,Expenses!$D$2:$D$300,C118,Expenses!$A$2:$A$300,"&gt;="&amp;EOMONTH(A118,-1)+1,Expenses!$A$2:$A$300,"&lt;="&amp;EOMONTH(A118,0))</f>
        <v>0</v>
      </c>
      <c r="F118" s="27">
        <f t="shared" si="1"/>
        <v>0</v>
      </c>
    </row>
    <row r="119" spans="1:6">
      <c r="A119" s="29"/>
      <c r="D119" s="27"/>
      <c r="E119" s="27">
        <f>SUMIFS(Expenses!$H$2:$H$300,Expenses!$B$2:$B$300,B119,Expenses!$D$2:$D$300,C119,Expenses!$A$2:$A$300,"&gt;="&amp;EOMONTH(A119,-1)+1,Expenses!$A$2:$A$300,"&lt;="&amp;EOMONTH(A119,0))</f>
        <v>0</v>
      </c>
      <c r="F119" s="27">
        <f t="shared" si="1"/>
        <v>0</v>
      </c>
    </row>
    <row r="120" spans="1:6">
      <c r="A120" s="29"/>
      <c r="D120" s="27"/>
      <c r="E120" s="27">
        <f>SUMIFS(Expenses!$H$2:$H$300,Expenses!$B$2:$B$300,B120,Expenses!$D$2:$D$300,C120,Expenses!$A$2:$A$300,"&gt;="&amp;EOMONTH(A120,-1)+1,Expenses!$A$2:$A$300,"&lt;="&amp;EOMONTH(A120,0))</f>
        <v>0</v>
      </c>
      <c r="F120" s="27">
        <f t="shared" si="1"/>
        <v>0</v>
      </c>
    </row>
    <row r="121" spans="1:6">
      <c r="A121" s="29"/>
      <c r="D121" s="27"/>
      <c r="E121" s="27">
        <f>SUMIFS(Expenses!$H$2:$H$300,Expenses!$B$2:$B$300,B121,Expenses!$D$2:$D$300,C121,Expenses!$A$2:$A$300,"&gt;="&amp;EOMONTH(A121,-1)+1,Expenses!$A$2:$A$300,"&lt;="&amp;EOMONTH(A121,0))</f>
        <v>0</v>
      </c>
      <c r="F121" s="27">
        <f t="shared" si="1"/>
        <v>0</v>
      </c>
    </row>
    <row r="122" spans="1:6">
      <c r="A122" s="29"/>
      <c r="D122" s="27"/>
      <c r="E122" s="27">
        <f>SUMIFS(Expenses!$H$2:$H$300,Expenses!$B$2:$B$300,B122,Expenses!$D$2:$D$300,C122,Expenses!$A$2:$A$300,"&gt;="&amp;EOMONTH(A122,-1)+1,Expenses!$A$2:$A$300,"&lt;="&amp;EOMONTH(A122,0))</f>
        <v>0</v>
      </c>
      <c r="F122" s="27">
        <f t="shared" si="1"/>
        <v>0</v>
      </c>
    </row>
    <row r="123" spans="1:6">
      <c r="A123" s="29"/>
      <c r="D123" s="27"/>
      <c r="E123" s="27">
        <f>SUMIFS(Expenses!$H$2:$H$300,Expenses!$B$2:$B$300,B123,Expenses!$D$2:$D$300,C123,Expenses!$A$2:$A$300,"&gt;="&amp;EOMONTH(A123,-1)+1,Expenses!$A$2:$A$300,"&lt;="&amp;EOMONTH(A123,0))</f>
        <v>0</v>
      </c>
      <c r="F123" s="27">
        <f t="shared" si="1"/>
        <v>0</v>
      </c>
    </row>
    <row r="124" spans="1:6">
      <c r="A124" s="29"/>
      <c r="D124" s="27"/>
      <c r="E124" s="27">
        <f>SUMIFS(Expenses!$H$2:$H$300,Expenses!$B$2:$B$300,B124,Expenses!$D$2:$D$300,C124,Expenses!$A$2:$A$300,"&gt;="&amp;EOMONTH(A124,-1)+1,Expenses!$A$2:$A$300,"&lt;="&amp;EOMONTH(A124,0))</f>
        <v>0</v>
      </c>
      <c r="F124" s="27">
        <f t="shared" si="1"/>
        <v>0</v>
      </c>
    </row>
    <row r="125" spans="1:6">
      <c r="A125" s="29"/>
      <c r="D125" s="27"/>
      <c r="E125" s="27">
        <f>SUMIFS(Expenses!$H$2:$H$300,Expenses!$B$2:$B$300,B125,Expenses!$D$2:$D$300,C125,Expenses!$A$2:$A$300,"&gt;="&amp;EOMONTH(A125,-1)+1,Expenses!$A$2:$A$300,"&lt;="&amp;EOMONTH(A125,0))</f>
        <v>0</v>
      </c>
      <c r="F125" s="27">
        <f t="shared" si="1"/>
        <v>0</v>
      </c>
    </row>
    <row r="126" spans="1:6">
      <c r="A126" s="29"/>
      <c r="D126" s="27"/>
      <c r="E126" s="27">
        <f>SUMIFS(Expenses!$H$2:$H$300,Expenses!$B$2:$B$300,B126,Expenses!$D$2:$D$300,C126,Expenses!$A$2:$A$300,"&gt;="&amp;EOMONTH(A126,-1)+1,Expenses!$A$2:$A$300,"&lt;="&amp;EOMONTH(A126,0))</f>
        <v>0</v>
      </c>
      <c r="F126" s="27">
        <f t="shared" si="1"/>
        <v>0</v>
      </c>
    </row>
    <row r="127" spans="1:6">
      <c r="A127" s="29"/>
      <c r="D127" s="27"/>
      <c r="E127" s="27">
        <f>SUMIFS(Expenses!$H$2:$H$300,Expenses!$B$2:$B$300,B127,Expenses!$D$2:$D$300,C127,Expenses!$A$2:$A$300,"&gt;="&amp;EOMONTH(A127,-1)+1,Expenses!$A$2:$A$300,"&lt;="&amp;EOMONTH(A127,0))</f>
        <v>0</v>
      </c>
      <c r="F127" s="27">
        <f t="shared" si="1"/>
        <v>0</v>
      </c>
    </row>
    <row r="128" spans="1:6">
      <c r="A128" s="29"/>
      <c r="D128" s="27"/>
      <c r="E128" s="27">
        <f>SUMIFS(Expenses!$H$2:$H$300,Expenses!$B$2:$B$300,B128,Expenses!$D$2:$D$300,C128,Expenses!$A$2:$A$300,"&gt;="&amp;EOMONTH(A128,-1)+1,Expenses!$A$2:$A$300,"&lt;="&amp;EOMONTH(A128,0))</f>
        <v>0</v>
      </c>
      <c r="F128" s="27">
        <f t="shared" si="1"/>
        <v>0</v>
      </c>
    </row>
    <row r="129" spans="1:6">
      <c r="A129" s="29"/>
      <c r="D129" s="27"/>
      <c r="E129" s="27">
        <f>SUMIFS(Expenses!$H$2:$H$300,Expenses!$B$2:$B$300,B129,Expenses!$D$2:$D$300,C129,Expenses!$A$2:$A$300,"&gt;="&amp;EOMONTH(A129,-1)+1,Expenses!$A$2:$A$300,"&lt;="&amp;EOMONTH(A129,0))</f>
        <v>0</v>
      </c>
      <c r="F129" s="27">
        <f t="shared" si="1"/>
        <v>0</v>
      </c>
    </row>
    <row r="130" spans="1:6">
      <c r="A130" s="29"/>
      <c r="D130" s="27"/>
      <c r="E130" s="27">
        <f>SUMIFS(Expenses!$H$2:$H$300,Expenses!$B$2:$B$300,B130,Expenses!$D$2:$D$300,C130,Expenses!$A$2:$A$300,"&gt;="&amp;EOMONTH(A130,-1)+1,Expenses!$A$2:$A$300,"&lt;="&amp;EOMONTH(A130,0))</f>
        <v>0</v>
      </c>
      <c r="F130" s="27">
        <f t="shared" ref="F130:F193" si="2">D130-E130</f>
        <v>0</v>
      </c>
    </row>
    <row r="131" spans="1:6">
      <c r="A131" s="29"/>
      <c r="D131" s="27"/>
      <c r="E131" s="27">
        <f>SUMIFS(Expenses!$H$2:$H$300,Expenses!$B$2:$B$300,B131,Expenses!$D$2:$D$300,C131,Expenses!$A$2:$A$300,"&gt;="&amp;EOMONTH(A131,-1)+1,Expenses!$A$2:$A$300,"&lt;="&amp;EOMONTH(A131,0))</f>
        <v>0</v>
      </c>
      <c r="F131" s="27">
        <f t="shared" si="2"/>
        <v>0</v>
      </c>
    </row>
    <row r="132" spans="1:6">
      <c r="A132" s="29"/>
      <c r="D132" s="27"/>
      <c r="E132" s="27">
        <f>SUMIFS(Expenses!$H$2:$H$300,Expenses!$B$2:$B$300,B132,Expenses!$D$2:$D$300,C132,Expenses!$A$2:$A$300,"&gt;="&amp;EOMONTH(A132,-1)+1,Expenses!$A$2:$A$300,"&lt;="&amp;EOMONTH(A132,0))</f>
        <v>0</v>
      </c>
      <c r="F132" s="27">
        <f t="shared" si="2"/>
        <v>0</v>
      </c>
    </row>
    <row r="133" spans="1:6">
      <c r="A133" s="29"/>
      <c r="D133" s="27"/>
      <c r="E133" s="27">
        <f>SUMIFS(Expenses!$H$2:$H$300,Expenses!$B$2:$B$300,B133,Expenses!$D$2:$D$300,C133,Expenses!$A$2:$A$300,"&gt;="&amp;EOMONTH(A133,-1)+1,Expenses!$A$2:$A$300,"&lt;="&amp;EOMONTH(A133,0))</f>
        <v>0</v>
      </c>
      <c r="F133" s="27">
        <f t="shared" si="2"/>
        <v>0</v>
      </c>
    </row>
    <row r="134" spans="1:6">
      <c r="A134" s="29"/>
      <c r="D134" s="27"/>
      <c r="E134" s="27">
        <f>SUMIFS(Expenses!$H$2:$H$300,Expenses!$B$2:$B$300,B134,Expenses!$D$2:$D$300,C134,Expenses!$A$2:$A$300,"&gt;="&amp;EOMONTH(A134,-1)+1,Expenses!$A$2:$A$300,"&lt;="&amp;EOMONTH(A134,0))</f>
        <v>0</v>
      </c>
      <c r="F134" s="27">
        <f t="shared" si="2"/>
        <v>0</v>
      </c>
    </row>
    <row r="135" spans="1:6">
      <c r="A135" s="29"/>
      <c r="D135" s="27"/>
      <c r="E135" s="27">
        <f>SUMIFS(Expenses!$H$2:$H$300,Expenses!$B$2:$B$300,B135,Expenses!$D$2:$D$300,C135,Expenses!$A$2:$A$300,"&gt;="&amp;EOMONTH(A135,-1)+1,Expenses!$A$2:$A$300,"&lt;="&amp;EOMONTH(A135,0))</f>
        <v>0</v>
      </c>
      <c r="F135" s="27">
        <f t="shared" si="2"/>
        <v>0</v>
      </c>
    </row>
    <row r="136" spans="1:6">
      <c r="A136" s="29"/>
      <c r="D136" s="27"/>
      <c r="E136" s="27">
        <f>SUMIFS(Expenses!$H$2:$H$300,Expenses!$B$2:$B$300,B136,Expenses!$D$2:$D$300,C136,Expenses!$A$2:$A$300,"&gt;="&amp;EOMONTH(A136,-1)+1,Expenses!$A$2:$A$300,"&lt;="&amp;EOMONTH(A136,0))</f>
        <v>0</v>
      </c>
      <c r="F136" s="27">
        <f t="shared" si="2"/>
        <v>0</v>
      </c>
    </row>
    <row r="137" spans="1:6">
      <c r="A137" s="29"/>
      <c r="D137" s="27"/>
      <c r="E137" s="27">
        <f>SUMIFS(Expenses!$H$2:$H$300,Expenses!$B$2:$B$300,B137,Expenses!$D$2:$D$300,C137,Expenses!$A$2:$A$300,"&gt;="&amp;EOMONTH(A137,-1)+1,Expenses!$A$2:$A$300,"&lt;="&amp;EOMONTH(A137,0))</f>
        <v>0</v>
      </c>
      <c r="F137" s="27">
        <f t="shared" si="2"/>
        <v>0</v>
      </c>
    </row>
    <row r="138" spans="1:6">
      <c r="A138" s="29"/>
      <c r="D138" s="27"/>
      <c r="E138" s="27">
        <f>SUMIFS(Expenses!$H$2:$H$300,Expenses!$B$2:$B$300,B138,Expenses!$D$2:$D$300,C138,Expenses!$A$2:$A$300,"&gt;="&amp;EOMONTH(A138,-1)+1,Expenses!$A$2:$A$300,"&lt;="&amp;EOMONTH(A138,0))</f>
        <v>0</v>
      </c>
      <c r="F138" s="27">
        <f t="shared" si="2"/>
        <v>0</v>
      </c>
    </row>
    <row r="139" spans="1:6">
      <c r="A139" s="29"/>
      <c r="D139" s="27"/>
      <c r="E139" s="27">
        <f>SUMIFS(Expenses!$H$2:$H$300,Expenses!$B$2:$B$300,B139,Expenses!$D$2:$D$300,C139,Expenses!$A$2:$A$300,"&gt;="&amp;EOMONTH(A139,-1)+1,Expenses!$A$2:$A$300,"&lt;="&amp;EOMONTH(A139,0))</f>
        <v>0</v>
      </c>
      <c r="F139" s="27">
        <f t="shared" si="2"/>
        <v>0</v>
      </c>
    </row>
    <row r="140" spans="1:6">
      <c r="A140" s="29"/>
      <c r="D140" s="27"/>
      <c r="E140" s="27">
        <f>SUMIFS(Expenses!$H$2:$H$300,Expenses!$B$2:$B$300,B140,Expenses!$D$2:$D$300,C140,Expenses!$A$2:$A$300,"&gt;="&amp;EOMONTH(A140,-1)+1,Expenses!$A$2:$A$300,"&lt;="&amp;EOMONTH(A140,0))</f>
        <v>0</v>
      </c>
      <c r="F140" s="27">
        <f t="shared" si="2"/>
        <v>0</v>
      </c>
    </row>
    <row r="141" spans="1:6">
      <c r="A141" s="29"/>
      <c r="D141" s="27"/>
      <c r="E141" s="27">
        <f>SUMIFS(Expenses!$H$2:$H$300,Expenses!$B$2:$B$300,B141,Expenses!$D$2:$D$300,C141,Expenses!$A$2:$A$300,"&gt;="&amp;EOMONTH(A141,-1)+1,Expenses!$A$2:$A$300,"&lt;="&amp;EOMONTH(A141,0))</f>
        <v>0</v>
      </c>
      <c r="F141" s="27">
        <f t="shared" si="2"/>
        <v>0</v>
      </c>
    </row>
    <row r="142" spans="1:6">
      <c r="A142" s="29"/>
      <c r="D142" s="27"/>
      <c r="E142" s="27">
        <f>SUMIFS(Expenses!$H$2:$H$300,Expenses!$B$2:$B$300,B142,Expenses!$D$2:$D$300,C142,Expenses!$A$2:$A$300,"&gt;="&amp;EOMONTH(A142,-1)+1,Expenses!$A$2:$A$300,"&lt;="&amp;EOMONTH(A142,0))</f>
        <v>0</v>
      </c>
      <c r="F142" s="27">
        <f t="shared" si="2"/>
        <v>0</v>
      </c>
    </row>
    <row r="143" spans="1:6">
      <c r="A143" s="29"/>
      <c r="D143" s="27"/>
      <c r="E143" s="27">
        <f>SUMIFS(Expenses!$H$2:$H$300,Expenses!$B$2:$B$300,B143,Expenses!$D$2:$D$300,C143,Expenses!$A$2:$A$300,"&gt;="&amp;EOMONTH(A143,-1)+1,Expenses!$A$2:$A$300,"&lt;="&amp;EOMONTH(A143,0))</f>
        <v>0</v>
      </c>
      <c r="F143" s="27">
        <f t="shared" si="2"/>
        <v>0</v>
      </c>
    </row>
    <row r="144" spans="1:6">
      <c r="A144" s="29"/>
      <c r="D144" s="27"/>
      <c r="E144" s="27">
        <f>SUMIFS(Expenses!$H$2:$H$300,Expenses!$B$2:$B$300,B144,Expenses!$D$2:$D$300,C144,Expenses!$A$2:$A$300,"&gt;="&amp;EOMONTH(A144,-1)+1,Expenses!$A$2:$A$300,"&lt;="&amp;EOMONTH(A144,0))</f>
        <v>0</v>
      </c>
      <c r="F144" s="27">
        <f t="shared" si="2"/>
        <v>0</v>
      </c>
    </row>
    <row r="145" spans="1:6">
      <c r="A145" s="29"/>
      <c r="D145" s="27"/>
      <c r="E145" s="27">
        <f>SUMIFS(Expenses!$H$2:$H$300,Expenses!$B$2:$B$300,B145,Expenses!$D$2:$D$300,C145,Expenses!$A$2:$A$300,"&gt;="&amp;EOMONTH(A145,-1)+1,Expenses!$A$2:$A$300,"&lt;="&amp;EOMONTH(A145,0))</f>
        <v>0</v>
      </c>
      <c r="F145" s="27">
        <f t="shared" si="2"/>
        <v>0</v>
      </c>
    </row>
    <row r="146" spans="1:6">
      <c r="A146" s="29"/>
      <c r="D146" s="27"/>
      <c r="E146" s="27">
        <f>SUMIFS(Expenses!$H$2:$H$300,Expenses!$B$2:$B$300,B146,Expenses!$D$2:$D$300,C146,Expenses!$A$2:$A$300,"&gt;="&amp;EOMONTH(A146,-1)+1,Expenses!$A$2:$A$300,"&lt;="&amp;EOMONTH(A146,0))</f>
        <v>0</v>
      </c>
      <c r="F146" s="27">
        <f t="shared" si="2"/>
        <v>0</v>
      </c>
    </row>
    <row r="147" spans="1:6">
      <c r="A147" s="29"/>
      <c r="D147" s="27"/>
      <c r="E147" s="27">
        <f>SUMIFS(Expenses!$H$2:$H$300,Expenses!$B$2:$B$300,B147,Expenses!$D$2:$D$300,C147,Expenses!$A$2:$A$300,"&gt;="&amp;EOMONTH(A147,-1)+1,Expenses!$A$2:$A$300,"&lt;="&amp;EOMONTH(A147,0))</f>
        <v>0</v>
      </c>
      <c r="F147" s="27">
        <f t="shared" si="2"/>
        <v>0</v>
      </c>
    </row>
    <row r="148" spans="1:6">
      <c r="A148" s="29"/>
      <c r="D148" s="27"/>
      <c r="E148" s="27">
        <f>SUMIFS(Expenses!$H$2:$H$300,Expenses!$B$2:$B$300,B148,Expenses!$D$2:$D$300,C148,Expenses!$A$2:$A$300,"&gt;="&amp;EOMONTH(A148,-1)+1,Expenses!$A$2:$A$300,"&lt;="&amp;EOMONTH(A148,0))</f>
        <v>0</v>
      </c>
      <c r="F148" s="27">
        <f t="shared" si="2"/>
        <v>0</v>
      </c>
    </row>
    <row r="149" spans="1:6">
      <c r="A149" s="29"/>
      <c r="D149" s="27"/>
      <c r="E149" s="27">
        <f>SUMIFS(Expenses!$H$2:$H$300,Expenses!$B$2:$B$300,B149,Expenses!$D$2:$D$300,C149,Expenses!$A$2:$A$300,"&gt;="&amp;EOMONTH(A149,-1)+1,Expenses!$A$2:$A$300,"&lt;="&amp;EOMONTH(A149,0))</f>
        <v>0</v>
      </c>
      <c r="F149" s="27">
        <f t="shared" si="2"/>
        <v>0</v>
      </c>
    </row>
    <row r="150" spans="1:6">
      <c r="A150" s="29"/>
      <c r="D150" s="27"/>
      <c r="E150" s="27">
        <f>SUMIFS(Expenses!$H$2:$H$300,Expenses!$B$2:$B$300,B150,Expenses!$D$2:$D$300,C150,Expenses!$A$2:$A$300,"&gt;="&amp;EOMONTH(A150,-1)+1,Expenses!$A$2:$A$300,"&lt;="&amp;EOMONTH(A150,0))</f>
        <v>0</v>
      </c>
      <c r="F150" s="27">
        <f t="shared" si="2"/>
        <v>0</v>
      </c>
    </row>
    <row r="151" spans="1:6">
      <c r="A151" s="29"/>
      <c r="D151" s="27"/>
      <c r="E151" s="27">
        <f>SUMIFS(Expenses!$H$2:$H$300,Expenses!$B$2:$B$300,B151,Expenses!$D$2:$D$300,C151,Expenses!$A$2:$A$300,"&gt;="&amp;EOMONTH(A151,-1)+1,Expenses!$A$2:$A$300,"&lt;="&amp;EOMONTH(A151,0))</f>
        <v>0</v>
      </c>
      <c r="F151" s="27">
        <f t="shared" si="2"/>
        <v>0</v>
      </c>
    </row>
    <row r="152" spans="1:6">
      <c r="A152" s="29"/>
      <c r="D152" s="27"/>
      <c r="E152" s="27">
        <f>SUMIFS(Expenses!$H$2:$H$300,Expenses!$B$2:$B$300,B152,Expenses!$D$2:$D$300,C152,Expenses!$A$2:$A$300,"&gt;="&amp;EOMONTH(A152,-1)+1,Expenses!$A$2:$A$300,"&lt;="&amp;EOMONTH(A152,0))</f>
        <v>0</v>
      </c>
      <c r="F152" s="27">
        <f t="shared" si="2"/>
        <v>0</v>
      </c>
    </row>
    <row r="153" spans="1:6">
      <c r="A153" s="29"/>
      <c r="D153" s="27"/>
      <c r="E153" s="27">
        <f>SUMIFS(Expenses!$H$2:$H$300,Expenses!$B$2:$B$300,B153,Expenses!$D$2:$D$300,C153,Expenses!$A$2:$A$300,"&gt;="&amp;EOMONTH(A153,-1)+1,Expenses!$A$2:$A$300,"&lt;="&amp;EOMONTH(A153,0))</f>
        <v>0</v>
      </c>
      <c r="F153" s="27">
        <f t="shared" si="2"/>
        <v>0</v>
      </c>
    </row>
    <row r="154" spans="1:6">
      <c r="A154" s="29"/>
      <c r="D154" s="27"/>
      <c r="E154" s="27">
        <f>SUMIFS(Expenses!$H$2:$H$300,Expenses!$B$2:$B$300,B154,Expenses!$D$2:$D$300,C154,Expenses!$A$2:$A$300,"&gt;="&amp;EOMONTH(A154,-1)+1,Expenses!$A$2:$A$300,"&lt;="&amp;EOMONTH(A154,0))</f>
        <v>0</v>
      </c>
      <c r="F154" s="27">
        <f t="shared" si="2"/>
        <v>0</v>
      </c>
    </row>
    <row r="155" spans="1:6">
      <c r="A155" s="29"/>
      <c r="D155" s="27"/>
      <c r="E155" s="27">
        <f>SUMIFS(Expenses!$H$2:$H$300,Expenses!$B$2:$B$300,B155,Expenses!$D$2:$D$300,C155,Expenses!$A$2:$A$300,"&gt;="&amp;EOMONTH(A155,-1)+1,Expenses!$A$2:$A$300,"&lt;="&amp;EOMONTH(A155,0))</f>
        <v>0</v>
      </c>
      <c r="F155" s="27">
        <f t="shared" si="2"/>
        <v>0</v>
      </c>
    </row>
    <row r="156" spans="1:6">
      <c r="A156" s="29"/>
      <c r="D156" s="27"/>
      <c r="E156" s="27">
        <f>SUMIFS(Expenses!$H$2:$H$300,Expenses!$B$2:$B$300,B156,Expenses!$D$2:$D$300,C156,Expenses!$A$2:$A$300,"&gt;="&amp;EOMONTH(A156,-1)+1,Expenses!$A$2:$A$300,"&lt;="&amp;EOMONTH(A156,0))</f>
        <v>0</v>
      </c>
      <c r="F156" s="27">
        <f t="shared" si="2"/>
        <v>0</v>
      </c>
    </row>
    <row r="157" spans="1:6">
      <c r="A157" s="29"/>
      <c r="D157" s="27"/>
      <c r="E157" s="27">
        <f>SUMIFS(Expenses!$H$2:$H$300,Expenses!$B$2:$B$300,B157,Expenses!$D$2:$D$300,C157,Expenses!$A$2:$A$300,"&gt;="&amp;EOMONTH(A157,-1)+1,Expenses!$A$2:$A$300,"&lt;="&amp;EOMONTH(A157,0))</f>
        <v>0</v>
      </c>
      <c r="F157" s="27">
        <f t="shared" si="2"/>
        <v>0</v>
      </c>
    </row>
    <row r="158" spans="1:6">
      <c r="A158" s="29"/>
      <c r="D158" s="27"/>
      <c r="E158" s="27">
        <f>SUMIFS(Expenses!$H$2:$H$300,Expenses!$B$2:$B$300,B158,Expenses!$D$2:$D$300,C158,Expenses!$A$2:$A$300,"&gt;="&amp;EOMONTH(A158,-1)+1,Expenses!$A$2:$A$300,"&lt;="&amp;EOMONTH(A158,0))</f>
        <v>0</v>
      </c>
      <c r="F158" s="27">
        <f t="shared" si="2"/>
        <v>0</v>
      </c>
    </row>
    <row r="159" spans="1:6">
      <c r="A159" s="29"/>
      <c r="D159" s="27"/>
      <c r="E159" s="27">
        <f>SUMIFS(Expenses!$H$2:$H$300,Expenses!$B$2:$B$300,B159,Expenses!$D$2:$D$300,C159,Expenses!$A$2:$A$300,"&gt;="&amp;EOMONTH(A159,-1)+1,Expenses!$A$2:$A$300,"&lt;="&amp;EOMONTH(A159,0))</f>
        <v>0</v>
      </c>
      <c r="F159" s="27">
        <f t="shared" si="2"/>
        <v>0</v>
      </c>
    </row>
    <row r="160" spans="1:6">
      <c r="A160" s="29"/>
      <c r="D160" s="27"/>
      <c r="E160" s="27">
        <f>SUMIFS(Expenses!$H$2:$H$300,Expenses!$B$2:$B$300,B160,Expenses!$D$2:$D$300,C160,Expenses!$A$2:$A$300,"&gt;="&amp;EOMONTH(A160,-1)+1,Expenses!$A$2:$A$300,"&lt;="&amp;EOMONTH(A160,0))</f>
        <v>0</v>
      </c>
      <c r="F160" s="27">
        <f t="shared" si="2"/>
        <v>0</v>
      </c>
    </row>
    <row r="161" spans="1:6">
      <c r="A161" s="29"/>
      <c r="D161" s="27"/>
      <c r="E161" s="27">
        <f>SUMIFS(Expenses!$H$2:$H$300,Expenses!$B$2:$B$300,B161,Expenses!$D$2:$D$300,C161,Expenses!$A$2:$A$300,"&gt;="&amp;EOMONTH(A161,-1)+1,Expenses!$A$2:$A$300,"&lt;="&amp;EOMONTH(A161,0))</f>
        <v>0</v>
      </c>
      <c r="F161" s="27">
        <f t="shared" si="2"/>
        <v>0</v>
      </c>
    </row>
    <row r="162" spans="1:6">
      <c r="A162" s="29"/>
      <c r="D162" s="27"/>
      <c r="E162" s="27">
        <f>SUMIFS(Expenses!$H$2:$H$300,Expenses!$B$2:$B$300,B162,Expenses!$D$2:$D$300,C162,Expenses!$A$2:$A$300,"&gt;="&amp;EOMONTH(A162,-1)+1,Expenses!$A$2:$A$300,"&lt;="&amp;EOMONTH(A162,0))</f>
        <v>0</v>
      </c>
      <c r="F162" s="27">
        <f t="shared" si="2"/>
        <v>0</v>
      </c>
    </row>
    <row r="163" spans="1:6">
      <c r="A163" s="29"/>
      <c r="D163" s="27"/>
      <c r="E163" s="27">
        <f>SUMIFS(Expenses!$H$2:$H$300,Expenses!$B$2:$B$300,B163,Expenses!$D$2:$D$300,C163,Expenses!$A$2:$A$300,"&gt;="&amp;EOMONTH(A163,-1)+1,Expenses!$A$2:$A$300,"&lt;="&amp;EOMONTH(A163,0))</f>
        <v>0</v>
      </c>
      <c r="F163" s="27">
        <f t="shared" si="2"/>
        <v>0</v>
      </c>
    </row>
    <row r="164" spans="1:6">
      <c r="A164" s="29"/>
      <c r="D164" s="27"/>
      <c r="E164" s="27">
        <f>SUMIFS(Expenses!$H$2:$H$300,Expenses!$B$2:$B$300,B164,Expenses!$D$2:$D$300,C164,Expenses!$A$2:$A$300,"&gt;="&amp;EOMONTH(A164,-1)+1,Expenses!$A$2:$A$300,"&lt;="&amp;EOMONTH(A164,0))</f>
        <v>0</v>
      </c>
      <c r="F164" s="27">
        <f t="shared" si="2"/>
        <v>0</v>
      </c>
    </row>
    <row r="165" spans="1:6">
      <c r="A165" s="29"/>
      <c r="D165" s="27"/>
      <c r="E165" s="27">
        <f>SUMIFS(Expenses!$H$2:$H$300,Expenses!$B$2:$B$300,B165,Expenses!$D$2:$D$300,C165,Expenses!$A$2:$A$300,"&gt;="&amp;EOMONTH(A165,-1)+1,Expenses!$A$2:$A$300,"&lt;="&amp;EOMONTH(A165,0))</f>
        <v>0</v>
      </c>
      <c r="F165" s="27">
        <f t="shared" si="2"/>
        <v>0</v>
      </c>
    </row>
    <row r="166" spans="1:6">
      <c r="A166" s="29"/>
      <c r="D166" s="27"/>
      <c r="E166" s="27">
        <f>SUMIFS(Expenses!$H$2:$H$300,Expenses!$B$2:$B$300,B166,Expenses!$D$2:$D$300,C166,Expenses!$A$2:$A$300,"&gt;="&amp;EOMONTH(A166,-1)+1,Expenses!$A$2:$A$300,"&lt;="&amp;EOMONTH(A166,0))</f>
        <v>0</v>
      </c>
      <c r="F166" s="27">
        <f t="shared" si="2"/>
        <v>0</v>
      </c>
    </row>
    <row r="167" spans="1:6">
      <c r="A167" s="29"/>
      <c r="D167" s="27"/>
      <c r="E167" s="27">
        <f>SUMIFS(Expenses!$H$2:$H$300,Expenses!$B$2:$B$300,B167,Expenses!$D$2:$D$300,C167,Expenses!$A$2:$A$300,"&gt;="&amp;EOMONTH(A167,-1)+1,Expenses!$A$2:$A$300,"&lt;="&amp;EOMONTH(A167,0))</f>
        <v>0</v>
      </c>
      <c r="F167" s="27">
        <f t="shared" si="2"/>
        <v>0</v>
      </c>
    </row>
    <row r="168" spans="1:6">
      <c r="A168" s="29"/>
      <c r="D168" s="27"/>
      <c r="E168" s="27">
        <f>SUMIFS(Expenses!$H$2:$H$300,Expenses!$B$2:$B$300,B168,Expenses!$D$2:$D$300,C168,Expenses!$A$2:$A$300,"&gt;="&amp;EOMONTH(A168,-1)+1,Expenses!$A$2:$A$300,"&lt;="&amp;EOMONTH(A168,0))</f>
        <v>0</v>
      </c>
      <c r="F168" s="27">
        <f t="shared" si="2"/>
        <v>0</v>
      </c>
    </row>
    <row r="169" spans="1:6">
      <c r="A169" s="29"/>
      <c r="D169" s="27"/>
      <c r="E169" s="27">
        <f>SUMIFS(Expenses!$H$2:$H$300,Expenses!$B$2:$B$300,B169,Expenses!$D$2:$D$300,C169,Expenses!$A$2:$A$300,"&gt;="&amp;EOMONTH(A169,-1)+1,Expenses!$A$2:$A$300,"&lt;="&amp;EOMONTH(A169,0))</f>
        <v>0</v>
      </c>
      <c r="F169" s="27">
        <f t="shared" si="2"/>
        <v>0</v>
      </c>
    </row>
    <row r="170" spans="1:6">
      <c r="A170" s="29"/>
      <c r="D170" s="27"/>
      <c r="E170" s="27">
        <f>SUMIFS(Expenses!$H$2:$H$300,Expenses!$B$2:$B$300,B170,Expenses!$D$2:$D$300,C170,Expenses!$A$2:$A$300,"&gt;="&amp;EOMONTH(A170,-1)+1,Expenses!$A$2:$A$300,"&lt;="&amp;EOMONTH(A170,0))</f>
        <v>0</v>
      </c>
      <c r="F170" s="27">
        <f t="shared" si="2"/>
        <v>0</v>
      </c>
    </row>
    <row r="171" spans="1:6">
      <c r="A171" s="29"/>
      <c r="D171" s="27"/>
      <c r="E171" s="27">
        <f>SUMIFS(Expenses!$H$2:$H$300,Expenses!$B$2:$B$300,B171,Expenses!$D$2:$D$300,C171,Expenses!$A$2:$A$300,"&gt;="&amp;EOMONTH(A171,-1)+1,Expenses!$A$2:$A$300,"&lt;="&amp;EOMONTH(A171,0))</f>
        <v>0</v>
      </c>
      <c r="F171" s="27">
        <f t="shared" si="2"/>
        <v>0</v>
      </c>
    </row>
    <row r="172" spans="1:6">
      <c r="A172" s="29"/>
      <c r="D172" s="27"/>
      <c r="E172" s="27">
        <f>SUMIFS(Expenses!$H$2:$H$300,Expenses!$B$2:$B$300,B172,Expenses!$D$2:$D$300,C172,Expenses!$A$2:$A$300,"&gt;="&amp;EOMONTH(A172,-1)+1,Expenses!$A$2:$A$300,"&lt;="&amp;EOMONTH(A172,0))</f>
        <v>0</v>
      </c>
      <c r="F172" s="27">
        <f t="shared" si="2"/>
        <v>0</v>
      </c>
    </row>
    <row r="173" spans="1:6">
      <c r="A173" s="29"/>
      <c r="D173" s="27"/>
      <c r="E173" s="27">
        <f>SUMIFS(Expenses!$H$2:$H$300,Expenses!$B$2:$B$300,B173,Expenses!$D$2:$D$300,C173,Expenses!$A$2:$A$300,"&gt;="&amp;EOMONTH(A173,-1)+1,Expenses!$A$2:$A$300,"&lt;="&amp;EOMONTH(A173,0))</f>
        <v>0</v>
      </c>
      <c r="F173" s="27">
        <f t="shared" si="2"/>
        <v>0</v>
      </c>
    </row>
    <row r="174" spans="1:6">
      <c r="A174" s="29"/>
      <c r="D174" s="27"/>
      <c r="E174" s="27">
        <f>SUMIFS(Expenses!$H$2:$H$300,Expenses!$B$2:$B$300,B174,Expenses!$D$2:$D$300,C174,Expenses!$A$2:$A$300,"&gt;="&amp;EOMONTH(A174,-1)+1,Expenses!$A$2:$A$300,"&lt;="&amp;EOMONTH(A174,0))</f>
        <v>0</v>
      </c>
      <c r="F174" s="27">
        <f t="shared" si="2"/>
        <v>0</v>
      </c>
    </row>
    <row r="175" spans="1:6">
      <c r="A175" s="29"/>
      <c r="D175" s="27"/>
      <c r="E175" s="27">
        <f>SUMIFS(Expenses!$H$2:$H$300,Expenses!$B$2:$B$300,B175,Expenses!$D$2:$D$300,C175,Expenses!$A$2:$A$300,"&gt;="&amp;EOMONTH(A175,-1)+1,Expenses!$A$2:$A$300,"&lt;="&amp;EOMONTH(A175,0))</f>
        <v>0</v>
      </c>
      <c r="F175" s="27">
        <f t="shared" si="2"/>
        <v>0</v>
      </c>
    </row>
    <row r="176" spans="1:6">
      <c r="A176" s="29"/>
      <c r="D176" s="27"/>
      <c r="E176" s="27">
        <f>SUMIFS(Expenses!$H$2:$H$300,Expenses!$B$2:$B$300,B176,Expenses!$D$2:$D$300,C176,Expenses!$A$2:$A$300,"&gt;="&amp;EOMONTH(A176,-1)+1,Expenses!$A$2:$A$300,"&lt;="&amp;EOMONTH(A176,0))</f>
        <v>0</v>
      </c>
      <c r="F176" s="27">
        <f t="shared" si="2"/>
        <v>0</v>
      </c>
    </row>
    <row r="177" spans="1:6">
      <c r="A177" s="29"/>
      <c r="D177" s="27"/>
      <c r="E177" s="27">
        <f>SUMIFS(Expenses!$H$2:$H$300,Expenses!$B$2:$B$300,B177,Expenses!$D$2:$D$300,C177,Expenses!$A$2:$A$300,"&gt;="&amp;EOMONTH(A177,-1)+1,Expenses!$A$2:$A$300,"&lt;="&amp;EOMONTH(A177,0))</f>
        <v>0</v>
      </c>
      <c r="F177" s="27">
        <f t="shared" si="2"/>
        <v>0</v>
      </c>
    </row>
    <row r="178" spans="1:6">
      <c r="A178" s="29"/>
      <c r="D178" s="27"/>
      <c r="E178" s="27">
        <f>SUMIFS(Expenses!$H$2:$H$300,Expenses!$B$2:$B$300,B178,Expenses!$D$2:$D$300,C178,Expenses!$A$2:$A$300,"&gt;="&amp;EOMONTH(A178,-1)+1,Expenses!$A$2:$A$300,"&lt;="&amp;EOMONTH(A178,0))</f>
        <v>0</v>
      </c>
      <c r="F178" s="27">
        <f t="shared" si="2"/>
        <v>0</v>
      </c>
    </row>
    <row r="179" spans="1:6">
      <c r="A179" s="29"/>
      <c r="D179" s="27"/>
      <c r="E179" s="27">
        <f>SUMIFS(Expenses!$H$2:$H$300,Expenses!$B$2:$B$300,B179,Expenses!$D$2:$D$300,C179,Expenses!$A$2:$A$300,"&gt;="&amp;EOMONTH(A179,-1)+1,Expenses!$A$2:$A$300,"&lt;="&amp;EOMONTH(A179,0))</f>
        <v>0</v>
      </c>
      <c r="F179" s="27">
        <f t="shared" si="2"/>
        <v>0</v>
      </c>
    </row>
    <row r="180" spans="1:6">
      <c r="A180" s="29"/>
      <c r="D180" s="27"/>
      <c r="E180" s="27">
        <f>SUMIFS(Expenses!$H$2:$H$300,Expenses!$B$2:$B$300,B180,Expenses!$D$2:$D$300,C180,Expenses!$A$2:$A$300,"&gt;="&amp;EOMONTH(A180,-1)+1,Expenses!$A$2:$A$300,"&lt;="&amp;EOMONTH(A180,0))</f>
        <v>0</v>
      </c>
      <c r="F180" s="27">
        <f t="shared" si="2"/>
        <v>0</v>
      </c>
    </row>
    <row r="181" spans="1:6">
      <c r="A181" s="29"/>
      <c r="D181" s="27"/>
      <c r="E181" s="27">
        <f>SUMIFS(Expenses!$H$2:$H$300,Expenses!$B$2:$B$300,B181,Expenses!$D$2:$D$300,C181,Expenses!$A$2:$A$300,"&gt;="&amp;EOMONTH(A181,-1)+1,Expenses!$A$2:$A$300,"&lt;="&amp;EOMONTH(A181,0))</f>
        <v>0</v>
      </c>
      <c r="F181" s="27">
        <f t="shared" si="2"/>
        <v>0</v>
      </c>
    </row>
    <row r="182" spans="1:6">
      <c r="A182" s="29"/>
      <c r="D182" s="27"/>
      <c r="E182" s="27">
        <f>SUMIFS(Expenses!$H$2:$H$300,Expenses!$B$2:$B$300,B182,Expenses!$D$2:$D$300,C182,Expenses!$A$2:$A$300,"&gt;="&amp;EOMONTH(A182,-1)+1,Expenses!$A$2:$A$300,"&lt;="&amp;EOMONTH(A182,0))</f>
        <v>0</v>
      </c>
      <c r="F182" s="27">
        <f t="shared" si="2"/>
        <v>0</v>
      </c>
    </row>
    <row r="183" spans="1:6">
      <c r="A183" s="29"/>
      <c r="D183" s="27"/>
      <c r="E183" s="27">
        <f>SUMIFS(Expenses!$H$2:$H$300,Expenses!$B$2:$B$300,B183,Expenses!$D$2:$D$300,C183,Expenses!$A$2:$A$300,"&gt;="&amp;EOMONTH(A183,-1)+1,Expenses!$A$2:$A$300,"&lt;="&amp;EOMONTH(A183,0))</f>
        <v>0</v>
      </c>
      <c r="F183" s="27">
        <f t="shared" si="2"/>
        <v>0</v>
      </c>
    </row>
    <row r="184" spans="1:6">
      <c r="A184" s="29"/>
      <c r="D184" s="27"/>
      <c r="E184" s="27">
        <f>SUMIFS(Expenses!$H$2:$H$300,Expenses!$B$2:$B$300,B184,Expenses!$D$2:$D$300,C184,Expenses!$A$2:$A$300,"&gt;="&amp;EOMONTH(A184,-1)+1,Expenses!$A$2:$A$300,"&lt;="&amp;EOMONTH(A184,0))</f>
        <v>0</v>
      </c>
      <c r="F184" s="27">
        <f t="shared" si="2"/>
        <v>0</v>
      </c>
    </row>
    <row r="185" spans="1:6">
      <c r="A185" s="29"/>
      <c r="D185" s="27"/>
      <c r="E185" s="27">
        <f>SUMIFS(Expenses!$H$2:$H$300,Expenses!$B$2:$B$300,B185,Expenses!$D$2:$D$300,C185,Expenses!$A$2:$A$300,"&gt;="&amp;EOMONTH(A185,-1)+1,Expenses!$A$2:$A$300,"&lt;="&amp;EOMONTH(A185,0))</f>
        <v>0</v>
      </c>
      <c r="F185" s="27">
        <f t="shared" si="2"/>
        <v>0</v>
      </c>
    </row>
    <row r="186" spans="1:6">
      <c r="A186" s="29"/>
      <c r="D186" s="27"/>
      <c r="E186" s="27">
        <f>SUMIFS(Expenses!$H$2:$H$300,Expenses!$B$2:$B$300,B186,Expenses!$D$2:$D$300,C186,Expenses!$A$2:$A$300,"&gt;="&amp;EOMONTH(A186,-1)+1,Expenses!$A$2:$A$300,"&lt;="&amp;EOMONTH(A186,0))</f>
        <v>0</v>
      </c>
      <c r="F186" s="27">
        <f t="shared" si="2"/>
        <v>0</v>
      </c>
    </row>
    <row r="187" spans="1:6">
      <c r="A187" s="29"/>
      <c r="D187" s="27"/>
      <c r="E187" s="27">
        <f>SUMIFS(Expenses!$H$2:$H$300,Expenses!$B$2:$B$300,B187,Expenses!$D$2:$D$300,C187,Expenses!$A$2:$A$300,"&gt;="&amp;EOMONTH(A187,-1)+1,Expenses!$A$2:$A$300,"&lt;="&amp;EOMONTH(A187,0))</f>
        <v>0</v>
      </c>
      <c r="F187" s="27">
        <f t="shared" si="2"/>
        <v>0</v>
      </c>
    </row>
    <row r="188" spans="1:6">
      <c r="A188" s="29"/>
      <c r="D188" s="27"/>
      <c r="E188" s="27">
        <f>SUMIFS(Expenses!$H$2:$H$300,Expenses!$B$2:$B$300,B188,Expenses!$D$2:$D$300,C188,Expenses!$A$2:$A$300,"&gt;="&amp;EOMONTH(A188,-1)+1,Expenses!$A$2:$A$300,"&lt;="&amp;EOMONTH(A188,0))</f>
        <v>0</v>
      </c>
      <c r="F188" s="27">
        <f t="shared" si="2"/>
        <v>0</v>
      </c>
    </row>
    <row r="189" spans="1:6">
      <c r="A189" s="29"/>
      <c r="D189" s="27"/>
      <c r="E189" s="27">
        <f>SUMIFS(Expenses!$H$2:$H$300,Expenses!$B$2:$B$300,B189,Expenses!$D$2:$D$300,C189,Expenses!$A$2:$A$300,"&gt;="&amp;EOMONTH(A189,-1)+1,Expenses!$A$2:$A$300,"&lt;="&amp;EOMONTH(A189,0))</f>
        <v>0</v>
      </c>
      <c r="F189" s="27">
        <f t="shared" si="2"/>
        <v>0</v>
      </c>
    </row>
    <row r="190" spans="1:6">
      <c r="A190" s="29"/>
      <c r="D190" s="27"/>
      <c r="E190" s="27">
        <f>SUMIFS(Expenses!$H$2:$H$300,Expenses!$B$2:$B$300,B190,Expenses!$D$2:$D$300,C190,Expenses!$A$2:$A$300,"&gt;="&amp;EOMONTH(A190,-1)+1,Expenses!$A$2:$A$300,"&lt;="&amp;EOMONTH(A190,0))</f>
        <v>0</v>
      </c>
      <c r="F190" s="27">
        <f t="shared" si="2"/>
        <v>0</v>
      </c>
    </row>
    <row r="191" spans="1:6">
      <c r="A191" s="29"/>
      <c r="D191" s="27"/>
      <c r="E191" s="27">
        <f>SUMIFS(Expenses!$H$2:$H$300,Expenses!$B$2:$B$300,B191,Expenses!$D$2:$D$300,C191,Expenses!$A$2:$A$300,"&gt;="&amp;EOMONTH(A191,-1)+1,Expenses!$A$2:$A$300,"&lt;="&amp;EOMONTH(A191,0))</f>
        <v>0</v>
      </c>
      <c r="F191" s="27">
        <f t="shared" si="2"/>
        <v>0</v>
      </c>
    </row>
    <row r="192" spans="1:6">
      <c r="A192" s="29"/>
      <c r="D192" s="27"/>
      <c r="E192" s="27">
        <f>SUMIFS(Expenses!$H$2:$H$300,Expenses!$B$2:$B$300,B192,Expenses!$D$2:$D$300,C192,Expenses!$A$2:$A$300,"&gt;="&amp;EOMONTH(A192,-1)+1,Expenses!$A$2:$A$300,"&lt;="&amp;EOMONTH(A192,0))</f>
        <v>0</v>
      </c>
      <c r="F192" s="27">
        <f t="shared" si="2"/>
        <v>0</v>
      </c>
    </row>
    <row r="193" spans="1:6">
      <c r="A193" s="29"/>
      <c r="D193" s="27"/>
      <c r="E193" s="27">
        <f>SUMIFS(Expenses!$H$2:$H$300,Expenses!$B$2:$B$300,B193,Expenses!$D$2:$D$300,C193,Expenses!$A$2:$A$300,"&gt;="&amp;EOMONTH(A193,-1)+1,Expenses!$A$2:$A$300,"&lt;="&amp;EOMONTH(A193,0))</f>
        <v>0</v>
      </c>
      <c r="F193" s="27">
        <f t="shared" si="2"/>
        <v>0</v>
      </c>
    </row>
    <row r="194" spans="1:6">
      <c r="A194" s="29"/>
      <c r="D194" s="27"/>
      <c r="E194" s="27">
        <f>SUMIFS(Expenses!$H$2:$H$300,Expenses!$B$2:$B$300,B194,Expenses!$D$2:$D$300,C194,Expenses!$A$2:$A$300,"&gt;="&amp;EOMONTH(A194,-1)+1,Expenses!$A$2:$A$300,"&lt;="&amp;EOMONTH(A194,0))</f>
        <v>0</v>
      </c>
      <c r="F194" s="27">
        <f t="shared" ref="F194:F257" si="3">D194-E194</f>
        <v>0</v>
      </c>
    </row>
    <row r="195" spans="1:6">
      <c r="A195" s="29"/>
      <c r="D195" s="27"/>
      <c r="E195" s="27">
        <f>SUMIFS(Expenses!$H$2:$H$300,Expenses!$B$2:$B$300,B195,Expenses!$D$2:$D$300,C195,Expenses!$A$2:$A$300,"&gt;="&amp;EOMONTH(A195,-1)+1,Expenses!$A$2:$A$300,"&lt;="&amp;EOMONTH(A195,0))</f>
        <v>0</v>
      </c>
      <c r="F195" s="27">
        <f t="shared" si="3"/>
        <v>0</v>
      </c>
    </row>
    <row r="196" spans="1:6">
      <c r="A196" s="29"/>
      <c r="D196" s="27"/>
      <c r="E196" s="27">
        <f>SUMIFS(Expenses!$H$2:$H$300,Expenses!$B$2:$B$300,B196,Expenses!$D$2:$D$300,C196,Expenses!$A$2:$A$300,"&gt;="&amp;EOMONTH(A196,-1)+1,Expenses!$A$2:$A$300,"&lt;="&amp;EOMONTH(A196,0))</f>
        <v>0</v>
      </c>
      <c r="F196" s="27">
        <f t="shared" si="3"/>
        <v>0</v>
      </c>
    </row>
    <row r="197" spans="1:6">
      <c r="A197" s="29"/>
      <c r="D197" s="27"/>
      <c r="E197" s="27">
        <f>SUMIFS(Expenses!$H$2:$H$300,Expenses!$B$2:$B$300,B197,Expenses!$D$2:$D$300,C197,Expenses!$A$2:$A$300,"&gt;="&amp;EOMONTH(A197,-1)+1,Expenses!$A$2:$A$300,"&lt;="&amp;EOMONTH(A197,0))</f>
        <v>0</v>
      </c>
      <c r="F197" s="27">
        <f t="shared" si="3"/>
        <v>0</v>
      </c>
    </row>
    <row r="198" spans="1:6">
      <c r="A198" s="29"/>
      <c r="D198" s="27"/>
      <c r="E198" s="27">
        <f>SUMIFS(Expenses!$H$2:$H$300,Expenses!$B$2:$B$300,B198,Expenses!$D$2:$D$300,C198,Expenses!$A$2:$A$300,"&gt;="&amp;EOMONTH(A198,-1)+1,Expenses!$A$2:$A$300,"&lt;="&amp;EOMONTH(A198,0))</f>
        <v>0</v>
      </c>
      <c r="F198" s="27">
        <f t="shared" si="3"/>
        <v>0</v>
      </c>
    </row>
    <row r="199" spans="1:6">
      <c r="A199" s="29"/>
      <c r="D199" s="27"/>
      <c r="E199" s="27">
        <f>SUMIFS(Expenses!$H$2:$H$300,Expenses!$B$2:$B$300,B199,Expenses!$D$2:$D$300,C199,Expenses!$A$2:$A$300,"&gt;="&amp;EOMONTH(A199,-1)+1,Expenses!$A$2:$A$300,"&lt;="&amp;EOMONTH(A199,0))</f>
        <v>0</v>
      </c>
      <c r="F199" s="27">
        <f t="shared" si="3"/>
        <v>0</v>
      </c>
    </row>
    <row r="200" spans="1:6">
      <c r="A200" s="29"/>
      <c r="D200" s="27"/>
      <c r="E200" s="27">
        <f>SUMIFS(Expenses!$H$2:$H$300,Expenses!$B$2:$B$300,B200,Expenses!$D$2:$D$300,C200,Expenses!$A$2:$A$300,"&gt;="&amp;EOMONTH(A200,-1)+1,Expenses!$A$2:$A$300,"&lt;="&amp;EOMONTH(A200,0))</f>
        <v>0</v>
      </c>
      <c r="F200" s="27">
        <f t="shared" si="3"/>
        <v>0</v>
      </c>
    </row>
    <row r="201" spans="1:6">
      <c r="A201" s="29"/>
      <c r="D201" s="27"/>
      <c r="E201" s="27">
        <f>SUMIFS(Expenses!$H$2:$H$300,Expenses!$B$2:$B$300,B201,Expenses!$D$2:$D$300,C201,Expenses!$A$2:$A$300,"&gt;="&amp;EOMONTH(A201,-1)+1,Expenses!$A$2:$A$300,"&lt;="&amp;EOMONTH(A201,0))</f>
        <v>0</v>
      </c>
      <c r="F201" s="27">
        <f t="shared" si="3"/>
        <v>0</v>
      </c>
    </row>
    <row r="202" spans="1:6">
      <c r="A202" s="29"/>
      <c r="D202" s="27"/>
      <c r="E202" s="27">
        <f>SUMIFS(Expenses!$H$2:$H$300,Expenses!$B$2:$B$300,B202,Expenses!$D$2:$D$300,C202,Expenses!$A$2:$A$300,"&gt;="&amp;EOMONTH(A202,-1)+1,Expenses!$A$2:$A$300,"&lt;="&amp;EOMONTH(A202,0))</f>
        <v>0</v>
      </c>
      <c r="F202" s="27">
        <f t="shared" si="3"/>
        <v>0</v>
      </c>
    </row>
    <row r="203" spans="1:6">
      <c r="A203" s="29"/>
      <c r="D203" s="27"/>
      <c r="E203" s="27">
        <f>SUMIFS(Expenses!$H$2:$H$300,Expenses!$B$2:$B$300,B203,Expenses!$D$2:$D$300,C203,Expenses!$A$2:$A$300,"&gt;="&amp;EOMONTH(A203,-1)+1,Expenses!$A$2:$A$300,"&lt;="&amp;EOMONTH(A203,0))</f>
        <v>0</v>
      </c>
      <c r="F203" s="27">
        <f t="shared" si="3"/>
        <v>0</v>
      </c>
    </row>
    <row r="204" spans="1:6">
      <c r="A204" s="29"/>
      <c r="D204" s="27"/>
      <c r="E204" s="27">
        <f>SUMIFS(Expenses!$H$2:$H$300,Expenses!$B$2:$B$300,B204,Expenses!$D$2:$D$300,C204,Expenses!$A$2:$A$300,"&gt;="&amp;EOMONTH(A204,-1)+1,Expenses!$A$2:$A$300,"&lt;="&amp;EOMONTH(A204,0))</f>
        <v>0</v>
      </c>
      <c r="F204" s="27">
        <f t="shared" si="3"/>
        <v>0</v>
      </c>
    </row>
    <row r="205" spans="1:6">
      <c r="A205" s="29"/>
      <c r="D205" s="27"/>
      <c r="E205" s="27">
        <f>SUMIFS(Expenses!$H$2:$H$300,Expenses!$B$2:$B$300,B205,Expenses!$D$2:$D$300,C205,Expenses!$A$2:$A$300,"&gt;="&amp;EOMONTH(A205,-1)+1,Expenses!$A$2:$A$300,"&lt;="&amp;EOMONTH(A205,0))</f>
        <v>0</v>
      </c>
      <c r="F205" s="27">
        <f t="shared" si="3"/>
        <v>0</v>
      </c>
    </row>
    <row r="206" spans="1:6">
      <c r="A206" s="29"/>
      <c r="D206" s="27"/>
      <c r="E206" s="27">
        <f>SUMIFS(Expenses!$H$2:$H$300,Expenses!$B$2:$B$300,B206,Expenses!$D$2:$D$300,C206,Expenses!$A$2:$A$300,"&gt;="&amp;EOMONTH(A206,-1)+1,Expenses!$A$2:$A$300,"&lt;="&amp;EOMONTH(A206,0))</f>
        <v>0</v>
      </c>
      <c r="F206" s="27">
        <f t="shared" si="3"/>
        <v>0</v>
      </c>
    </row>
    <row r="207" spans="1:6">
      <c r="A207" s="29"/>
      <c r="D207" s="27"/>
      <c r="E207" s="27">
        <f>SUMIFS(Expenses!$H$2:$H$300,Expenses!$B$2:$B$300,B207,Expenses!$D$2:$D$300,C207,Expenses!$A$2:$A$300,"&gt;="&amp;EOMONTH(A207,-1)+1,Expenses!$A$2:$A$300,"&lt;="&amp;EOMONTH(A207,0))</f>
        <v>0</v>
      </c>
      <c r="F207" s="27">
        <f t="shared" si="3"/>
        <v>0</v>
      </c>
    </row>
    <row r="208" spans="1:6">
      <c r="A208" s="29"/>
      <c r="D208" s="27"/>
      <c r="E208" s="27">
        <f>SUMIFS(Expenses!$H$2:$H$300,Expenses!$B$2:$B$300,B208,Expenses!$D$2:$D$300,C208,Expenses!$A$2:$A$300,"&gt;="&amp;EOMONTH(A208,-1)+1,Expenses!$A$2:$A$300,"&lt;="&amp;EOMONTH(A208,0))</f>
        <v>0</v>
      </c>
      <c r="F208" s="27">
        <f t="shared" si="3"/>
        <v>0</v>
      </c>
    </row>
    <row r="209" spans="1:6">
      <c r="A209" s="29"/>
      <c r="D209" s="27"/>
      <c r="E209" s="27">
        <f>SUMIFS(Expenses!$H$2:$H$300,Expenses!$B$2:$B$300,B209,Expenses!$D$2:$D$300,C209,Expenses!$A$2:$A$300,"&gt;="&amp;EOMONTH(A209,-1)+1,Expenses!$A$2:$A$300,"&lt;="&amp;EOMONTH(A209,0))</f>
        <v>0</v>
      </c>
      <c r="F209" s="27">
        <f t="shared" si="3"/>
        <v>0</v>
      </c>
    </row>
    <row r="210" spans="1:6">
      <c r="A210" s="29"/>
      <c r="D210" s="27"/>
      <c r="E210" s="27">
        <f>SUMIFS(Expenses!$H$2:$H$300,Expenses!$B$2:$B$300,B210,Expenses!$D$2:$D$300,C210,Expenses!$A$2:$A$300,"&gt;="&amp;EOMONTH(A210,-1)+1,Expenses!$A$2:$A$300,"&lt;="&amp;EOMONTH(A210,0))</f>
        <v>0</v>
      </c>
      <c r="F210" s="27">
        <f t="shared" si="3"/>
        <v>0</v>
      </c>
    </row>
    <row r="211" spans="1:6">
      <c r="A211" s="29"/>
      <c r="D211" s="27"/>
      <c r="E211" s="27">
        <f>SUMIFS(Expenses!$H$2:$H$300,Expenses!$B$2:$B$300,B211,Expenses!$D$2:$D$300,C211,Expenses!$A$2:$A$300,"&gt;="&amp;EOMONTH(A211,-1)+1,Expenses!$A$2:$A$300,"&lt;="&amp;EOMONTH(A211,0))</f>
        <v>0</v>
      </c>
      <c r="F211" s="27">
        <f t="shared" si="3"/>
        <v>0</v>
      </c>
    </row>
    <row r="212" spans="1:6">
      <c r="A212" s="29"/>
      <c r="D212" s="27"/>
      <c r="E212" s="27">
        <f>SUMIFS(Expenses!$H$2:$H$300,Expenses!$B$2:$B$300,B212,Expenses!$D$2:$D$300,C212,Expenses!$A$2:$A$300,"&gt;="&amp;EOMONTH(A212,-1)+1,Expenses!$A$2:$A$300,"&lt;="&amp;EOMONTH(A212,0))</f>
        <v>0</v>
      </c>
      <c r="F212" s="27">
        <f t="shared" si="3"/>
        <v>0</v>
      </c>
    </row>
    <row r="213" spans="1:6">
      <c r="A213" s="29"/>
      <c r="D213" s="27"/>
      <c r="E213" s="27">
        <f>SUMIFS(Expenses!$H$2:$H$300,Expenses!$B$2:$B$300,B213,Expenses!$D$2:$D$300,C213,Expenses!$A$2:$A$300,"&gt;="&amp;EOMONTH(A213,-1)+1,Expenses!$A$2:$A$300,"&lt;="&amp;EOMONTH(A213,0))</f>
        <v>0</v>
      </c>
      <c r="F213" s="27">
        <f t="shared" si="3"/>
        <v>0</v>
      </c>
    </row>
    <row r="214" spans="1:6">
      <c r="A214" s="29"/>
      <c r="D214" s="27"/>
      <c r="E214" s="27">
        <f>SUMIFS(Expenses!$H$2:$H$300,Expenses!$B$2:$B$300,B214,Expenses!$D$2:$D$300,C214,Expenses!$A$2:$A$300,"&gt;="&amp;EOMONTH(A214,-1)+1,Expenses!$A$2:$A$300,"&lt;="&amp;EOMONTH(A214,0))</f>
        <v>0</v>
      </c>
      <c r="F214" s="27">
        <f t="shared" si="3"/>
        <v>0</v>
      </c>
    </row>
    <row r="215" spans="1:6">
      <c r="A215" s="29"/>
      <c r="D215" s="27"/>
      <c r="E215" s="27">
        <f>SUMIFS(Expenses!$H$2:$H$300,Expenses!$B$2:$B$300,B215,Expenses!$D$2:$D$300,C215,Expenses!$A$2:$A$300,"&gt;="&amp;EOMONTH(A215,-1)+1,Expenses!$A$2:$A$300,"&lt;="&amp;EOMONTH(A215,0))</f>
        <v>0</v>
      </c>
      <c r="F215" s="27">
        <f t="shared" si="3"/>
        <v>0</v>
      </c>
    </row>
    <row r="216" spans="1:6">
      <c r="A216" s="29"/>
      <c r="D216" s="27"/>
      <c r="E216" s="27">
        <f>SUMIFS(Expenses!$H$2:$H$300,Expenses!$B$2:$B$300,B216,Expenses!$D$2:$D$300,C216,Expenses!$A$2:$A$300,"&gt;="&amp;EOMONTH(A216,-1)+1,Expenses!$A$2:$A$300,"&lt;="&amp;EOMONTH(A216,0))</f>
        <v>0</v>
      </c>
      <c r="F216" s="27">
        <f t="shared" si="3"/>
        <v>0</v>
      </c>
    </row>
    <row r="217" spans="1:6">
      <c r="A217" s="29"/>
      <c r="D217" s="27"/>
      <c r="E217" s="27">
        <f>SUMIFS(Expenses!$H$2:$H$300,Expenses!$B$2:$B$300,B217,Expenses!$D$2:$D$300,C217,Expenses!$A$2:$A$300,"&gt;="&amp;EOMONTH(A217,-1)+1,Expenses!$A$2:$A$300,"&lt;="&amp;EOMONTH(A217,0))</f>
        <v>0</v>
      </c>
      <c r="F217" s="27">
        <f t="shared" si="3"/>
        <v>0</v>
      </c>
    </row>
    <row r="218" spans="1:6">
      <c r="A218" s="29"/>
      <c r="D218" s="27"/>
      <c r="E218" s="27">
        <f>SUMIFS(Expenses!$H$2:$H$300,Expenses!$B$2:$B$300,B218,Expenses!$D$2:$D$300,C218,Expenses!$A$2:$A$300,"&gt;="&amp;EOMONTH(A218,-1)+1,Expenses!$A$2:$A$300,"&lt;="&amp;EOMONTH(A218,0))</f>
        <v>0</v>
      </c>
      <c r="F218" s="27">
        <f t="shared" si="3"/>
        <v>0</v>
      </c>
    </row>
    <row r="219" spans="1:6">
      <c r="A219" s="29"/>
      <c r="D219" s="27"/>
      <c r="E219" s="27">
        <f>SUMIFS(Expenses!$H$2:$H$300,Expenses!$B$2:$B$300,B219,Expenses!$D$2:$D$300,C219,Expenses!$A$2:$A$300,"&gt;="&amp;EOMONTH(A219,-1)+1,Expenses!$A$2:$A$300,"&lt;="&amp;EOMONTH(A219,0))</f>
        <v>0</v>
      </c>
      <c r="F219" s="27">
        <f t="shared" si="3"/>
        <v>0</v>
      </c>
    </row>
    <row r="220" spans="1:6">
      <c r="A220" s="29"/>
      <c r="D220" s="27"/>
      <c r="E220" s="27">
        <f>SUMIFS(Expenses!$H$2:$H$300,Expenses!$B$2:$B$300,B220,Expenses!$D$2:$D$300,C220,Expenses!$A$2:$A$300,"&gt;="&amp;EOMONTH(A220,-1)+1,Expenses!$A$2:$A$300,"&lt;="&amp;EOMONTH(A220,0))</f>
        <v>0</v>
      </c>
      <c r="F220" s="27">
        <f t="shared" si="3"/>
        <v>0</v>
      </c>
    </row>
    <row r="221" spans="1:6">
      <c r="A221" s="29"/>
      <c r="D221" s="27"/>
      <c r="E221" s="27">
        <f>SUMIFS(Expenses!$H$2:$H$300,Expenses!$B$2:$B$300,B221,Expenses!$D$2:$D$300,C221,Expenses!$A$2:$A$300,"&gt;="&amp;EOMONTH(A221,-1)+1,Expenses!$A$2:$A$300,"&lt;="&amp;EOMONTH(A221,0))</f>
        <v>0</v>
      </c>
      <c r="F221" s="27">
        <f t="shared" si="3"/>
        <v>0</v>
      </c>
    </row>
    <row r="222" spans="1:6">
      <c r="A222" s="29"/>
      <c r="D222" s="27"/>
      <c r="E222" s="27">
        <f>SUMIFS(Expenses!$H$2:$H$300,Expenses!$B$2:$B$300,B222,Expenses!$D$2:$D$300,C222,Expenses!$A$2:$A$300,"&gt;="&amp;EOMONTH(A222,-1)+1,Expenses!$A$2:$A$300,"&lt;="&amp;EOMONTH(A222,0))</f>
        <v>0</v>
      </c>
      <c r="F222" s="27">
        <f t="shared" si="3"/>
        <v>0</v>
      </c>
    </row>
    <row r="223" spans="1:6">
      <c r="A223" s="29"/>
      <c r="D223" s="27"/>
      <c r="E223" s="27">
        <f>SUMIFS(Expenses!$H$2:$H$300,Expenses!$B$2:$B$300,B223,Expenses!$D$2:$D$300,C223,Expenses!$A$2:$A$300,"&gt;="&amp;EOMONTH(A223,-1)+1,Expenses!$A$2:$A$300,"&lt;="&amp;EOMONTH(A223,0))</f>
        <v>0</v>
      </c>
      <c r="F223" s="27">
        <f t="shared" si="3"/>
        <v>0</v>
      </c>
    </row>
    <row r="224" spans="1:6">
      <c r="A224" s="29"/>
      <c r="D224" s="27"/>
      <c r="E224" s="27">
        <f>SUMIFS(Expenses!$H$2:$H$300,Expenses!$B$2:$B$300,B224,Expenses!$D$2:$D$300,C224,Expenses!$A$2:$A$300,"&gt;="&amp;EOMONTH(A224,-1)+1,Expenses!$A$2:$A$300,"&lt;="&amp;EOMONTH(A224,0))</f>
        <v>0</v>
      </c>
      <c r="F224" s="27">
        <f t="shared" si="3"/>
        <v>0</v>
      </c>
    </row>
    <row r="225" spans="1:6">
      <c r="A225" s="29"/>
      <c r="D225" s="27"/>
      <c r="E225" s="27">
        <f>SUMIFS(Expenses!$H$2:$H$300,Expenses!$B$2:$B$300,B225,Expenses!$D$2:$D$300,C225,Expenses!$A$2:$A$300,"&gt;="&amp;EOMONTH(A225,-1)+1,Expenses!$A$2:$A$300,"&lt;="&amp;EOMONTH(A225,0))</f>
        <v>0</v>
      </c>
      <c r="F225" s="27">
        <f t="shared" si="3"/>
        <v>0</v>
      </c>
    </row>
    <row r="226" spans="1:6">
      <c r="A226" s="29"/>
      <c r="D226" s="27"/>
      <c r="E226" s="27">
        <f>SUMIFS(Expenses!$H$2:$H$300,Expenses!$B$2:$B$300,B226,Expenses!$D$2:$D$300,C226,Expenses!$A$2:$A$300,"&gt;="&amp;EOMONTH(A226,-1)+1,Expenses!$A$2:$A$300,"&lt;="&amp;EOMONTH(A226,0))</f>
        <v>0</v>
      </c>
      <c r="F226" s="27">
        <f t="shared" si="3"/>
        <v>0</v>
      </c>
    </row>
    <row r="227" spans="1:6">
      <c r="A227" s="29"/>
      <c r="D227" s="27"/>
      <c r="E227" s="27">
        <f>SUMIFS(Expenses!$H$2:$H$300,Expenses!$B$2:$B$300,B227,Expenses!$D$2:$D$300,C227,Expenses!$A$2:$A$300,"&gt;="&amp;EOMONTH(A227,-1)+1,Expenses!$A$2:$A$300,"&lt;="&amp;EOMONTH(A227,0))</f>
        <v>0</v>
      </c>
      <c r="F227" s="27">
        <f t="shared" si="3"/>
        <v>0</v>
      </c>
    </row>
    <row r="228" spans="1:6">
      <c r="A228" s="29"/>
      <c r="D228" s="27"/>
      <c r="E228" s="27">
        <f>SUMIFS(Expenses!$H$2:$H$300,Expenses!$B$2:$B$300,B228,Expenses!$D$2:$D$300,C228,Expenses!$A$2:$A$300,"&gt;="&amp;EOMONTH(A228,-1)+1,Expenses!$A$2:$A$300,"&lt;="&amp;EOMONTH(A228,0))</f>
        <v>0</v>
      </c>
      <c r="F228" s="27">
        <f t="shared" si="3"/>
        <v>0</v>
      </c>
    </row>
    <row r="229" spans="1:6">
      <c r="A229" s="29"/>
      <c r="D229" s="27"/>
      <c r="E229" s="27">
        <f>SUMIFS(Expenses!$H$2:$H$300,Expenses!$B$2:$B$300,B229,Expenses!$D$2:$D$300,C229,Expenses!$A$2:$A$300,"&gt;="&amp;EOMONTH(A229,-1)+1,Expenses!$A$2:$A$300,"&lt;="&amp;EOMONTH(A229,0))</f>
        <v>0</v>
      </c>
      <c r="F229" s="27">
        <f t="shared" si="3"/>
        <v>0</v>
      </c>
    </row>
    <row r="230" spans="1:6">
      <c r="A230" s="29"/>
      <c r="D230" s="27"/>
      <c r="E230" s="27">
        <f>SUMIFS(Expenses!$H$2:$H$300,Expenses!$B$2:$B$300,B230,Expenses!$D$2:$D$300,C230,Expenses!$A$2:$A$300,"&gt;="&amp;EOMONTH(A230,-1)+1,Expenses!$A$2:$A$300,"&lt;="&amp;EOMONTH(A230,0))</f>
        <v>0</v>
      </c>
      <c r="F230" s="27">
        <f t="shared" si="3"/>
        <v>0</v>
      </c>
    </row>
    <row r="231" spans="1:6">
      <c r="A231" s="29"/>
      <c r="D231" s="27"/>
      <c r="E231" s="27">
        <f>SUMIFS(Expenses!$H$2:$H$300,Expenses!$B$2:$B$300,B231,Expenses!$D$2:$D$300,C231,Expenses!$A$2:$A$300,"&gt;="&amp;EOMONTH(A231,-1)+1,Expenses!$A$2:$A$300,"&lt;="&amp;EOMONTH(A231,0))</f>
        <v>0</v>
      </c>
      <c r="F231" s="27">
        <f t="shared" si="3"/>
        <v>0</v>
      </c>
    </row>
    <row r="232" spans="1:6">
      <c r="A232" s="29"/>
      <c r="D232" s="27"/>
      <c r="E232" s="27">
        <f>SUMIFS(Expenses!$H$2:$H$300,Expenses!$B$2:$B$300,B232,Expenses!$D$2:$D$300,C232,Expenses!$A$2:$A$300,"&gt;="&amp;EOMONTH(A232,-1)+1,Expenses!$A$2:$A$300,"&lt;="&amp;EOMONTH(A232,0))</f>
        <v>0</v>
      </c>
      <c r="F232" s="27">
        <f t="shared" si="3"/>
        <v>0</v>
      </c>
    </row>
    <row r="233" spans="1:6">
      <c r="A233" s="29"/>
      <c r="D233" s="27"/>
      <c r="E233" s="27">
        <f>SUMIFS(Expenses!$H$2:$H$300,Expenses!$B$2:$B$300,B233,Expenses!$D$2:$D$300,C233,Expenses!$A$2:$A$300,"&gt;="&amp;EOMONTH(A233,-1)+1,Expenses!$A$2:$A$300,"&lt;="&amp;EOMONTH(A233,0))</f>
        <v>0</v>
      </c>
      <c r="F233" s="27">
        <f t="shared" si="3"/>
        <v>0</v>
      </c>
    </row>
    <row r="234" spans="1:6">
      <c r="A234" s="29"/>
      <c r="D234" s="27"/>
      <c r="E234" s="27">
        <f>SUMIFS(Expenses!$H$2:$H$300,Expenses!$B$2:$B$300,B234,Expenses!$D$2:$D$300,C234,Expenses!$A$2:$A$300,"&gt;="&amp;EOMONTH(A234,-1)+1,Expenses!$A$2:$A$300,"&lt;="&amp;EOMONTH(A234,0))</f>
        <v>0</v>
      </c>
      <c r="F234" s="27">
        <f t="shared" si="3"/>
        <v>0</v>
      </c>
    </row>
    <row r="235" spans="1:6">
      <c r="A235" s="29"/>
      <c r="D235" s="27"/>
      <c r="E235" s="27">
        <f>SUMIFS(Expenses!$H$2:$H$300,Expenses!$B$2:$B$300,B235,Expenses!$D$2:$D$300,C235,Expenses!$A$2:$A$300,"&gt;="&amp;EOMONTH(A235,-1)+1,Expenses!$A$2:$A$300,"&lt;="&amp;EOMONTH(A235,0))</f>
        <v>0</v>
      </c>
      <c r="F235" s="27">
        <f t="shared" si="3"/>
        <v>0</v>
      </c>
    </row>
    <row r="236" spans="1:6">
      <c r="A236" s="29"/>
      <c r="D236" s="27"/>
      <c r="E236" s="27">
        <f>SUMIFS(Expenses!$H$2:$H$300,Expenses!$B$2:$B$300,B236,Expenses!$D$2:$D$300,C236,Expenses!$A$2:$A$300,"&gt;="&amp;EOMONTH(A236,-1)+1,Expenses!$A$2:$A$300,"&lt;="&amp;EOMONTH(A236,0))</f>
        <v>0</v>
      </c>
      <c r="F236" s="27">
        <f t="shared" si="3"/>
        <v>0</v>
      </c>
    </row>
    <row r="237" spans="1:6">
      <c r="A237" s="29"/>
      <c r="D237" s="27"/>
      <c r="E237" s="27">
        <f>SUMIFS(Expenses!$H$2:$H$300,Expenses!$B$2:$B$300,B237,Expenses!$D$2:$D$300,C237,Expenses!$A$2:$A$300,"&gt;="&amp;EOMONTH(A237,-1)+1,Expenses!$A$2:$A$300,"&lt;="&amp;EOMONTH(A237,0))</f>
        <v>0</v>
      </c>
      <c r="F237" s="27">
        <f t="shared" si="3"/>
        <v>0</v>
      </c>
    </row>
    <row r="238" spans="1:6">
      <c r="A238" s="29"/>
      <c r="D238" s="27"/>
      <c r="E238" s="27">
        <f>SUMIFS(Expenses!$H$2:$H$300,Expenses!$B$2:$B$300,B238,Expenses!$D$2:$D$300,C238,Expenses!$A$2:$A$300,"&gt;="&amp;EOMONTH(A238,-1)+1,Expenses!$A$2:$A$300,"&lt;="&amp;EOMONTH(A238,0))</f>
        <v>0</v>
      </c>
      <c r="F238" s="27">
        <f t="shared" si="3"/>
        <v>0</v>
      </c>
    </row>
    <row r="239" spans="1:6">
      <c r="A239" s="29"/>
      <c r="D239" s="27"/>
      <c r="E239" s="27">
        <f>SUMIFS(Expenses!$H$2:$H$300,Expenses!$B$2:$B$300,B239,Expenses!$D$2:$D$300,C239,Expenses!$A$2:$A$300,"&gt;="&amp;EOMONTH(A239,-1)+1,Expenses!$A$2:$A$300,"&lt;="&amp;EOMONTH(A239,0))</f>
        <v>0</v>
      </c>
      <c r="F239" s="27">
        <f t="shared" si="3"/>
        <v>0</v>
      </c>
    </row>
    <row r="240" spans="1:6">
      <c r="A240" s="29"/>
      <c r="D240" s="27"/>
      <c r="E240" s="27">
        <f>SUMIFS(Expenses!$H$2:$H$300,Expenses!$B$2:$B$300,B240,Expenses!$D$2:$D$300,C240,Expenses!$A$2:$A$300,"&gt;="&amp;EOMONTH(A240,-1)+1,Expenses!$A$2:$A$300,"&lt;="&amp;EOMONTH(A240,0))</f>
        <v>0</v>
      </c>
      <c r="F240" s="27">
        <f t="shared" si="3"/>
        <v>0</v>
      </c>
    </row>
    <row r="241" spans="1:6">
      <c r="A241" s="29"/>
      <c r="D241" s="27"/>
      <c r="E241" s="27">
        <f>SUMIFS(Expenses!$H$2:$H$300,Expenses!$B$2:$B$300,B241,Expenses!$D$2:$D$300,C241,Expenses!$A$2:$A$300,"&gt;="&amp;EOMONTH(A241,-1)+1,Expenses!$A$2:$A$300,"&lt;="&amp;EOMONTH(A241,0))</f>
        <v>0</v>
      </c>
      <c r="F241" s="27">
        <f t="shared" si="3"/>
        <v>0</v>
      </c>
    </row>
    <row r="242" spans="1:6">
      <c r="A242" s="29"/>
      <c r="D242" s="27"/>
      <c r="E242" s="27">
        <f>SUMIFS(Expenses!$H$2:$H$300,Expenses!$B$2:$B$300,B242,Expenses!$D$2:$D$300,C242,Expenses!$A$2:$A$300,"&gt;="&amp;EOMONTH(A242,-1)+1,Expenses!$A$2:$A$300,"&lt;="&amp;EOMONTH(A242,0))</f>
        <v>0</v>
      </c>
      <c r="F242" s="27">
        <f t="shared" si="3"/>
        <v>0</v>
      </c>
    </row>
    <row r="243" spans="1:6">
      <c r="A243" s="29"/>
      <c r="D243" s="27"/>
      <c r="E243" s="27">
        <f>SUMIFS(Expenses!$H$2:$H$300,Expenses!$B$2:$B$300,B243,Expenses!$D$2:$D$300,C243,Expenses!$A$2:$A$300,"&gt;="&amp;EOMONTH(A243,-1)+1,Expenses!$A$2:$A$300,"&lt;="&amp;EOMONTH(A243,0))</f>
        <v>0</v>
      </c>
      <c r="F243" s="27">
        <f t="shared" si="3"/>
        <v>0</v>
      </c>
    </row>
    <row r="244" spans="1:6">
      <c r="A244" s="29"/>
      <c r="D244" s="27"/>
      <c r="E244" s="27">
        <f>SUMIFS(Expenses!$H$2:$H$300,Expenses!$B$2:$B$300,B244,Expenses!$D$2:$D$300,C244,Expenses!$A$2:$A$300,"&gt;="&amp;EOMONTH(A244,-1)+1,Expenses!$A$2:$A$300,"&lt;="&amp;EOMONTH(A244,0))</f>
        <v>0</v>
      </c>
      <c r="F244" s="27">
        <f t="shared" si="3"/>
        <v>0</v>
      </c>
    </row>
    <row r="245" spans="1:6">
      <c r="A245" s="29"/>
      <c r="D245" s="27"/>
      <c r="E245" s="27">
        <f>SUMIFS(Expenses!$H$2:$H$300,Expenses!$B$2:$B$300,B245,Expenses!$D$2:$D$300,C245,Expenses!$A$2:$A$300,"&gt;="&amp;EOMONTH(A245,-1)+1,Expenses!$A$2:$A$300,"&lt;="&amp;EOMONTH(A245,0))</f>
        <v>0</v>
      </c>
      <c r="F245" s="27">
        <f t="shared" si="3"/>
        <v>0</v>
      </c>
    </row>
    <row r="246" spans="1:6">
      <c r="A246" s="29"/>
      <c r="D246" s="27"/>
      <c r="E246" s="27">
        <f>SUMIFS(Expenses!$H$2:$H$300,Expenses!$B$2:$B$300,B246,Expenses!$D$2:$D$300,C246,Expenses!$A$2:$A$300,"&gt;="&amp;EOMONTH(A246,-1)+1,Expenses!$A$2:$A$300,"&lt;="&amp;EOMONTH(A246,0))</f>
        <v>0</v>
      </c>
      <c r="F246" s="27">
        <f t="shared" si="3"/>
        <v>0</v>
      </c>
    </row>
    <row r="247" spans="1:6">
      <c r="A247" s="29"/>
      <c r="D247" s="27"/>
      <c r="E247" s="27">
        <f>SUMIFS(Expenses!$H$2:$H$300,Expenses!$B$2:$B$300,B247,Expenses!$D$2:$D$300,C247,Expenses!$A$2:$A$300,"&gt;="&amp;EOMONTH(A247,-1)+1,Expenses!$A$2:$A$300,"&lt;="&amp;EOMONTH(A247,0))</f>
        <v>0</v>
      </c>
      <c r="F247" s="27">
        <f t="shared" si="3"/>
        <v>0</v>
      </c>
    </row>
    <row r="248" spans="1:6">
      <c r="A248" s="29"/>
      <c r="D248" s="27"/>
      <c r="E248" s="27">
        <f>SUMIFS(Expenses!$H$2:$H$300,Expenses!$B$2:$B$300,B248,Expenses!$D$2:$D$300,C248,Expenses!$A$2:$A$300,"&gt;="&amp;EOMONTH(A248,-1)+1,Expenses!$A$2:$A$300,"&lt;="&amp;EOMONTH(A248,0))</f>
        <v>0</v>
      </c>
      <c r="F248" s="27">
        <f t="shared" si="3"/>
        <v>0</v>
      </c>
    </row>
    <row r="249" spans="1:6">
      <c r="A249" s="29"/>
      <c r="D249" s="27"/>
      <c r="E249" s="27">
        <f>SUMIFS(Expenses!$H$2:$H$300,Expenses!$B$2:$B$300,B249,Expenses!$D$2:$D$300,C249,Expenses!$A$2:$A$300,"&gt;="&amp;EOMONTH(A249,-1)+1,Expenses!$A$2:$A$300,"&lt;="&amp;EOMONTH(A249,0))</f>
        <v>0</v>
      </c>
      <c r="F249" s="27">
        <f t="shared" si="3"/>
        <v>0</v>
      </c>
    </row>
    <row r="250" spans="1:6">
      <c r="A250" s="29"/>
      <c r="D250" s="27"/>
      <c r="E250" s="27">
        <f>SUMIFS(Expenses!$H$2:$H$300,Expenses!$B$2:$B$300,B250,Expenses!$D$2:$D$300,C250,Expenses!$A$2:$A$300,"&gt;="&amp;EOMONTH(A250,-1)+1,Expenses!$A$2:$A$300,"&lt;="&amp;EOMONTH(A250,0))</f>
        <v>0</v>
      </c>
      <c r="F250" s="27">
        <f t="shared" si="3"/>
        <v>0</v>
      </c>
    </row>
    <row r="251" spans="1:6">
      <c r="A251" s="29"/>
      <c r="D251" s="27"/>
      <c r="E251" s="27">
        <f>SUMIFS(Expenses!$H$2:$H$300,Expenses!$B$2:$B$300,B251,Expenses!$D$2:$D$300,C251,Expenses!$A$2:$A$300,"&gt;="&amp;EOMONTH(A251,-1)+1,Expenses!$A$2:$A$300,"&lt;="&amp;EOMONTH(A251,0))</f>
        <v>0</v>
      </c>
      <c r="F251" s="27">
        <f t="shared" si="3"/>
        <v>0</v>
      </c>
    </row>
    <row r="252" spans="1:6">
      <c r="A252" s="29"/>
      <c r="D252" s="27"/>
      <c r="E252" s="27">
        <f>SUMIFS(Expenses!$H$2:$H$300,Expenses!$B$2:$B$300,B252,Expenses!$D$2:$D$300,C252,Expenses!$A$2:$A$300,"&gt;="&amp;EOMONTH(A252,-1)+1,Expenses!$A$2:$A$300,"&lt;="&amp;EOMONTH(A252,0))</f>
        <v>0</v>
      </c>
      <c r="F252" s="27">
        <f t="shared" si="3"/>
        <v>0</v>
      </c>
    </row>
    <row r="253" spans="1:6">
      <c r="A253" s="29"/>
      <c r="D253" s="27"/>
      <c r="E253" s="27">
        <f>SUMIFS(Expenses!$H$2:$H$300,Expenses!$B$2:$B$300,B253,Expenses!$D$2:$D$300,C253,Expenses!$A$2:$A$300,"&gt;="&amp;EOMONTH(A253,-1)+1,Expenses!$A$2:$A$300,"&lt;="&amp;EOMONTH(A253,0))</f>
        <v>0</v>
      </c>
      <c r="F253" s="27">
        <f t="shared" si="3"/>
        <v>0</v>
      </c>
    </row>
    <row r="254" spans="1:6">
      <c r="A254" s="29"/>
      <c r="D254" s="27"/>
      <c r="E254" s="27">
        <f>SUMIFS(Expenses!$H$2:$H$300,Expenses!$B$2:$B$300,B254,Expenses!$D$2:$D$300,C254,Expenses!$A$2:$A$300,"&gt;="&amp;EOMONTH(A254,-1)+1,Expenses!$A$2:$A$300,"&lt;="&amp;EOMONTH(A254,0))</f>
        <v>0</v>
      </c>
      <c r="F254" s="27">
        <f t="shared" si="3"/>
        <v>0</v>
      </c>
    </row>
    <row r="255" spans="1:6">
      <c r="A255" s="29"/>
      <c r="D255" s="27"/>
      <c r="E255" s="27">
        <f>SUMIFS(Expenses!$H$2:$H$300,Expenses!$B$2:$B$300,B255,Expenses!$D$2:$D$300,C255,Expenses!$A$2:$A$300,"&gt;="&amp;EOMONTH(A255,-1)+1,Expenses!$A$2:$A$300,"&lt;="&amp;EOMONTH(A255,0))</f>
        <v>0</v>
      </c>
      <c r="F255" s="27">
        <f t="shared" si="3"/>
        <v>0</v>
      </c>
    </row>
    <row r="256" spans="1:6">
      <c r="A256" s="29"/>
      <c r="D256" s="27"/>
      <c r="E256" s="27">
        <f>SUMIFS(Expenses!$H$2:$H$300,Expenses!$B$2:$B$300,B256,Expenses!$D$2:$D$300,C256,Expenses!$A$2:$A$300,"&gt;="&amp;EOMONTH(A256,-1)+1,Expenses!$A$2:$A$300,"&lt;="&amp;EOMONTH(A256,0))</f>
        <v>0</v>
      </c>
      <c r="F256" s="27">
        <f t="shared" si="3"/>
        <v>0</v>
      </c>
    </row>
    <row r="257" spans="1:6">
      <c r="A257" s="29"/>
      <c r="D257" s="27"/>
      <c r="E257" s="27">
        <f>SUMIFS(Expenses!$H$2:$H$300,Expenses!$B$2:$B$300,B257,Expenses!$D$2:$D$300,C257,Expenses!$A$2:$A$300,"&gt;="&amp;EOMONTH(A257,-1)+1,Expenses!$A$2:$A$300,"&lt;="&amp;EOMONTH(A257,0))</f>
        <v>0</v>
      </c>
      <c r="F257" s="27">
        <f t="shared" si="3"/>
        <v>0</v>
      </c>
    </row>
    <row r="258" spans="1:6">
      <c r="A258" s="29"/>
      <c r="D258" s="27"/>
      <c r="E258" s="27">
        <f>SUMIFS(Expenses!$H$2:$H$300,Expenses!$B$2:$B$300,B258,Expenses!$D$2:$D$300,C258,Expenses!$A$2:$A$300,"&gt;="&amp;EOMONTH(A258,-1)+1,Expenses!$A$2:$A$300,"&lt;="&amp;EOMONTH(A258,0))</f>
        <v>0</v>
      </c>
      <c r="F258" s="27">
        <f t="shared" ref="F258:F300" si="4">D258-E258</f>
        <v>0</v>
      </c>
    </row>
    <row r="259" spans="1:6">
      <c r="A259" s="29"/>
      <c r="D259" s="27"/>
      <c r="E259" s="27">
        <f>SUMIFS(Expenses!$H$2:$H$300,Expenses!$B$2:$B$300,B259,Expenses!$D$2:$D$300,C259,Expenses!$A$2:$A$300,"&gt;="&amp;EOMONTH(A259,-1)+1,Expenses!$A$2:$A$300,"&lt;="&amp;EOMONTH(A259,0))</f>
        <v>0</v>
      </c>
      <c r="F259" s="27">
        <f t="shared" si="4"/>
        <v>0</v>
      </c>
    </row>
    <row r="260" spans="1:6">
      <c r="A260" s="29"/>
      <c r="D260" s="27"/>
      <c r="E260" s="27">
        <f>SUMIFS(Expenses!$H$2:$H$300,Expenses!$B$2:$B$300,B260,Expenses!$D$2:$D$300,C260,Expenses!$A$2:$A$300,"&gt;="&amp;EOMONTH(A260,-1)+1,Expenses!$A$2:$A$300,"&lt;="&amp;EOMONTH(A260,0))</f>
        <v>0</v>
      </c>
      <c r="F260" s="27">
        <f t="shared" si="4"/>
        <v>0</v>
      </c>
    </row>
    <row r="261" spans="1:6">
      <c r="A261" s="29"/>
      <c r="D261" s="27"/>
      <c r="E261" s="27">
        <f>SUMIFS(Expenses!$H$2:$H$300,Expenses!$B$2:$B$300,B261,Expenses!$D$2:$D$300,C261,Expenses!$A$2:$A$300,"&gt;="&amp;EOMONTH(A261,-1)+1,Expenses!$A$2:$A$300,"&lt;="&amp;EOMONTH(A261,0))</f>
        <v>0</v>
      </c>
      <c r="F261" s="27">
        <f t="shared" si="4"/>
        <v>0</v>
      </c>
    </row>
    <row r="262" spans="1:6">
      <c r="A262" s="29"/>
      <c r="D262" s="27"/>
      <c r="E262" s="27">
        <f>SUMIFS(Expenses!$H$2:$H$300,Expenses!$B$2:$B$300,B262,Expenses!$D$2:$D$300,C262,Expenses!$A$2:$A$300,"&gt;="&amp;EOMONTH(A262,-1)+1,Expenses!$A$2:$A$300,"&lt;="&amp;EOMONTH(A262,0))</f>
        <v>0</v>
      </c>
      <c r="F262" s="27">
        <f t="shared" si="4"/>
        <v>0</v>
      </c>
    </row>
    <row r="263" spans="1:6">
      <c r="A263" s="29"/>
      <c r="D263" s="27"/>
      <c r="E263" s="27">
        <f>SUMIFS(Expenses!$H$2:$H$300,Expenses!$B$2:$B$300,B263,Expenses!$D$2:$D$300,C263,Expenses!$A$2:$A$300,"&gt;="&amp;EOMONTH(A263,-1)+1,Expenses!$A$2:$A$300,"&lt;="&amp;EOMONTH(A263,0))</f>
        <v>0</v>
      </c>
      <c r="F263" s="27">
        <f t="shared" si="4"/>
        <v>0</v>
      </c>
    </row>
    <row r="264" spans="1:6">
      <c r="A264" s="29"/>
      <c r="D264" s="27"/>
      <c r="E264" s="27">
        <f>SUMIFS(Expenses!$H$2:$H$300,Expenses!$B$2:$B$300,B264,Expenses!$D$2:$D$300,C264,Expenses!$A$2:$A$300,"&gt;="&amp;EOMONTH(A264,-1)+1,Expenses!$A$2:$A$300,"&lt;="&amp;EOMONTH(A264,0))</f>
        <v>0</v>
      </c>
      <c r="F264" s="27">
        <f t="shared" si="4"/>
        <v>0</v>
      </c>
    </row>
    <row r="265" spans="1:6">
      <c r="A265" s="29"/>
      <c r="D265" s="27"/>
      <c r="E265" s="27">
        <f>SUMIFS(Expenses!$H$2:$H$300,Expenses!$B$2:$B$300,B265,Expenses!$D$2:$D$300,C265,Expenses!$A$2:$A$300,"&gt;="&amp;EOMONTH(A265,-1)+1,Expenses!$A$2:$A$300,"&lt;="&amp;EOMONTH(A265,0))</f>
        <v>0</v>
      </c>
      <c r="F265" s="27">
        <f t="shared" si="4"/>
        <v>0</v>
      </c>
    </row>
    <row r="266" spans="1:6">
      <c r="A266" s="29"/>
      <c r="D266" s="27"/>
      <c r="E266" s="27">
        <f>SUMIFS(Expenses!$H$2:$H$300,Expenses!$B$2:$B$300,B266,Expenses!$D$2:$D$300,C266,Expenses!$A$2:$A$300,"&gt;="&amp;EOMONTH(A266,-1)+1,Expenses!$A$2:$A$300,"&lt;="&amp;EOMONTH(A266,0))</f>
        <v>0</v>
      </c>
      <c r="F266" s="27">
        <f t="shared" si="4"/>
        <v>0</v>
      </c>
    </row>
    <row r="267" spans="1:6">
      <c r="A267" s="29"/>
      <c r="D267" s="27"/>
      <c r="E267" s="27">
        <f>SUMIFS(Expenses!$H$2:$H$300,Expenses!$B$2:$B$300,B267,Expenses!$D$2:$D$300,C267,Expenses!$A$2:$A$300,"&gt;="&amp;EOMONTH(A267,-1)+1,Expenses!$A$2:$A$300,"&lt;="&amp;EOMONTH(A267,0))</f>
        <v>0</v>
      </c>
      <c r="F267" s="27">
        <f t="shared" si="4"/>
        <v>0</v>
      </c>
    </row>
    <row r="268" spans="1:6">
      <c r="A268" s="29"/>
      <c r="D268" s="27"/>
      <c r="E268" s="27">
        <f>SUMIFS(Expenses!$H$2:$H$300,Expenses!$B$2:$B$300,B268,Expenses!$D$2:$D$300,C268,Expenses!$A$2:$A$300,"&gt;="&amp;EOMONTH(A268,-1)+1,Expenses!$A$2:$A$300,"&lt;="&amp;EOMONTH(A268,0))</f>
        <v>0</v>
      </c>
      <c r="F268" s="27">
        <f t="shared" si="4"/>
        <v>0</v>
      </c>
    </row>
    <row r="269" spans="1:6">
      <c r="A269" s="29"/>
      <c r="D269" s="27"/>
      <c r="E269" s="27">
        <f>SUMIFS(Expenses!$H$2:$H$300,Expenses!$B$2:$B$300,B269,Expenses!$D$2:$D$300,C269,Expenses!$A$2:$A$300,"&gt;="&amp;EOMONTH(A269,-1)+1,Expenses!$A$2:$A$300,"&lt;="&amp;EOMONTH(A269,0))</f>
        <v>0</v>
      </c>
      <c r="F269" s="27">
        <f t="shared" si="4"/>
        <v>0</v>
      </c>
    </row>
    <row r="270" spans="1:6">
      <c r="A270" s="29"/>
      <c r="D270" s="27"/>
      <c r="E270" s="27">
        <f>SUMIFS(Expenses!$H$2:$H$300,Expenses!$B$2:$B$300,B270,Expenses!$D$2:$D$300,C270,Expenses!$A$2:$A$300,"&gt;="&amp;EOMONTH(A270,-1)+1,Expenses!$A$2:$A$300,"&lt;="&amp;EOMONTH(A270,0))</f>
        <v>0</v>
      </c>
      <c r="F270" s="27">
        <f t="shared" si="4"/>
        <v>0</v>
      </c>
    </row>
    <row r="271" spans="1:6">
      <c r="A271" s="29"/>
      <c r="D271" s="27"/>
      <c r="E271" s="27">
        <f>SUMIFS(Expenses!$H$2:$H$300,Expenses!$B$2:$B$300,B271,Expenses!$D$2:$D$300,C271,Expenses!$A$2:$A$300,"&gt;="&amp;EOMONTH(A271,-1)+1,Expenses!$A$2:$A$300,"&lt;="&amp;EOMONTH(A271,0))</f>
        <v>0</v>
      </c>
      <c r="F271" s="27">
        <f t="shared" si="4"/>
        <v>0</v>
      </c>
    </row>
    <row r="272" spans="1:6">
      <c r="A272" s="29"/>
      <c r="D272" s="27"/>
      <c r="E272" s="27">
        <f>SUMIFS(Expenses!$H$2:$H$300,Expenses!$B$2:$B$300,B272,Expenses!$D$2:$D$300,C272,Expenses!$A$2:$A$300,"&gt;="&amp;EOMONTH(A272,-1)+1,Expenses!$A$2:$A$300,"&lt;="&amp;EOMONTH(A272,0))</f>
        <v>0</v>
      </c>
      <c r="F272" s="27">
        <f t="shared" si="4"/>
        <v>0</v>
      </c>
    </row>
    <row r="273" spans="1:6">
      <c r="A273" s="29"/>
      <c r="D273" s="27"/>
      <c r="E273" s="27">
        <f>SUMIFS(Expenses!$H$2:$H$300,Expenses!$B$2:$B$300,B273,Expenses!$D$2:$D$300,C273,Expenses!$A$2:$A$300,"&gt;="&amp;EOMONTH(A273,-1)+1,Expenses!$A$2:$A$300,"&lt;="&amp;EOMONTH(A273,0))</f>
        <v>0</v>
      </c>
      <c r="F273" s="27">
        <f t="shared" si="4"/>
        <v>0</v>
      </c>
    </row>
    <row r="274" spans="1:6">
      <c r="A274" s="29"/>
      <c r="D274" s="27"/>
      <c r="E274" s="27">
        <f>SUMIFS(Expenses!$H$2:$H$300,Expenses!$B$2:$B$300,B274,Expenses!$D$2:$D$300,C274,Expenses!$A$2:$A$300,"&gt;="&amp;EOMONTH(A274,-1)+1,Expenses!$A$2:$A$300,"&lt;="&amp;EOMONTH(A274,0))</f>
        <v>0</v>
      </c>
      <c r="F274" s="27">
        <f t="shared" si="4"/>
        <v>0</v>
      </c>
    </row>
    <row r="275" spans="1:6">
      <c r="A275" s="29"/>
      <c r="D275" s="27"/>
      <c r="E275" s="27">
        <f>SUMIFS(Expenses!$H$2:$H$300,Expenses!$B$2:$B$300,B275,Expenses!$D$2:$D$300,C275,Expenses!$A$2:$A$300,"&gt;="&amp;EOMONTH(A275,-1)+1,Expenses!$A$2:$A$300,"&lt;="&amp;EOMONTH(A275,0))</f>
        <v>0</v>
      </c>
      <c r="F275" s="27">
        <f t="shared" si="4"/>
        <v>0</v>
      </c>
    </row>
    <row r="276" spans="1:6">
      <c r="A276" s="29"/>
      <c r="D276" s="27"/>
      <c r="E276" s="27">
        <f>SUMIFS(Expenses!$H$2:$H$300,Expenses!$B$2:$B$300,B276,Expenses!$D$2:$D$300,C276,Expenses!$A$2:$A$300,"&gt;="&amp;EOMONTH(A276,-1)+1,Expenses!$A$2:$A$300,"&lt;="&amp;EOMONTH(A276,0))</f>
        <v>0</v>
      </c>
      <c r="F276" s="27">
        <f t="shared" si="4"/>
        <v>0</v>
      </c>
    </row>
    <row r="277" spans="1:6">
      <c r="A277" s="29"/>
      <c r="D277" s="27"/>
      <c r="E277" s="27">
        <f>SUMIFS(Expenses!$H$2:$H$300,Expenses!$B$2:$B$300,B277,Expenses!$D$2:$D$300,C277,Expenses!$A$2:$A$300,"&gt;="&amp;EOMONTH(A277,-1)+1,Expenses!$A$2:$A$300,"&lt;="&amp;EOMONTH(A277,0))</f>
        <v>0</v>
      </c>
      <c r="F277" s="27">
        <f t="shared" si="4"/>
        <v>0</v>
      </c>
    </row>
    <row r="278" spans="1:6">
      <c r="A278" s="29"/>
      <c r="D278" s="27"/>
      <c r="E278" s="27">
        <f>SUMIFS(Expenses!$H$2:$H$300,Expenses!$B$2:$B$300,B278,Expenses!$D$2:$D$300,C278,Expenses!$A$2:$A$300,"&gt;="&amp;EOMONTH(A278,-1)+1,Expenses!$A$2:$A$300,"&lt;="&amp;EOMONTH(A278,0))</f>
        <v>0</v>
      </c>
      <c r="F278" s="27">
        <f t="shared" si="4"/>
        <v>0</v>
      </c>
    </row>
    <row r="279" spans="1:6">
      <c r="A279" s="29"/>
      <c r="D279" s="27"/>
      <c r="E279" s="27">
        <f>SUMIFS(Expenses!$H$2:$H$300,Expenses!$B$2:$B$300,B279,Expenses!$D$2:$D$300,C279,Expenses!$A$2:$A$300,"&gt;="&amp;EOMONTH(A279,-1)+1,Expenses!$A$2:$A$300,"&lt;="&amp;EOMONTH(A279,0))</f>
        <v>0</v>
      </c>
      <c r="F279" s="27">
        <f t="shared" si="4"/>
        <v>0</v>
      </c>
    </row>
    <row r="280" spans="1:6">
      <c r="A280" s="29"/>
      <c r="D280" s="27"/>
      <c r="E280" s="27">
        <f>SUMIFS(Expenses!$H$2:$H$300,Expenses!$B$2:$B$300,B280,Expenses!$D$2:$D$300,C280,Expenses!$A$2:$A$300,"&gt;="&amp;EOMONTH(A280,-1)+1,Expenses!$A$2:$A$300,"&lt;="&amp;EOMONTH(A280,0))</f>
        <v>0</v>
      </c>
      <c r="F280" s="27">
        <f t="shared" si="4"/>
        <v>0</v>
      </c>
    </row>
    <row r="281" spans="1:6">
      <c r="A281" s="29"/>
      <c r="D281" s="27"/>
      <c r="E281" s="27">
        <f>SUMIFS(Expenses!$H$2:$H$300,Expenses!$B$2:$B$300,B281,Expenses!$D$2:$D$300,C281,Expenses!$A$2:$A$300,"&gt;="&amp;EOMONTH(A281,-1)+1,Expenses!$A$2:$A$300,"&lt;="&amp;EOMONTH(A281,0))</f>
        <v>0</v>
      </c>
      <c r="F281" s="27">
        <f t="shared" si="4"/>
        <v>0</v>
      </c>
    </row>
    <row r="282" spans="1:6">
      <c r="A282" s="29"/>
      <c r="D282" s="27"/>
      <c r="E282" s="27">
        <f>SUMIFS(Expenses!$H$2:$H$300,Expenses!$B$2:$B$300,B282,Expenses!$D$2:$D$300,C282,Expenses!$A$2:$A$300,"&gt;="&amp;EOMONTH(A282,-1)+1,Expenses!$A$2:$A$300,"&lt;="&amp;EOMONTH(A282,0))</f>
        <v>0</v>
      </c>
      <c r="F282" s="27">
        <f t="shared" si="4"/>
        <v>0</v>
      </c>
    </row>
    <row r="283" spans="1:6">
      <c r="A283" s="29"/>
      <c r="D283" s="27"/>
      <c r="E283" s="27">
        <f>SUMIFS(Expenses!$H$2:$H$300,Expenses!$B$2:$B$300,B283,Expenses!$D$2:$D$300,C283,Expenses!$A$2:$A$300,"&gt;="&amp;EOMONTH(A283,-1)+1,Expenses!$A$2:$A$300,"&lt;="&amp;EOMONTH(A283,0))</f>
        <v>0</v>
      </c>
      <c r="F283" s="27">
        <f t="shared" si="4"/>
        <v>0</v>
      </c>
    </row>
    <row r="284" spans="1:6">
      <c r="A284" s="29"/>
      <c r="D284" s="27"/>
      <c r="E284" s="27">
        <f>SUMIFS(Expenses!$H$2:$H$300,Expenses!$B$2:$B$300,B284,Expenses!$D$2:$D$300,C284,Expenses!$A$2:$A$300,"&gt;="&amp;EOMONTH(A284,-1)+1,Expenses!$A$2:$A$300,"&lt;="&amp;EOMONTH(A284,0))</f>
        <v>0</v>
      </c>
      <c r="F284" s="27">
        <f t="shared" si="4"/>
        <v>0</v>
      </c>
    </row>
    <row r="285" spans="1:6">
      <c r="A285" s="29"/>
      <c r="D285" s="27"/>
      <c r="E285" s="27">
        <f>SUMIFS(Expenses!$H$2:$H$300,Expenses!$B$2:$B$300,B285,Expenses!$D$2:$D$300,C285,Expenses!$A$2:$A$300,"&gt;="&amp;EOMONTH(A285,-1)+1,Expenses!$A$2:$A$300,"&lt;="&amp;EOMONTH(A285,0))</f>
        <v>0</v>
      </c>
      <c r="F285" s="27">
        <f t="shared" si="4"/>
        <v>0</v>
      </c>
    </row>
    <row r="286" spans="1:6">
      <c r="A286" s="29"/>
      <c r="D286" s="27"/>
      <c r="E286" s="27">
        <f>SUMIFS(Expenses!$H$2:$H$300,Expenses!$B$2:$B$300,B286,Expenses!$D$2:$D$300,C286,Expenses!$A$2:$A$300,"&gt;="&amp;EOMONTH(A286,-1)+1,Expenses!$A$2:$A$300,"&lt;="&amp;EOMONTH(A286,0))</f>
        <v>0</v>
      </c>
      <c r="F286" s="27">
        <f t="shared" si="4"/>
        <v>0</v>
      </c>
    </row>
    <row r="287" spans="1:6">
      <c r="A287" s="29"/>
      <c r="D287" s="27"/>
      <c r="E287" s="27">
        <f>SUMIFS(Expenses!$H$2:$H$300,Expenses!$B$2:$B$300,B287,Expenses!$D$2:$D$300,C287,Expenses!$A$2:$A$300,"&gt;="&amp;EOMONTH(A287,-1)+1,Expenses!$A$2:$A$300,"&lt;="&amp;EOMONTH(A287,0))</f>
        <v>0</v>
      </c>
      <c r="F287" s="27">
        <f t="shared" si="4"/>
        <v>0</v>
      </c>
    </row>
    <row r="288" spans="1:6">
      <c r="A288" s="29"/>
      <c r="D288" s="27"/>
      <c r="E288" s="27">
        <f>SUMIFS(Expenses!$H$2:$H$300,Expenses!$B$2:$B$300,B288,Expenses!$D$2:$D$300,C288,Expenses!$A$2:$A$300,"&gt;="&amp;EOMONTH(A288,-1)+1,Expenses!$A$2:$A$300,"&lt;="&amp;EOMONTH(A288,0))</f>
        <v>0</v>
      </c>
      <c r="F288" s="27">
        <f t="shared" si="4"/>
        <v>0</v>
      </c>
    </row>
    <row r="289" spans="1:6">
      <c r="A289" s="29"/>
      <c r="D289" s="27"/>
      <c r="E289" s="27">
        <f>SUMIFS(Expenses!$H$2:$H$300,Expenses!$B$2:$B$300,B289,Expenses!$D$2:$D$300,C289,Expenses!$A$2:$A$300,"&gt;="&amp;EOMONTH(A289,-1)+1,Expenses!$A$2:$A$300,"&lt;="&amp;EOMONTH(A289,0))</f>
        <v>0</v>
      </c>
      <c r="F289" s="27">
        <f t="shared" si="4"/>
        <v>0</v>
      </c>
    </row>
    <row r="290" spans="1:6">
      <c r="A290" s="29"/>
      <c r="D290" s="27"/>
      <c r="E290" s="27">
        <f>SUMIFS(Expenses!$H$2:$H$300,Expenses!$B$2:$B$300,B290,Expenses!$D$2:$D$300,C290,Expenses!$A$2:$A$300,"&gt;="&amp;EOMONTH(A290,-1)+1,Expenses!$A$2:$A$300,"&lt;="&amp;EOMONTH(A290,0))</f>
        <v>0</v>
      </c>
      <c r="F290" s="27">
        <f t="shared" si="4"/>
        <v>0</v>
      </c>
    </row>
    <row r="291" spans="1:6">
      <c r="A291" s="29"/>
      <c r="D291" s="27"/>
      <c r="E291" s="27">
        <f>SUMIFS(Expenses!$H$2:$H$300,Expenses!$B$2:$B$300,B291,Expenses!$D$2:$D$300,C291,Expenses!$A$2:$A$300,"&gt;="&amp;EOMONTH(A291,-1)+1,Expenses!$A$2:$A$300,"&lt;="&amp;EOMONTH(A291,0))</f>
        <v>0</v>
      </c>
      <c r="F291" s="27">
        <f t="shared" si="4"/>
        <v>0</v>
      </c>
    </row>
    <row r="292" spans="1:6">
      <c r="A292" s="29"/>
      <c r="D292" s="27"/>
      <c r="E292" s="27">
        <f>SUMIFS(Expenses!$H$2:$H$300,Expenses!$B$2:$B$300,B292,Expenses!$D$2:$D$300,C292,Expenses!$A$2:$A$300,"&gt;="&amp;EOMONTH(A292,-1)+1,Expenses!$A$2:$A$300,"&lt;="&amp;EOMONTH(A292,0))</f>
        <v>0</v>
      </c>
      <c r="F292" s="27">
        <f t="shared" si="4"/>
        <v>0</v>
      </c>
    </row>
    <row r="293" spans="1:6">
      <c r="A293" s="29"/>
      <c r="D293" s="27"/>
      <c r="E293" s="27">
        <f>SUMIFS(Expenses!$H$2:$H$300,Expenses!$B$2:$B$300,B293,Expenses!$D$2:$D$300,C293,Expenses!$A$2:$A$300,"&gt;="&amp;EOMONTH(A293,-1)+1,Expenses!$A$2:$A$300,"&lt;="&amp;EOMONTH(A293,0))</f>
        <v>0</v>
      </c>
      <c r="F293" s="27">
        <f t="shared" si="4"/>
        <v>0</v>
      </c>
    </row>
    <row r="294" spans="1:6">
      <c r="A294" s="29"/>
      <c r="D294" s="27"/>
      <c r="E294" s="27">
        <f>SUMIFS(Expenses!$H$2:$H$300,Expenses!$B$2:$B$300,B294,Expenses!$D$2:$D$300,C294,Expenses!$A$2:$A$300,"&gt;="&amp;EOMONTH(A294,-1)+1,Expenses!$A$2:$A$300,"&lt;="&amp;EOMONTH(A294,0))</f>
        <v>0</v>
      </c>
      <c r="F294" s="27">
        <f t="shared" si="4"/>
        <v>0</v>
      </c>
    </row>
    <row r="295" spans="1:6">
      <c r="A295" s="29"/>
      <c r="D295" s="27"/>
      <c r="E295" s="27">
        <f>SUMIFS(Expenses!$H$2:$H$300,Expenses!$B$2:$B$300,B295,Expenses!$D$2:$D$300,C295,Expenses!$A$2:$A$300,"&gt;="&amp;EOMONTH(A295,-1)+1,Expenses!$A$2:$A$300,"&lt;="&amp;EOMONTH(A295,0))</f>
        <v>0</v>
      </c>
      <c r="F295" s="27">
        <f t="shared" si="4"/>
        <v>0</v>
      </c>
    </row>
    <row r="296" spans="1:6">
      <c r="A296" s="29"/>
      <c r="D296" s="27"/>
      <c r="E296" s="27">
        <f>SUMIFS(Expenses!$H$2:$H$300,Expenses!$B$2:$B$300,B296,Expenses!$D$2:$D$300,C296,Expenses!$A$2:$A$300,"&gt;="&amp;EOMONTH(A296,-1)+1,Expenses!$A$2:$A$300,"&lt;="&amp;EOMONTH(A296,0))</f>
        <v>0</v>
      </c>
      <c r="F296" s="27">
        <f t="shared" si="4"/>
        <v>0</v>
      </c>
    </row>
    <row r="297" spans="1:6">
      <c r="A297" s="29"/>
      <c r="D297" s="27"/>
      <c r="E297" s="27">
        <f>SUMIFS(Expenses!$H$2:$H$300,Expenses!$B$2:$B$300,B297,Expenses!$D$2:$D$300,C297,Expenses!$A$2:$A$300,"&gt;="&amp;EOMONTH(A297,-1)+1,Expenses!$A$2:$A$300,"&lt;="&amp;EOMONTH(A297,0))</f>
        <v>0</v>
      </c>
      <c r="F297" s="27">
        <f t="shared" si="4"/>
        <v>0</v>
      </c>
    </row>
    <row r="298" spans="1:6">
      <c r="A298" s="29"/>
      <c r="D298" s="27"/>
      <c r="E298" s="27">
        <f>SUMIFS(Expenses!$H$2:$H$300,Expenses!$B$2:$B$300,B298,Expenses!$D$2:$D$300,C298,Expenses!$A$2:$A$300,"&gt;="&amp;EOMONTH(A298,-1)+1,Expenses!$A$2:$A$300,"&lt;="&amp;EOMONTH(A298,0))</f>
        <v>0</v>
      </c>
      <c r="F298" s="27">
        <f t="shared" si="4"/>
        <v>0</v>
      </c>
    </row>
    <row r="299" spans="1:6">
      <c r="A299" s="29"/>
      <c r="D299" s="27"/>
      <c r="E299" s="27">
        <f>SUMIFS(Expenses!$H$2:$H$300,Expenses!$B$2:$B$300,B299,Expenses!$D$2:$D$300,C299,Expenses!$A$2:$A$300,"&gt;="&amp;EOMONTH(A299,-1)+1,Expenses!$A$2:$A$300,"&lt;="&amp;EOMONTH(A299,0))</f>
        <v>0</v>
      </c>
      <c r="F299" s="27">
        <f t="shared" si="4"/>
        <v>0</v>
      </c>
    </row>
    <row r="300" spans="1:6">
      <c r="A300" s="29"/>
      <c r="D300" s="27"/>
      <c r="E300" s="27">
        <f>SUMIFS(Expenses!$H$2:$H$300,Expenses!$B$2:$B$300,B300,Expenses!$D$2:$D$300,C300,Expenses!$A$2:$A$300,"&gt;="&amp;EOMONTH(A300,-1)+1,Expenses!$A$2:$A$300,"&lt;="&amp;EOMONTH(A300,0))</f>
        <v>0</v>
      </c>
      <c r="F300" s="27">
        <f t="shared" si="4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Lists!$A$2:$A$9</xm:f>
          </x14:formula1>
          <xm:sqref>B2:B300</xm:sqref>
        </x14:dataValidation>
        <x14:dataValidation type="list" xr:uid="{00000000-0002-0000-0200-000001000000}">
          <x14:formula1>
            <xm:f>Lists!$B$2:$B$46</xm:f>
          </x14:formula1>
          <xm:sqref>C2:C300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zoomScale="140" zoomScaleNormal="140" workbookViewId="0">
      <selection activeCell="A2" sqref="A2:C13"/>
    </sheetView>
  </sheetViews>
  <sheetFormatPr baseColWidth="10" defaultColWidth="8.83203125" defaultRowHeight="14"/>
  <cols>
    <col min="1" max="1" width="10.5" bestFit="1" customWidth="1"/>
    <col min="2" max="2" width="27" bestFit="1" customWidth="1"/>
    <col min="3" max="3" width="21.83203125" bestFit="1" customWidth="1"/>
    <col min="4" max="4" width="6.33203125" bestFit="1" customWidth="1"/>
  </cols>
  <sheetData>
    <row r="1" spans="1:4" ht="15">
      <c r="A1" s="1" t="s">
        <v>27</v>
      </c>
      <c r="B1" s="1" t="s">
        <v>28</v>
      </c>
      <c r="C1" s="1" t="s">
        <v>40</v>
      </c>
      <c r="D1" s="1" t="s">
        <v>35</v>
      </c>
    </row>
    <row r="2" spans="1:4">
      <c r="A2" s="30">
        <v>46198</v>
      </c>
      <c r="B2" t="s">
        <v>8</v>
      </c>
      <c r="C2" s="27">
        <v>366.5</v>
      </c>
    </row>
    <row r="3" spans="1:4">
      <c r="A3" s="30">
        <v>46198</v>
      </c>
      <c r="B3" t="s">
        <v>18</v>
      </c>
      <c r="C3" s="27">
        <v>98</v>
      </c>
    </row>
    <row r="4" spans="1:4">
      <c r="A4" s="30">
        <v>46197</v>
      </c>
      <c r="B4" t="s">
        <v>8</v>
      </c>
      <c r="C4" s="27">
        <v>298.5</v>
      </c>
    </row>
    <row r="5" spans="1:4">
      <c r="A5" s="30">
        <v>46197</v>
      </c>
      <c r="B5" t="s">
        <v>18</v>
      </c>
      <c r="C5" s="27">
        <v>105</v>
      </c>
    </row>
    <row r="6" spans="1:4">
      <c r="A6" s="30">
        <v>46196</v>
      </c>
      <c r="B6" t="s">
        <v>8</v>
      </c>
      <c r="C6" s="27">
        <v>239.5</v>
      </c>
    </row>
    <row r="7" spans="1:4">
      <c r="A7" s="30">
        <v>46196</v>
      </c>
      <c r="B7" t="s">
        <v>18</v>
      </c>
      <c r="C7" s="27">
        <v>145.1</v>
      </c>
    </row>
    <row r="8" spans="1:4">
      <c r="A8" s="30">
        <v>46195</v>
      </c>
      <c r="B8" t="s">
        <v>18</v>
      </c>
      <c r="C8" s="27">
        <v>307</v>
      </c>
    </row>
    <row r="9" spans="1:4">
      <c r="A9" s="30">
        <v>46195</v>
      </c>
      <c r="B9" t="s">
        <v>8</v>
      </c>
      <c r="C9" s="27">
        <v>314</v>
      </c>
    </row>
    <row r="10" spans="1:4">
      <c r="A10" s="30">
        <v>46199</v>
      </c>
      <c r="B10" t="s">
        <v>8</v>
      </c>
      <c r="C10" s="27">
        <v>435.5</v>
      </c>
    </row>
    <row r="11" spans="1:4">
      <c r="A11" s="30">
        <v>46199</v>
      </c>
      <c r="B11" t="s">
        <v>18</v>
      </c>
      <c r="C11" s="27">
        <v>221</v>
      </c>
    </row>
    <row r="12" spans="1:4">
      <c r="A12" s="30">
        <v>46200</v>
      </c>
      <c r="B12" t="s">
        <v>8</v>
      </c>
      <c r="C12" s="27">
        <v>550.20000000000005</v>
      </c>
    </row>
    <row r="13" spans="1:4">
      <c r="A13" s="30">
        <v>46200</v>
      </c>
      <c r="B13" t="s">
        <v>18</v>
      </c>
      <c r="C13" s="27">
        <v>220</v>
      </c>
    </row>
    <row r="14" spans="1:4">
      <c r="A14" s="30"/>
      <c r="C14" s="27"/>
    </row>
    <row r="15" spans="1:4">
      <c r="A15" s="30"/>
      <c r="C15" s="27"/>
    </row>
    <row r="16" spans="1:4">
      <c r="A16" s="30"/>
      <c r="C16" s="27"/>
    </row>
    <row r="17" spans="1:3">
      <c r="A17" s="30"/>
      <c r="C17" s="27"/>
    </row>
    <row r="18" spans="1:3">
      <c r="A18" s="30"/>
      <c r="C18" s="27"/>
    </row>
    <row r="19" spans="1:3">
      <c r="A19" s="30"/>
      <c r="C19" s="27"/>
    </row>
    <row r="20" spans="1:3">
      <c r="A20" s="30"/>
      <c r="C20" s="27"/>
    </row>
    <row r="21" spans="1:3">
      <c r="A21" s="30"/>
      <c r="C21" s="27"/>
    </row>
    <row r="22" spans="1:3">
      <c r="A22" s="30"/>
      <c r="C22" s="27"/>
    </row>
    <row r="23" spans="1:3">
      <c r="A23" s="30"/>
      <c r="C23" s="27"/>
    </row>
    <row r="24" spans="1:3">
      <c r="A24" s="30"/>
      <c r="C24" s="27"/>
    </row>
    <row r="25" spans="1:3">
      <c r="A25" s="30"/>
      <c r="C25" s="27"/>
    </row>
    <row r="26" spans="1:3">
      <c r="A26" s="30"/>
      <c r="C26" s="27"/>
    </row>
    <row r="27" spans="1:3">
      <c r="A27" s="30"/>
      <c r="C27" s="27"/>
    </row>
    <row r="28" spans="1:3">
      <c r="A28" s="30"/>
      <c r="C28" s="27"/>
    </row>
    <row r="29" spans="1:3">
      <c r="A29" s="30"/>
      <c r="C29" s="27"/>
    </row>
    <row r="30" spans="1:3">
      <c r="A30" s="30"/>
      <c r="C30" s="27"/>
    </row>
    <row r="31" spans="1:3">
      <c r="A31" s="30"/>
      <c r="C31" s="27"/>
    </row>
    <row r="32" spans="1:3">
      <c r="A32" s="30"/>
      <c r="C32" s="27"/>
    </row>
    <row r="33" spans="1:3">
      <c r="A33" s="30"/>
      <c r="C33" s="27"/>
    </row>
    <row r="34" spans="1:3">
      <c r="A34" s="30"/>
      <c r="C34" s="27"/>
    </row>
    <row r="35" spans="1:3">
      <c r="A35" s="30"/>
      <c r="C35" s="27"/>
    </row>
    <row r="36" spans="1:3">
      <c r="A36" s="30"/>
      <c r="C36" s="27"/>
    </row>
    <row r="37" spans="1:3">
      <c r="A37" s="30"/>
      <c r="C37" s="27"/>
    </row>
    <row r="38" spans="1:3">
      <c r="A38" s="30"/>
      <c r="C38" s="27"/>
    </row>
    <row r="39" spans="1:3">
      <c r="A39" s="30"/>
      <c r="C39" s="27"/>
    </row>
    <row r="40" spans="1:3">
      <c r="A40" s="30"/>
      <c r="C40" s="27"/>
    </row>
    <row r="41" spans="1:3">
      <c r="A41" s="30"/>
      <c r="C41" s="27"/>
    </row>
    <row r="42" spans="1:3">
      <c r="A42" s="30"/>
      <c r="C42" s="27"/>
    </row>
    <row r="43" spans="1:3">
      <c r="A43" s="30"/>
      <c r="C43" s="27"/>
    </row>
    <row r="44" spans="1:3">
      <c r="A44" s="30"/>
      <c r="C44" s="27"/>
    </row>
    <row r="45" spans="1:3">
      <c r="A45" s="30"/>
      <c r="C45" s="27"/>
    </row>
    <row r="46" spans="1:3">
      <c r="A46" s="30"/>
      <c r="C46" s="27"/>
    </row>
    <row r="47" spans="1:3">
      <c r="A47" s="30"/>
      <c r="C47" s="27"/>
    </row>
    <row r="48" spans="1:3">
      <c r="A48" s="30"/>
      <c r="C48" s="27"/>
    </row>
    <row r="49" spans="1:3">
      <c r="A49" s="30"/>
      <c r="C49" s="27"/>
    </row>
    <row r="50" spans="1:3">
      <c r="A50" s="30"/>
      <c r="C50" s="27"/>
    </row>
    <row r="51" spans="1:3">
      <c r="A51" s="30"/>
      <c r="C51" s="27"/>
    </row>
    <row r="52" spans="1:3">
      <c r="A52" s="30"/>
      <c r="C52" s="27"/>
    </row>
    <row r="53" spans="1:3">
      <c r="A53" s="30"/>
      <c r="C53" s="27"/>
    </row>
    <row r="54" spans="1:3">
      <c r="A54" s="30"/>
      <c r="C54" s="27"/>
    </row>
    <row r="55" spans="1:3">
      <c r="A55" s="30"/>
      <c r="C55" s="27"/>
    </row>
    <row r="56" spans="1:3">
      <c r="A56" s="30"/>
      <c r="C56" s="27"/>
    </row>
    <row r="57" spans="1:3">
      <c r="A57" s="30"/>
      <c r="C57" s="27"/>
    </row>
    <row r="58" spans="1:3">
      <c r="A58" s="30"/>
      <c r="C58" s="27"/>
    </row>
    <row r="59" spans="1:3">
      <c r="A59" s="30"/>
      <c r="C59" s="27"/>
    </row>
    <row r="60" spans="1:3">
      <c r="A60" s="30"/>
      <c r="C60" s="27"/>
    </row>
    <row r="61" spans="1:3">
      <c r="A61" s="30"/>
      <c r="C61" s="27"/>
    </row>
    <row r="62" spans="1:3">
      <c r="A62" s="30"/>
      <c r="C62" s="27"/>
    </row>
    <row r="63" spans="1:3">
      <c r="A63" s="30"/>
      <c r="C63" s="27"/>
    </row>
    <row r="64" spans="1:3">
      <c r="A64" s="30"/>
      <c r="C64" s="27"/>
    </row>
    <row r="65" spans="1:3">
      <c r="A65" s="30"/>
      <c r="C65" s="27"/>
    </row>
    <row r="66" spans="1:3">
      <c r="A66" s="30"/>
      <c r="C66" s="27"/>
    </row>
    <row r="67" spans="1:3">
      <c r="A67" s="30"/>
      <c r="C67" s="27"/>
    </row>
    <row r="68" spans="1:3">
      <c r="A68" s="30"/>
      <c r="C68" s="27"/>
    </row>
    <row r="69" spans="1:3">
      <c r="A69" s="30"/>
      <c r="C69" s="27"/>
    </row>
    <row r="70" spans="1:3">
      <c r="A70" s="30"/>
      <c r="C70" s="27"/>
    </row>
    <row r="71" spans="1:3">
      <c r="A71" s="30"/>
      <c r="C71" s="27"/>
    </row>
    <row r="72" spans="1:3">
      <c r="A72" s="30"/>
      <c r="C72" s="27"/>
    </row>
    <row r="73" spans="1:3">
      <c r="A73" s="30"/>
      <c r="C73" s="27"/>
    </row>
    <row r="74" spans="1:3">
      <c r="A74" s="30"/>
      <c r="C74" s="27"/>
    </row>
    <row r="75" spans="1:3">
      <c r="A75" s="30"/>
      <c r="C75" s="27"/>
    </row>
    <row r="76" spans="1:3">
      <c r="A76" s="30"/>
      <c r="C76" s="27"/>
    </row>
    <row r="77" spans="1:3">
      <c r="A77" s="30"/>
      <c r="C77" s="27"/>
    </row>
    <row r="78" spans="1:3">
      <c r="A78" s="30"/>
      <c r="C78" s="27"/>
    </row>
    <row r="79" spans="1:3">
      <c r="A79" s="30"/>
      <c r="C79" s="27"/>
    </row>
    <row r="80" spans="1:3">
      <c r="A80" s="30"/>
      <c r="C80" s="27"/>
    </row>
    <row r="81" spans="1:3">
      <c r="A81" s="30"/>
      <c r="C81" s="27"/>
    </row>
    <row r="82" spans="1:3">
      <c r="A82" s="30"/>
      <c r="C82" s="27"/>
    </row>
    <row r="83" spans="1:3">
      <c r="A83" s="30"/>
      <c r="C83" s="27"/>
    </row>
    <row r="84" spans="1:3">
      <c r="A84" s="30"/>
      <c r="C84" s="27"/>
    </row>
    <row r="85" spans="1:3">
      <c r="A85" s="30"/>
      <c r="C85" s="27"/>
    </row>
    <row r="86" spans="1:3">
      <c r="A86" s="30"/>
      <c r="C86" s="27"/>
    </row>
    <row r="87" spans="1:3">
      <c r="A87" s="30"/>
      <c r="C87" s="27"/>
    </row>
    <row r="88" spans="1:3">
      <c r="A88" s="30"/>
      <c r="C88" s="27"/>
    </row>
    <row r="89" spans="1:3">
      <c r="A89" s="30"/>
      <c r="C89" s="27"/>
    </row>
    <row r="90" spans="1:3">
      <c r="A90" s="30"/>
      <c r="C90" s="27"/>
    </row>
    <row r="91" spans="1:3">
      <c r="A91" s="30"/>
      <c r="C91" s="27"/>
    </row>
    <row r="92" spans="1:3">
      <c r="A92" s="30"/>
      <c r="C92" s="27"/>
    </row>
    <row r="93" spans="1:3">
      <c r="A93" s="30"/>
      <c r="C93" s="27"/>
    </row>
    <row r="94" spans="1:3">
      <c r="A94" s="30"/>
      <c r="C94" s="27"/>
    </row>
    <row r="95" spans="1:3">
      <c r="A95" s="30"/>
      <c r="C95" s="27"/>
    </row>
    <row r="96" spans="1:3">
      <c r="A96" s="30"/>
      <c r="C96" s="27"/>
    </row>
    <row r="97" spans="1:3">
      <c r="A97" s="30"/>
      <c r="C97" s="27"/>
    </row>
    <row r="98" spans="1:3">
      <c r="A98" s="30"/>
      <c r="C98" s="27"/>
    </row>
    <row r="99" spans="1:3">
      <c r="A99" s="30"/>
      <c r="C99" s="27"/>
    </row>
    <row r="100" spans="1:3">
      <c r="A100" s="30"/>
      <c r="C100" s="27"/>
    </row>
    <row r="101" spans="1:3">
      <c r="A101" s="30"/>
      <c r="C101" s="27"/>
    </row>
    <row r="102" spans="1:3">
      <c r="A102" s="30"/>
      <c r="C102" s="27"/>
    </row>
    <row r="103" spans="1:3">
      <c r="A103" s="30"/>
      <c r="C103" s="27"/>
    </row>
    <row r="104" spans="1:3">
      <c r="A104" s="30"/>
      <c r="C104" s="27"/>
    </row>
    <row r="105" spans="1:3">
      <c r="A105" s="30"/>
      <c r="C105" s="27"/>
    </row>
    <row r="106" spans="1:3">
      <c r="A106" s="30"/>
      <c r="C106" s="27"/>
    </row>
    <row r="107" spans="1:3">
      <c r="A107" s="30"/>
      <c r="C107" s="27"/>
    </row>
    <row r="108" spans="1:3">
      <c r="A108" s="30"/>
      <c r="C108" s="27"/>
    </row>
    <row r="109" spans="1:3">
      <c r="A109" s="30"/>
      <c r="C109" s="27"/>
    </row>
    <row r="110" spans="1:3">
      <c r="A110" s="30"/>
      <c r="C110" s="27"/>
    </row>
    <row r="111" spans="1:3">
      <c r="A111" s="30"/>
      <c r="C111" s="27"/>
    </row>
    <row r="112" spans="1:3">
      <c r="A112" s="30"/>
      <c r="C112" s="27"/>
    </row>
    <row r="113" spans="1:3">
      <c r="A113" s="30"/>
      <c r="C113" s="27"/>
    </row>
    <row r="114" spans="1:3">
      <c r="A114" s="30"/>
      <c r="C114" s="27"/>
    </row>
    <row r="115" spans="1:3">
      <c r="A115" s="30"/>
      <c r="C115" s="27"/>
    </row>
    <row r="116" spans="1:3">
      <c r="A116" s="30"/>
      <c r="C116" s="27"/>
    </row>
    <row r="117" spans="1:3">
      <c r="A117" s="30"/>
      <c r="C117" s="27"/>
    </row>
    <row r="118" spans="1:3">
      <c r="A118" s="30"/>
      <c r="C118" s="27"/>
    </row>
    <row r="119" spans="1:3">
      <c r="A119" s="30"/>
      <c r="C119" s="27"/>
    </row>
    <row r="120" spans="1:3">
      <c r="A120" s="30"/>
      <c r="C120" s="27"/>
    </row>
    <row r="121" spans="1:3">
      <c r="A121" s="30"/>
      <c r="C121" s="27"/>
    </row>
    <row r="122" spans="1:3">
      <c r="A122" s="30"/>
      <c r="C122" s="27"/>
    </row>
    <row r="123" spans="1:3">
      <c r="A123" s="30"/>
      <c r="C123" s="27"/>
    </row>
    <row r="124" spans="1:3">
      <c r="A124" s="30"/>
      <c r="C124" s="27"/>
    </row>
    <row r="125" spans="1:3">
      <c r="A125" s="30"/>
      <c r="C125" s="27"/>
    </row>
    <row r="126" spans="1:3">
      <c r="A126" s="30"/>
      <c r="C126" s="27"/>
    </row>
    <row r="127" spans="1:3">
      <c r="A127" s="30"/>
      <c r="C127" s="27"/>
    </row>
    <row r="128" spans="1:3">
      <c r="A128" s="30"/>
      <c r="C128" s="27"/>
    </row>
    <row r="129" spans="1:3">
      <c r="A129" s="30"/>
      <c r="C129" s="27"/>
    </row>
    <row r="130" spans="1:3">
      <c r="A130" s="30"/>
      <c r="C130" s="27"/>
    </row>
    <row r="131" spans="1:3">
      <c r="A131" s="30"/>
      <c r="C131" s="27"/>
    </row>
    <row r="132" spans="1:3">
      <c r="A132" s="30"/>
      <c r="C132" s="27"/>
    </row>
    <row r="133" spans="1:3">
      <c r="A133" s="30"/>
      <c r="C133" s="27"/>
    </row>
    <row r="134" spans="1:3">
      <c r="A134" s="30"/>
      <c r="C134" s="27"/>
    </row>
    <row r="135" spans="1:3">
      <c r="A135" s="30"/>
      <c r="C135" s="27"/>
    </row>
    <row r="136" spans="1:3">
      <c r="A136" s="30"/>
      <c r="C136" s="27"/>
    </row>
    <row r="137" spans="1:3">
      <c r="A137" s="30"/>
      <c r="C137" s="27"/>
    </row>
    <row r="138" spans="1:3">
      <c r="A138" s="30"/>
      <c r="C138" s="27"/>
    </row>
    <row r="139" spans="1:3">
      <c r="A139" s="30"/>
      <c r="C139" s="27"/>
    </row>
    <row r="140" spans="1:3">
      <c r="A140" s="30"/>
      <c r="C140" s="27"/>
    </row>
    <row r="141" spans="1:3">
      <c r="A141" s="30"/>
      <c r="C141" s="27"/>
    </row>
    <row r="142" spans="1:3">
      <c r="A142" s="30"/>
      <c r="C142" s="27"/>
    </row>
    <row r="143" spans="1:3">
      <c r="A143" s="30"/>
      <c r="C143" s="27"/>
    </row>
    <row r="144" spans="1:3">
      <c r="A144" s="30"/>
      <c r="C144" s="27"/>
    </row>
    <row r="145" spans="1:3">
      <c r="A145" s="30"/>
      <c r="C145" s="27"/>
    </row>
    <row r="146" spans="1:3">
      <c r="A146" s="30"/>
      <c r="C146" s="27"/>
    </row>
    <row r="147" spans="1:3">
      <c r="A147" s="30"/>
      <c r="C147" s="27"/>
    </row>
    <row r="148" spans="1:3">
      <c r="A148" s="30"/>
      <c r="C148" s="27"/>
    </row>
    <row r="149" spans="1:3">
      <c r="A149" s="30"/>
      <c r="C149" s="27"/>
    </row>
    <row r="150" spans="1:3">
      <c r="A150" s="30"/>
      <c r="C150" s="27"/>
    </row>
    <row r="151" spans="1:3">
      <c r="A151" s="30"/>
      <c r="C151" s="27"/>
    </row>
    <row r="152" spans="1:3">
      <c r="A152" s="30"/>
      <c r="C152" s="27"/>
    </row>
    <row r="153" spans="1:3">
      <c r="A153" s="30"/>
      <c r="C153" s="27"/>
    </row>
    <row r="154" spans="1:3">
      <c r="A154" s="30"/>
      <c r="C154" s="27"/>
    </row>
    <row r="155" spans="1:3">
      <c r="A155" s="30"/>
      <c r="C155" s="27"/>
    </row>
    <row r="156" spans="1:3">
      <c r="A156" s="30"/>
      <c r="C156" s="27"/>
    </row>
    <row r="157" spans="1:3">
      <c r="A157" s="30"/>
      <c r="C157" s="27"/>
    </row>
    <row r="158" spans="1:3">
      <c r="A158" s="30"/>
      <c r="C158" s="27"/>
    </row>
    <row r="159" spans="1:3">
      <c r="A159" s="30"/>
      <c r="C159" s="27"/>
    </row>
    <row r="160" spans="1:3">
      <c r="A160" s="30"/>
      <c r="C160" s="27"/>
    </row>
    <row r="161" spans="1:3">
      <c r="A161" s="30"/>
      <c r="C161" s="27"/>
    </row>
    <row r="162" spans="1:3">
      <c r="A162" s="30"/>
      <c r="C162" s="27"/>
    </row>
    <row r="163" spans="1:3">
      <c r="A163" s="30"/>
      <c r="C163" s="27"/>
    </row>
    <row r="164" spans="1:3">
      <c r="A164" s="30"/>
      <c r="C164" s="27"/>
    </row>
    <row r="165" spans="1:3">
      <c r="A165" s="30"/>
      <c r="C165" s="27"/>
    </row>
    <row r="166" spans="1:3">
      <c r="A166" s="30"/>
      <c r="C166" s="27"/>
    </row>
    <row r="167" spans="1:3">
      <c r="A167" s="30"/>
      <c r="C167" s="27"/>
    </row>
    <row r="168" spans="1:3">
      <c r="A168" s="30"/>
      <c r="C168" s="27"/>
    </row>
    <row r="169" spans="1:3">
      <c r="A169" s="30"/>
      <c r="C169" s="27"/>
    </row>
    <row r="170" spans="1:3">
      <c r="A170" s="30"/>
      <c r="C170" s="27"/>
    </row>
    <row r="171" spans="1:3">
      <c r="A171" s="30"/>
      <c r="C171" s="27"/>
    </row>
    <row r="172" spans="1:3">
      <c r="A172" s="30"/>
      <c r="C172" s="27"/>
    </row>
    <row r="173" spans="1:3">
      <c r="A173" s="30"/>
      <c r="C173" s="27"/>
    </row>
    <row r="174" spans="1:3">
      <c r="A174" s="30"/>
      <c r="C174" s="27"/>
    </row>
    <row r="175" spans="1:3">
      <c r="A175" s="30"/>
      <c r="C175" s="27"/>
    </row>
    <row r="176" spans="1:3">
      <c r="A176" s="30"/>
      <c r="C176" s="27"/>
    </row>
    <row r="177" spans="1:3">
      <c r="A177" s="30"/>
      <c r="C177" s="27"/>
    </row>
    <row r="178" spans="1:3">
      <c r="A178" s="30"/>
      <c r="C178" s="27"/>
    </row>
    <row r="179" spans="1:3">
      <c r="A179" s="30"/>
      <c r="C179" s="27"/>
    </row>
    <row r="180" spans="1:3">
      <c r="A180" s="30"/>
      <c r="C180" s="27"/>
    </row>
    <row r="181" spans="1:3">
      <c r="A181" s="30"/>
      <c r="C181" s="27"/>
    </row>
    <row r="182" spans="1:3">
      <c r="A182" s="30"/>
      <c r="C182" s="27"/>
    </row>
    <row r="183" spans="1:3">
      <c r="A183" s="30"/>
      <c r="C183" s="27"/>
    </row>
    <row r="184" spans="1:3">
      <c r="A184" s="30"/>
      <c r="C184" s="27"/>
    </row>
    <row r="185" spans="1:3">
      <c r="A185" s="30"/>
      <c r="C185" s="27"/>
    </row>
    <row r="186" spans="1:3">
      <c r="A186" s="30"/>
      <c r="C186" s="27"/>
    </row>
    <row r="187" spans="1:3">
      <c r="A187" s="30"/>
      <c r="C187" s="27"/>
    </row>
    <row r="188" spans="1:3">
      <c r="A188" s="30"/>
      <c r="C188" s="27"/>
    </row>
    <row r="189" spans="1:3">
      <c r="A189" s="30"/>
      <c r="C189" s="27"/>
    </row>
    <row r="190" spans="1:3">
      <c r="A190" s="30"/>
      <c r="C190" s="27"/>
    </row>
    <row r="191" spans="1:3">
      <c r="A191" s="30"/>
      <c r="C191" s="27"/>
    </row>
    <row r="192" spans="1:3">
      <c r="A192" s="30"/>
      <c r="C192" s="27"/>
    </row>
    <row r="193" spans="1:3">
      <c r="A193" s="30"/>
      <c r="C193" s="27"/>
    </row>
    <row r="194" spans="1:3">
      <c r="A194" s="30"/>
      <c r="C194" s="27"/>
    </row>
    <row r="195" spans="1:3">
      <c r="A195" s="30"/>
      <c r="C195" s="27"/>
    </row>
    <row r="196" spans="1:3">
      <c r="A196" s="30"/>
      <c r="C196" s="27"/>
    </row>
    <row r="197" spans="1:3">
      <c r="A197" s="30"/>
      <c r="C197" s="27"/>
    </row>
    <row r="198" spans="1:3">
      <c r="A198" s="30"/>
      <c r="C198" s="27"/>
    </row>
    <row r="199" spans="1:3">
      <c r="A199" s="30"/>
      <c r="C199" s="27"/>
    </row>
    <row r="200" spans="1:3">
      <c r="A200" s="30"/>
      <c r="C200" s="27"/>
    </row>
    <row r="201" spans="1:3">
      <c r="A201" s="30"/>
      <c r="C201" s="27"/>
    </row>
    <row r="202" spans="1:3">
      <c r="A202" s="30"/>
      <c r="C202" s="27"/>
    </row>
    <row r="203" spans="1:3">
      <c r="A203" s="30"/>
      <c r="C203" s="27"/>
    </row>
    <row r="204" spans="1:3">
      <c r="A204" s="30"/>
      <c r="C204" s="27"/>
    </row>
    <row r="205" spans="1:3">
      <c r="A205" s="30"/>
      <c r="C205" s="27"/>
    </row>
    <row r="206" spans="1:3">
      <c r="A206" s="30"/>
      <c r="C206" s="27"/>
    </row>
    <row r="207" spans="1:3">
      <c r="A207" s="30"/>
      <c r="C207" s="27"/>
    </row>
    <row r="208" spans="1:3">
      <c r="A208" s="30"/>
      <c r="C208" s="27"/>
    </row>
    <row r="209" spans="1:3">
      <c r="A209" s="30"/>
      <c r="C209" s="27"/>
    </row>
    <row r="210" spans="1:3">
      <c r="A210" s="30"/>
      <c r="C210" s="27"/>
    </row>
    <row r="211" spans="1:3">
      <c r="A211" s="30"/>
      <c r="C211" s="27"/>
    </row>
    <row r="212" spans="1:3">
      <c r="A212" s="30"/>
      <c r="C212" s="27"/>
    </row>
    <row r="213" spans="1:3">
      <c r="A213" s="30"/>
      <c r="C213" s="27"/>
    </row>
    <row r="214" spans="1:3">
      <c r="A214" s="30"/>
      <c r="C214" s="27"/>
    </row>
    <row r="215" spans="1:3">
      <c r="A215" s="30"/>
      <c r="C215" s="27"/>
    </row>
    <row r="216" spans="1:3">
      <c r="A216" s="30"/>
      <c r="C216" s="27"/>
    </row>
    <row r="217" spans="1:3">
      <c r="A217" s="30"/>
      <c r="C217" s="27"/>
    </row>
    <row r="218" spans="1:3">
      <c r="A218" s="30"/>
      <c r="C218" s="27"/>
    </row>
    <row r="219" spans="1:3">
      <c r="A219" s="30"/>
      <c r="C219" s="27"/>
    </row>
    <row r="220" spans="1:3">
      <c r="A220" s="30"/>
      <c r="C220" s="27"/>
    </row>
    <row r="221" spans="1:3">
      <c r="A221" s="30"/>
      <c r="C221" s="27"/>
    </row>
    <row r="222" spans="1:3">
      <c r="A222" s="30"/>
      <c r="C222" s="27"/>
    </row>
    <row r="223" spans="1:3">
      <c r="A223" s="30"/>
      <c r="C223" s="27"/>
    </row>
    <row r="224" spans="1:3">
      <c r="A224" s="30"/>
      <c r="C224" s="27"/>
    </row>
    <row r="225" spans="1:3">
      <c r="A225" s="30"/>
      <c r="C225" s="27"/>
    </row>
    <row r="226" spans="1:3">
      <c r="A226" s="30"/>
      <c r="C226" s="27"/>
    </row>
    <row r="227" spans="1:3">
      <c r="A227" s="30"/>
      <c r="C227" s="27"/>
    </row>
    <row r="228" spans="1:3">
      <c r="A228" s="30"/>
      <c r="C228" s="27"/>
    </row>
    <row r="229" spans="1:3">
      <c r="A229" s="30"/>
      <c r="C229" s="27"/>
    </row>
    <row r="230" spans="1:3">
      <c r="A230" s="30"/>
      <c r="C230" s="27"/>
    </row>
    <row r="231" spans="1:3">
      <c r="A231" s="30"/>
      <c r="C231" s="27"/>
    </row>
    <row r="232" spans="1:3">
      <c r="A232" s="30"/>
      <c r="C232" s="27"/>
    </row>
    <row r="233" spans="1:3">
      <c r="A233" s="30"/>
      <c r="C233" s="27"/>
    </row>
    <row r="234" spans="1:3">
      <c r="A234" s="30"/>
      <c r="C234" s="27"/>
    </row>
    <row r="235" spans="1:3">
      <c r="A235" s="30"/>
      <c r="C235" s="27"/>
    </row>
    <row r="236" spans="1:3">
      <c r="A236" s="30"/>
      <c r="C236" s="27"/>
    </row>
    <row r="237" spans="1:3">
      <c r="A237" s="30"/>
      <c r="C237" s="27"/>
    </row>
    <row r="238" spans="1:3">
      <c r="A238" s="30"/>
      <c r="C238" s="27"/>
    </row>
    <row r="239" spans="1:3">
      <c r="A239" s="30"/>
      <c r="C239" s="27"/>
    </row>
    <row r="240" spans="1:3">
      <c r="A240" s="30"/>
      <c r="C240" s="27"/>
    </row>
    <row r="241" spans="1:3">
      <c r="A241" s="30"/>
      <c r="C241" s="27"/>
    </row>
    <row r="242" spans="1:3">
      <c r="A242" s="30"/>
      <c r="C242" s="27"/>
    </row>
    <row r="243" spans="1:3">
      <c r="A243" s="30"/>
      <c r="C243" s="27"/>
    </row>
    <row r="244" spans="1:3">
      <c r="A244" s="30"/>
      <c r="C244" s="27"/>
    </row>
    <row r="245" spans="1:3">
      <c r="A245" s="30"/>
      <c r="C245" s="27"/>
    </row>
    <row r="246" spans="1:3">
      <c r="A246" s="30"/>
      <c r="C246" s="27"/>
    </row>
    <row r="247" spans="1:3">
      <c r="A247" s="30"/>
      <c r="C247" s="27"/>
    </row>
    <row r="248" spans="1:3">
      <c r="A248" s="30"/>
      <c r="C248" s="27"/>
    </row>
    <row r="249" spans="1:3">
      <c r="A249" s="30"/>
      <c r="C249" s="27"/>
    </row>
    <row r="250" spans="1:3">
      <c r="A250" s="30"/>
      <c r="C250" s="27"/>
    </row>
    <row r="251" spans="1:3">
      <c r="A251" s="30"/>
      <c r="C251" s="27"/>
    </row>
    <row r="252" spans="1:3">
      <c r="A252" s="30"/>
      <c r="C252" s="27"/>
    </row>
    <row r="253" spans="1:3">
      <c r="A253" s="30"/>
      <c r="C253" s="27"/>
    </row>
    <row r="254" spans="1:3">
      <c r="A254" s="30"/>
      <c r="C254" s="27"/>
    </row>
    <row r="255" spans="1:3">
      <c r="A255" s="30"/>
      <c r="C255" s="27"/>
    </row>
    <row r="256" spans="1:3">
      <c r="A256" s="30"/>
      <c r="C256" s="27"/>
    </row>
    <row r="257" spans="1:3">
      <c r="A257" s="30"/>
      <c r="C257" s="27"/>
    </row>
    <row r="258" spans="1:3">
      <c r="A258" s="30"/>
      <c r="C258" s="27"/>
    </row>
    <row r="259" spans="1:3">
      <c r="A259" s="30"/>
      <c r="C259" s="27"/>
    </row>
    <row r="260" spans="1:3">
      <c r="A260" s="30"/>
      <c r="C260" s="27"/>
    </row>
    <row r="261" spans="1:3">
      <c r="A261" s="30"/>
      <c r="C261" s="27"/>
    </row>
    <row r="262" spans="1:3">
      <c r="A262" s="30"/>
      <c r="C262" s="27"/>
    </row>
    <row r="263" spans="1:3">
      <c r="A263" s="30"/>
      <c r="C263" s="27"/>
    </row>
    <row r="264" spans="1:3">
      <c r="A264" s="30"/>
      <c r="C264" s="27"/>
    </row>
    <row r="265" spans="1:3">
      <c r="A265" s="30"/>
      <c r="C265" s="27"/>
    </row>
    <row r="266" spans="1:3">
      <c r="A266" s="30"/>
      <c r="C266" s="27"/>
    </row>
    <row r="267" spans="1:3">
      <c r="A267" s="30"/>
      <c r="C267" s="27"/>
    </row>
    <row r="268" spans="1:3">
      <c r="A268" s="30"/>
      <c r="C268" s="27"/>
    </row>
    <row r="269" spans="1:3">
      <c r="A269" s="30"/>
      <c r="C269" s="27"/>
    </row>
    <row r="270" spans="1:3">
      <c r="A270" s="30"/>
      <c r="C270" s="27"/>
    </row>
    <row r="271" spans="1:3">
      <c r="A271" s="30"/>
      <c r="C271" s="27"/>
    </row>
    <row r="272" spans="1:3">
      <c r="A272" s="30"/>
      <c r="C272" s="27"/>
    </row>
    <row r="273" spans="1:3">
      <c r="A273" s="30"/>
      <c r="C273" s="27"/>
    </row>
    <row r="274" spans="1:3">
      <c r="A274" s="30"/>
      <c r="C274" s="27"/>
    </row>
    <row r="275" spans="1:3">
      <c r="A275" s="30"/>
      <c r="C275" s="27"/>
    </row>
    <row r="276" spans="1:3">
      <c r="A276" s="30"/>
      <c r="C276" s="27"/>
    </row>
    <row r="277" spans="1:3">
      <c r="A277" s="30"/>
      <c r="C277" s="27"/>
    </row>
    <row r="278" spans="1:3">
      <c r="A278" s="30"/>
      <c r="C278" s="27"/>
    </row>
    <row r="279" spans="1:3">
      <c r="A279" s="30"/>
      <c r="C279" s="27"/>
    </row>
    <row r="280" spans="1:3">
      <c r="A280" s="30"/>
      <c r="C280" s="27"/>
    </row>
    <row r="281" spans="1:3">
      <c r="A281" s="30"/>
      <c r="C281" s="27"/>
    </row>
    <row r="282" spans="1:3">
      <c r="A282" s="30"/>
      <c r="C282" s="27"/>
    </row>
    <row r="283" spans="1:3">
      <c r="A283" s="30"/>
      <c r="C283" s="27"/>
    </row>
    <row r="284" spans="1:3">
      <c r="A284" s="30"/>
      <c r="C284" s="27"/>
    </row>
    <row r="285" spans="1:3">
      <c r="A285" s="30"/>
      <c r="C285" s="27"/>
    </row>
    <row r="286" spans="1:3">
      <c r="A286" s="30"/>
      <c r="C286" s="27"/>
    </row>
    <row r="287" spans="1:3">
      <c r="A287" s="30"/>
      <c r="C287" s="27"/>
    </row>
    <row r="288" spans="1:3">
      <c r="A288" s="30"/>
      <c r="C288" s="27"/>
    </row>
    <row r="289" spans="1:3">
      <c r="A289" s="30"/>
      <c r="C289" s="27"/>
    </row>
    <row r="290" spans="1:3">
      <c r="A290" s="30"/>
      <c r="C290" s="27"/>
    </row>
    <row r="291" spans="1:3">
      <c r="A291" s="30"/>
      <c r="C291" s="27"/>
    </row>
    <row r="292" spans="1:3">
      <c r="A292" s="30"/>
      <c r="C292" s="27"/>
    </row>
    <row r="293" spans="1:3">
      <c r="A293" s="30"/>
      <c r="C293" s="27"/>
    </row>
    <row r="294" spans="1:3">
      <c r="A294" s="30"/>
      <c r="C294" s="27"/>
    </row>
    <row r="295" spans="1:3">
      <c r="A295" s="30"/>
      <c r="C295" s="27"/>
    </row>
    <row r="296" spans="1:3">
      <c r="A296" s="30"/>
      <c r="C296" s="27"/>
    </row>
    <row r="297" spans="1:3">
      <c r="A297" s="30"/>
      <c r="C297" s="27"/>
    </row>
    <row r="298" spans="1:3">
      <c r="A298" s="30"/>
      <c r="C298" s="27"/>
    </row>
    <row r="299" spans="1:3">
      <c r="A299" s="30"/>
      <c r="C299" s="27"/>
    </row>
    <row r="300" spans="1:3">
      <c r="A300" s="30"/>
      <c r="C300" s="27"/>
    </row>
    <row r="301" spans="1:3">
      <c r="A301" s="30"/>
      <c r="C301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Lists!$A$2:$A$9</xm:f>
          </x14:formula1>
          <xm:sqref>B2:B301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0"/>
  <sheetViews>
    <sheetView workbookViewId="0">
      <selection activeCell="F3" sqref="F3"/>
    </sheetView>
  </sheetViews>
  <sheetFormatPr baseColWidth="10" defaultColWidth="8.83203125" defaultRowHeight="14"/>
  <cols>
    <col min="1" max="1" width="13" bestFit="1" customWidth="1"/>
    <col min="2" max="2" width="16.6640625" bestFit="1" customWidth="1"/>
    <col min="3" max="3" width="17.6640625" bestFit="1" customWidth="1"/>
    <col min="4" max="4" width="15.1640625" bestFit="1" customWidth="1"/>
    <col min="5" max="5" width="15.5" bestFit="1" customWidth="1"/>
    <col min="6" max="7" width="15.33203125" bestFit="1" customWidth="1"/>
    <col min="8" max="8" width="32.6640625" bestFit="1" customWidth="1"/>
    <col min="9" max="9" width="24.5" bestFit="1" customWidth="1"/>
    <col min="10" max="10" width="20.33203125" bestFit="1" customWidth="1"/>
    <col min="11" max="11" width="23.1640625" bestFit="1" customWidth="1"/>
    <col min="12" max="12" width="6.33203125" bestFit="1" customWidth="1"/>
  </cols>
  <sheetData>
    <row r="1" spans="1:12" ht="1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35</v>
      </c>
    </row>
    <row r="2" spans="1:12">
      <c r="A2" s="29">
        <v>46174</v>
      </c>
      <c r="B2" t="s">
        <v>64</v>
      </c>
      <c r="C2" t="s">
        <v>133</v>
      </c>
      <c r="D2" s="27">
        <v>7200</v>
      </c>
      <c r="E2" s="27">
        <v>5900</v>
      </c>
      <c r="F2" s="27"/>
      <c r="G2" s="27"/>
      <c r="H2" s="27"/>
      <c r="I2" s="27"/>
      <c r="J2" s="27">
        <f t="shared" ref="J2:J65" si="0">SUM(F2:I2)</f>
        <v>0</v>
      </c>
      <c r="K2" s="27">
        <f t="shared" ref="K2:K65" si="1">MAX(D2-E2,0)</f>
        <v>1300</v>
      </c>
    </row>
    <row r="3" spans="1:12">
      <c r="A3" s="29">
        <v>46174</v>
      </c>
      <c r="B3" t="s">
        <v>74</v>
      </c>
      <c r="C3" t="s">
        <v>134</v>
      </c>
      <c r="D3" s="27">
        <v>2400</v>
      </c>
      <c r="E3" s="27">
        <v>2000</v>
      </c>
      <c r="F3" s="27"/>
      <c r="G3" s="27"/>
      <c r="H3" s="27"/>
      <c r="I3" s="27"/>
      <c r="J3" s="27">
        <f t="shared" si="0"/>
        <v>0</v>
      </c>
      <c r="K3" s="27">
        <f t="shared" si="1"/>
        <v>400</v>
      </c>
    </row>
    <row r="4" spans="1:12">
      <c r="A4" s="29"/>
      <c r="D4" s="27"/>
      <c r="E4" s="27"/>
      <c r="F4" s="27"/>
      <c r="G4" s="27"/>
      <c r="H4" s="27"/>
      <c r="I4" s="27"/>
      <c r="J4" s="27">
        <f t="shared" si="0"/>
        <v>0</v>
      </c>
      <c r="K4" s="27">
        <f t="shared" si="1"/>
        <v>0</v>
      </c>
    </row>
    <row r="5" spans="1:12">
      <c r="A5" s="29"/>
      <c r="D5" s="27"/>
      <c r="E5" s="27"/>
      <c r="F5" s="27"/>
      <c r="G5" s="27"/>
      <c r="H5" s="27"/>
      <c r="I5" s="27"/>
      <c r="J5" s="27">
        <f t="shared" si="0"/>
        <v>0</v>
      </c>
      <c r="K5" s="27">
        <f t="shared" si="1"/>
        <v>0</v>
      </c>
    </row>
    <row r="6" spans="1:12">
      <c r="A6" s="29"/>
      <c r="D6" s="27"/>
      <c r="E6" s="27"/>
      <c r="F6" s="27"/>
      <c r="G6" s="27"/>
      <c r="H6" s="27"/>
      <c r="I6" s="27"/>
      <c r="J6" s="27">
        <f t="shared" si="0"/>
        <v>0</v>
      </c>
      <c r="K6" s="27">
        <f t="shared" si="1"/>
        <v>0</v>
      </c>
    </row>
    <row r="7" spans="1:12">
      <c r="A7" s="29"/>
      <c r="D7" s="27"/>
      <c r="E7" s="27"/>
      <c r="F7" s="27"/>
      <c r="G7" s="27"/>
      <c r="H7" s="27"/>
      <c r="I7" s="27"/>
      <c r="J7" s="27">
        <f t="shared" si="0"/>
        <v>0</v>
      </c>
      <c r="K7" s="27">
        <f t="shared" si="1"/>
        <v>0</v>
      </c>
    </row>
    <row r="8" spans="1:12">
      <c r="A8" s="29"/>
      <c r="D8" s="27"/>
      <c r="E8" s="27"/>
      <c r="F8" s="27"/>
      <c r="G8" s="27"/>
      <c r="H8" s="27"/>
      <c r="I8" s="27"/>
      <c r="J8" s="27">
        <f t="shared" si="0"/>
        <v>0</v>
      </c>
      <c r="K8" s="27">
        <f t="shared" si="1"/>
        <v>0</v>
      </c>
    </row>
    <row r="9" spans="1:12">
      <c r="A9" s="29"/>
      <c r="D9" s="27"/>
      <c r="E9" s="27"/>
      <c r="F9" s="27"/>
      <c r="G9" s="27"/>
      <c r="H9" s="27"/>
      <c r="I9" s="27"/>
      <c r="J9" s="27">
        <f t="shared" si="0"/>
        <v>0</v>
      </c>
      <c r="K9" s="27">
        <f t="shared" si="1"/>
        <v>0</v>
      </c>
    </row>
    <row r="10" spans="1:12">
      <c r="A10" s="29"/>
      <c r="D10" s="27"/>
      <c r="E10" s="27"/>
      <c r="F10" s="27"/>
      <c r="G10" s="27"/>
      <c r="H10" s="27"/>
      <c r="I10" s="27"/>
      <c r="J10" s="27">
        <f t="shared" si="0"/>
        <v>0</v>
      </c>
      <c r="K10" s="27">
        <f t="shared" si="1"/>
        <v>0</v>
      </c>
    </row>
    <row r="11" spans="1:12">
      <c r="A11" s="29"/>
      <c r="D11" s="27"/>
      <c r="E11" s="27"/>
      <c r="F11" s="27"/>
      <c r="G11" s="27"/>
      <c r="H11" s="27"/>
      <c r="I11" s="27"/>
      <c r="J11" s="27">
        <f t="shared" si="0"/>
        <v>0</v>
      </c>
      <c r="K11" s="27">
        <f t="shared" si="1"/>
        <v>0</v>
      </c>
    </row>
    <row r="12" spans="1:12">
      <c r="A12" s="29"/>
      <c r="D12" s="27"/>
      <c r="E12" s="27"/>
      <c r="F12" s="27"/>
      <c r="G12" s="27"/>
      <c r="H12" s="27"/>
      <c r="I12" s="27"/>
      <c r="J12" s="27">
        <f t="shared" si="0"/>
        <v>0</v>
      </c>
      <c r="K12" s="27">
        <f t="shared" si="1"/>
        <v>0</v>
      </c>
    </row>
    <row r="13" spans="1:12">
      <c r="A13" s="29"/>
      <c r="D13" s="27"/>
      <c r="E13" s="27"/>
      <c r="F13" s="27"/>
      <c r="G13" s="27"/>
      <c r="H13" s="27"/>
      <c r="I13" s="27"/>
      <c r="J13" s="27">
        <f t="shared" si="0"/>
        <v>0</v>
      </c>
      <c r="K13" s="27">
        <f t="shared" si="1"/>
        <v>0</v>
      </c>
    </row>
    <row r="14" spans="1:12">
      <c r="A14" s="29"/>
      <c r="D14" s="27"/>
      <c r="E14" s="27"/>
      <c r="F14" s="27"/>
      <c r="G14" s="27"/>
      <c r="H14" s="27"/>
      <c r="I14" s="27"/>
      <c r="J14" s="27">
        <f t="shared" si="0"/>
        <v>0</v>
      </c>
      <c r="K14" s="27">
        <f t="shared" si="1"/>
        <v>0</v>
      </c>
    </row>
    <row r="15" spans="1:12">
      <c r="A15" s="29"/>
      <c r="D15" s="27"/>
      <c r="E15" s="27"/>
      <c r="F15" s="27"/>
      <c r="G15" s="27"/>
      <c r="H15" s="27"/>
      <c r="I15" s="27"/>
      <c r="J15" s="27">
        <f t="shared" si="0"/>
        <v>0</v>
      </c>
      <c r="K15" s="27">
        <f t="shared" si="1"/>
        <v>0</v>
      </c>
    </row>
    <row r="16" spans="1:12">
      <c r="A16" s="29"/>
      <c r="D16" s="27"/>
      <c r="E16" s="27"/>
      <c r="F16" s="27"/>
      <c r="G16" s="27"/>
      <c r="H16" s="27"/>
      <c r="I16" s="27"/>
      <c r="J16" s="27">
        <f t="shared" si="0"/>
        <v>0</v>
      </c>
      <c r="K16" s="27">
        <f t="shared" si="1"/>
        <v>0</v>
      </c>
    </row>
    <row r="17" spans="1:11">
      <c r="A17" s="29"/>
      <c r="D17" s="27"/>
      <c r="E17" s="27"/>
      <c r="F17" s="27"/>
      <c r="G17" s="27"/>
      <c r="H17" s="27"/>
      <c r="I17" s="27"/>
      <c r="J17" s="27">
        <f t="shared" si="0"/>
        <v>0</v>
      </c>
      <c r="K17" s="27">
        <f t="shared" si="1"/>
        <v>0</v>
      </c>
    </row>
    <row r="18" spans="1:11">
      <c r="A18" s="29"/>
      <c r="D18" s="27"/>
      <c r="E18" s="27"/>
      <c r="F18" s="27"/>
      <c r="G18" s="27"/>
      <c r="H18" s="27"/>
      <c r="I18" s="27"/>
      <c r="J18" s="27">
        <f t="shared" si="0"/>
        <v>0</v>
      </c>
      <c r="K18" s="27">
        <f t="shared" si="1"/>
        <v>0</v>
      </c>
    </row>
    <row r="19" spans="1:11">
      <c r="A19" s="29"/>
      <c r="D19" s="27"/>
      <c r="E19" s="27"/>
      <c r="F19" s="27"/>
      <c r="G19" s="27"/>
      <c r="H19" s="27"/>
      <c r="I19" s="27"/>
      <c r="J19" s="27">
        <f t="shared" si="0"/>
        <v>0</v>
      </c>
      <c r="K19" s="27">
        <f t="shared" si="1"/>
        <v>0</v>
      </c>
    </row>
    <row r="20" spans="1:11">
      <c r="A20" s="29"/>
      <c r="D20" s="27"/>
      <c r="E20" s="27"/>
      <c r="F20" s="27"/>
      <c r="G20" s="27"/>
      <c r="H20" s="27"/>
      <c r="I20" s="27"/>
      <c r="J20" s="27">
        <f t="shared" si="0"/>
        <v>0</v>
      </c>
      <c r="K20" s="27">
        <f t="shared" si="1"/>
        <v>0</v>
      </c>
    </row>
    <row r="21" spans="1:11">
      <c r="A21" s="29"/>
      <c r="D21" s="27"/>
      <c r="E21" s="27"/>
      <c r="F21" s="27"/>
      <c r="G21" s="27"/>
      <c r="H21" s="27"/>
      <c r="I21" s="27"/>
      <c r="J21" s="27">
        <f t="shared" si="0"/>
        <v>0</v>
      </c>
      <c r="K21" s="27">
        <f t="shared" si="1"/>
        <v>0</v>
      </c>
    </row>
    <row r="22" spans="1:11">
      <c r="A22" s="29"/>
      <c r="D22" s="27"/>
      <c r="E22" s="27"/>
      <c r="F22" s="27"/>
      <c r="G22" s="27"/>
      <c r="H22" s="27"/>
      <c r="I22" s="27"/>
      <c r="J22" s="27">
        <f t="shared" si="0"/>
        <v>0</v>
      </c>
      <c r="K22" s="27">
        <f t="shared" si="1"/>
        <v>0</v>
      </c>
    </row>
    <row r="23" spans="1:11">
      <c r="A23" s="29"/>
      <c r="D23" s="27"/>
      <c r="E23" s="27"/>
      <c r="F23" s="27"/>
      <c r="G23" s="27"/>
      <c r="H23" s="27"/>
      <c r="I23" s="27"/>
      <c r="J23" s="27">
        <f t="shared" si="0"/>
        <v>0</v>
      </c>
      <c r="K23" s="27">
        <f t="shared" si="1"/>
        <v>0</v>
      </c>
    </row>
    <row r="24" spans="1:11">
      <c r="A24" s="29"/>
      <c r="D24" s="27"/>
      <c r="E24" s="27"/>
      <c r="F24" s="27"/>
      <c r="G24" s="27"/>
      <c r="H24" s="27"/>
      <c r="I24" s="27"/>
      <c r="J24" s="27">
        <f t="shared" si="0"/>
        <v>0</v>
      </c>
      <c r="K24" s="27">
        <f t="shared" si="1"/>
        <v>0</v>
      </c>
    </row>
    <row r="25" spans="1:11">
      <c r="A25" s="29"/>
      <c r="D25" s="27"/>
      <c r="E25" s="27"/>
      <c r="F25" s="27"/>
      <c r="G25" s="27"/>
      <c r="H25" s="27"/>
      <c r="I25" s="27"/>
      <c r="J25" s="27">
        <f t="shared" si="0"/>
        <v>0</v>
      </c>
      <c r="K25" s="27">
        <f t="shared" si="1"/>
        <v>0</v>
      </c>
    </row>
    <row r="26" spans="1:11">
      <c r="A26" s="29"/>
      <c r="D26" s="27"/>
      <c r="E26" s="27"/>
      <c r="F26" s="27"/>
      <c r="G26" s="27"/>
      <c r="H26" s="27"/>
      <c r="I26" s="27"/>
      <c r="J26" s="27">
        <f t="shared" si="0"/>
        <v>0</v>
      </c>
      <c r="K26" s="27">
        <f t="shared" si="1"/>
        <v>0</v>
      </c>
    </row>
    <row r="27" spans="1:11">
      <c r="A27" s="29"/>
      <c r="D27" s="27"/>
      <c r="E27" s="27"/>
      <c r="F27" s="27"/>
      <c r="G27" s="27"/>
      <c r="H27" s="27"/>
      <c r="I27" s="27"/>
      <c r="J27" s="27">
        <f t="shared" si="0"/>
        <v>0</v>
      </c>
      <c r="K27" s="27">
        <f t="shared" si="1"/>
        <v>0</v>
      </c>
    </row>
    <row r="28" spans="1:11">
      <c r="A28" s="29"/>
      <c r="D28" s="27"/>
      <c r="E28" s="27"/>
      <c r="F28" s="27"/>
      <c r="G28" s="27"/>
      <c r="H28" s="27"/>
      <c r="I28" s="27"/>
      <c r="J28" s="27">
        <f t="shared" si="0"/>
        <v>0</v>
      </c>
      <c r="K28" s="27">
        <f t="shared" si="1"/>
        <v>0</v>
      </c>
    </row>
    <row r="29" spans="1:11">
      <c r="A29" s="29"/>
      <c r="D29" s="27"/>
      <c r="E29" s="27"/>
      <c r="F29" s="27"/>
      <c r="G29" s="27"/>
      <c r="H29" s="27"/>
      <c r="I29" s="27"/>
      <c r="J29" s="27">
        <f t="shared" si="0"/>
        <v>0</v>
      </c>
      <c r="K29" s="27">
        <f t="shared" si="1"/>
        <v>0</v>
      </c>
    </row>
    <row r="30" spans="1:11">
      <c r="A30" s="29"/>
      <c r="D30" s="27"/>
      <c r="E30" s="27"/>
      <c r="F30" s="27"/>
      <c r="G30" s="27"/>
      <c r="H30" s="27"/>
      <c r="I30" s="27"/>
      <c r="J30" s="27">
        <f t="shared" si="0"/>
        <v>0</v>
      </c>
      <c r="K30" s="27">
        <f t="shared" si="1"/>
        <v>0</v>
      </c>
    </row>
    <row r="31" spans="1:11">
      <c r="A31" s="29"/>
      <c r="D31" s="27"/>
      <c r="E31" s="27"/>
      <c r="F31" s="27"/>
      <c r="G31" s="27"/>
      <c r="H31" s="27"/>
      <c r="I31" s="27"/>
      <c r="J31" s="27">
        <f t="shared" si="0"/>
        <v>0</v>
      </c>
      <c r="K31" s="27">
        <f t="shared" si="1"/>
        <v>0</v>
      </c>
    </row>
    <row r="32" spans="1:11">
      <c r="A32" s="29"/>
      <c r="D32" s="27"/>
      <c r="E32" s="27"/>
      <c r="F32" s="27"/>
      <c r="G32" s="27"/>
      <c r="H32" s="27"/>
      <c r="I32" s="27"/>
      <c r="J32" s="27">
        <f t="shared" si="0"/>
        <v>0</v>
      </c>
      <c r="K32" s="27">
        <f t="shared" si="1"/>
        <v>0</v>
      </c>
    </row>
    <row r="33" spans="1:11">
      <c r="A33" s="29"/>
      <c r="D33" s="27"/>
      <c r="E33" s="27"/>
      <c r="F33" s="27"/>
      <c r="G33" s="27"/>
      <c r="H33" s="27"/>
      <c r="I33" s="27"/>
      <c r="J33" s="27">
        <f t="shared" si="0"/>
        <v>0</v>
      </c>
      <c r="K33" s="27">
        <f t="shared" si="1"/>
        <v>0</v>
      </c>
    </row>
    <row r="34" spans="1:11">
      <c r="A34" s="29"/>
      <c r="D34" s="27"/>
      <c r="E34" s="27"/>
      <c r="F34" s="27"/>
      <c r="G34" s="27"/>
      <c r="H34" s="27"/>
      <c r="I34" s="27"/>
      <c r="J34" s="27">
        <f t="shared" si="0"/>
        <v>0</v>
      </c>
      <c r="K34" s="27">
        <f t="shared" si="1"/>
        <v>0</v>
      </c>
    </row>
    <row r="35" spans="1:11">
      <c r="A35" s="29"/>
      <c r="D35" s="27"/>
      <c r="E35" s="27"/>
      <c r="F35" s="27"/>
      <c r="G35" s="27"/>
      <c r="H35" s="27"/>
      <c r="I35" s="27"/>
      <c r="J35" s="27">
        <f t="shared" si="0"/>
        <v>0</v>
      </c>
      <c r="K35" s="27">
        <f t="shared" si="1"/>
        <v>0</v>
      </c>
    </row>
    <row r="36" spans="1:11">
      <c r="A36" s="29"/>
      <c r="D36" s="27"/>
      <c r="E36" s="27"/>
      <c r="F36" s="27"/>
      <c r="G36" s="27"/>
      <c r="H36" s="27"/>
      <c r="I36" s="27"/>
      <c r="J36" s="27">
        <f t="shared" si="0"/>
        <v>0</v>
      </c>
      <c r="K36" s="27">
        <f t="shared" si="1"/>
        <v>0</v>
      </c>
    </row>
    <row r="37" spans="1:11">
      <c r="A37" s="29"/>
      <c r="D37" s="27"/>
      <c r="E37" s="27"/>
      <c r="F37" s="27"/>
      <c r="G37" s="27"/>
      <c r="H37" s="27"/>
      <c r="I37" s="27"/>
      <c r="J37" s="27">
        <f t="shared" si="0"/>
        <v>0</v>
      </c>
      <c r="K37" s="27">
        <f t="shared" si="1"/>
        <v>0</v>
      </c>
    </row>
    <row r="38" spans="1:11">
      <c r="A38" s="29"/>
      <c r="D38" s="27"/>
      <c r="E38" s="27"/>
      <c r="F38" s="27"/>
      <c r="G38" s="27"/>
      <c r="H38" s="27"/>
      <c r="I38" s="27"/>
      <c r="J38" s="27">
        <f t="shared" si="0"/>
        <v>0</v>
      </c>
      <c r="K38" s="27">
        <f t="shared" si="1"/>
        <v>0</v>
      </c>
    </row>
    <row r="39" spans="1:11">
      <c r="A39" s="29"/>
      <c r="D39" s="27"/>
      <c r="E39" s="27"/>
      <c r="F39" s="27"/>
      <c r="G39" s="27"/>
      <c r="H39" s="27"/>
      <c r="I39" s="27"/>
      <c r="J39" s="27">
        <f t="shared" si="0"/>
        <v>0</v>
      </c>
      <c r="K39" s="27">
        <f t="shared" si="1"/>
        <v>0</v>
      </c>
    </row>
    <row r="40" spans="1:11">
      <c r="A40" s="29"/>
      <c r="D40" s="27"/>
      <c r="E40" s="27"/>
      <c r="F40" s="27"/>
      <c r="G40" s="27"/>
      <c r="H40" s="27"/>
      <c r="I40" s="27"/>
      <c r="J40" s="27">
        <f t="shared" si="0"/>
        <v>0</v>
      </c>
      <c r="K40" s="27">
        <f t="shared" si="1"/>
        <v>0</v>
      </c>
    </row>
    <row r="41" spans="1:11">
      <c r="A41" s="29"/>
      <c r="D41" s="27"/>
      <c r="E41" s="27"/>
      <c r="F41" s="27"/>
      <c r="G41" s="27"/>
      <c r="H41" s="27"/>
      <c r="I41" s="27"/>
      <c r="J41" s="27">
        <f t="shared" si="0"/>
        <v>0</v>
      </c>
      <c r="K41" s="27">
        <f t="shared" si="1"/>
        <v>0</v>
      </c>
    </row>
    <row r="42" spans="1:11">
      <c r="A42" s="29"/>
      <c r="D42" s="27"/>
      <c r="E42" s="27"/>
      <c r="F42" s="27"/>
      <c r="G42" s="27"/>
      <c r="H42" s="27"/>
      <c r="I42" s="27"/>
      <c r="J42" s="27">
        <f t="shared" si="0"/>
        <v>0</v>
      </c>
      <c r="K42" s="27">
        <f t="shared" si="1"/>
        <v>0</v>
      </c>
    </row>
    <row r="43" spans="1:11">
      <c r="A43" s="29"/>
      <c r="D43" s="27"/>
      <c r="E43" s="27"/>
      <c r="F43" s="27"/>
      <c r="G43" s="27"/>
      <c r="H43" s="27"/>
      <c r="I43" s="27"/>
      <c r="J43" s="27">
        <f t="shared" si="0"/>
        <v>0</v>
      </c>
      <c r="K43" s="27">
        <f t="shared" si="1"/>
        <v>0</v>
      </c>
    </row>
    <row r="44" spans="1:11">
      <c r="A44" s="29"/>
      <c r="D44" s="27"/>
      <c r="E44" s="27"/>
      <c r="F44" s="27"/>
      <c r="G44" s="27"/>
      <c r="H44" s="27"/>
      <c r="I44" s="27"/>
      <c r="J44" s="27">
        <f t="shared" si="0"/>
        <v>0</v>
      </c>
      <c r="K44" s="27">
        <f t="shared" si="1"/>
        <v>0</v>
      </c>
    </row>
    <row r="45" spans="1:11">
      <c r="A45" s="29"/>
      <c r="D45" s="27"/>
      <c r="E45" s="27"/>
      <c r="F45" s="27"/>
      <c r="G45" s="27"/>
      <c r="H45" s="27"/>
      <c r="I45" s="27"/>
      <c r="J45" s="27">
        <f t="shared" si="0"/>
        <v>0</v>
      </c>
      <c r="K45" s="27">
        <f t="shared" si="1"/>
        <v>0</v>
      </c>
    </row>
    <row r="46" spans="1:11">
      <c r="A46" s="29"/>
      <c r="D46" s="27"/>
      <c r="E46" s="27"/>
      <c r="F46" s="27"/>
      <c r="G46" s="27"/>
      <c r="H46" s="27"/>
      <c r="I46" s="27"/>
      <c r="J46" s="27">
        <f t="shared" si="0"/>
        <v>0</v>
      </c>
      <c r="K46" s="27">
        <f t="shared" si="1"/>
        <v>0</v>
      </c>
    </row>
    <row r="47" spans="1:11">
      <c r="A47" s="29"/>
      <c r="D47" s="27"/>
      <c r="E47" s="27"/>
      <c r="F47" s="27"/>
      <c r="G47" s="27"/>
      <c r="H47" s="27"/>
      <c r="I47" s="27"/>
      <c r="J47" s="27">
        <f t="shared" si="0"/>
        <v>0</v>
      </c>
      <c r="K47" s="27">
        <f t="shared" si="1"/>
        <v>0</v>
      </c>
    </row>
    <row r="48" spans="1:11">
      <c r="A48" s="29"/>
      <c r="D48" s="27"/>
      <c r="E48" s="27"/>
      <c r="F48" s="27"/>
      <c r="G48" s="27"/>
      <c r="H48" s="27"/>
      <c r="I48" s="27"/>
      <c r="J48" s="27">
        <f t="shared" si="0"/>
        <v>0</v>
      </c>
      <c r="K48" s="27">
        <f t="shared" si="1"/>
        <v>0</v>
      </c>
    </row>
    <row r="49" spans="1:11">
      <c r="A49" s="29"/>
      <c r="D49" s="27"/>
      <c r="E49" s="27"/>
      <c r="F49" s="27"/>
      <c r="G49" s="27"/>
      <c r="H49" s="27"/>
      <c r="I49" s="27"/>
      <c r="J49" s="27">
        <f t="shared" si="0"/>
        <v>0</v>
      </c>
      <c r="K49" s="27">
        <f t="shared" si="1"/>
        <v>0</v>
      </c>
    </row>
    <row r="50" spans="1:11">
      <c r="A50" s="29"/>
      <c r="D50" s="27"/>
      <c r="E50" s="27"/>
      <c r="F50" s="27"/>
      <c r="G50" s="27"/>
      <c r="H50" s="27"/>
      <c r="I50" s="27"/>
      <c r="J50" s="27">
        <f t="shared" si="0"/>
        <v>0</v>
      </c>
      <c r="K50" s="27">
        <f t="shared" si="1"/>
        <v>0</v>
      </c>
    </row>
    <row r="51" spans="1:11">
      <c r="A51" s="29"/>
      <c r="D51" s="27"/>
      <c r="E51" s="27"/>
      <c r="F51" s="27"/>
      <c r="G51" s="27"/>
      <c r="H51" s="27"/>
      <c r="I51" s="27"/>
      <c r="J51" s="27">
        <f t="shared" si="0"/>
        <v>0</v>
      </c>
      <c r="K51" s="27">
        <f t="shared" si="1"/>
        <v>0</v>
      </c>
    </row>
    <row r="52" spans="1:11">
      <c r="A52" s="29"/>
      <c r="D52" s="27"/>
      <c r="E52" s="27"/>
      <c r="F52" s="27"/>
      <c r="G52" s="27"/>
      <c r="H52" s="27"/>
      <c r="I52" s="27"/>
      <c r="J52" s="27">
        <f t="shared" si="0"/>
        <v>0</v>
      </c>
      <c r="K52" s="27">
        <f t="shared" si="1"/>
        <v>0</v>
      </c>
    </row>
    <row r="53" spans="1:11">
      <c r="A53" s="29"/>
      <c r="D53" s="27"/>
      <c r="E53" s="27"/>
      <c r="F53" s="27"/>
      <c r="G53" s="27"/>
      <c r="H53" s="27"/>
      <c r="I53" s="27"/>
      <c r="J53" s="27">
        <f t="shared" si="0"/>
        <v>0</v>
      </c>
      <c r="K53" s="27">
        <f t="shared" si="1"/>
        <v>0</v>
      </c>
    </row>
    <row r="54" spans="1:11">
      <c r="A54" s="29"/>
      <c r="D54" s="27"/>
      <c r="E54" s="27"/>
      <c r="F54" s="27"/>
      <c r="G54" s="27"/>
      <c r="H54" s="27"/>
      <c r="I54" s="27"/>
      <c r="J54" s="27">
        <f t="shared" si="0"/>
        <v>0</v>
      </c>
      <c r="K54" s="27">
        <f t="shared" si="1"/>
        <v>0</v>
      </c>
    </row>
    <row r="55" spans="1:11">
      <c r="A55" s="29"/>
      <c r="D55" s="27"/>
      <c r="E55" s="27"/>
      <c r="F55" s="27"/>
      <c r="G55" s="27"/>
      <c r="H55" s="27"/>
      <c r="I55" s="27"/>
      <c r="J55" s="27">
        <f t="shared" si="0"/>
        <v>0</v>
      </c>
      <c r="K55" s="27">
        <f t="shared" si="1"/>
        <v>0</v>
      </c>
    </row>
    <row r="56" spans="1:11">
      <c r="A56" s="29"/>
      <c r="D56" s="27"/>
      <c r="E56" s="27"/>
      <c r="F56" s="27"/>
      <c r="G56" s="27"/>
      <c r="H56" s="27"/>
      <c r="I56" s="27"/>
      <c r="J56" s="27">
        <f t="shared" si="0"/>
        <v>0</v>
      </c>
      <c r="K56" s="27">
        <f t="shared" si="1"/>
        <v>0</v>
      </c>
    </row>
    <row r="57" spans="1:11">
      <c r="A57" s="29"/>
      <c r="D57" s="27"/>
      <c r="E57" s="27"/>
      <c r="F57" s="27"/>
      <c r="G57" s="27"/>
      <c r="H57" s="27"/>
      <c r="I57" s="27"/>
      <c r="J57" s="27">
        <f t="shared" si="0"/>
        <v>0</v>
      </c>
      <c r="K57" s="27">
        <f t="shared" si="1"/>
        <v>0</v>
      </c>
    </row>
    <row r="58" spans="1:11">
      <c r="A58" s="29"/>
      <c r="D58" s="27"/>
      <c r="E58" s="27"/>
      <c r="F58" s="27"/>
      <c r="G58" s="27"/>
      <c r="H58" s="27"/>
      <c r="I58" s="27"/>
      <c r="J58" s="27">
        <f t="shared" si="0"/>
        <v>0</v>
      </c>
      <c r="K58" s="27">
        <f t="shared" si="1"/>
        <v>0</v>
      </c>
    </row>
    <row r="59" spans="1:11">
      <c r="A59" s="29"/>
      <c r="D59" s="27"/>
      <c r="E59" s="27"/>
      <c r="F59" s="27"/>
      <c r="G59" s="27"/>
      <c r="H59" s="27"/>
      <c r="I59" s="27"/>
      <c r="J59" s="27">
        <f t="shared" si="0"/>
        <v>0</v>
      </c>
      <c r="K59" s="27">
        <f t="shared" si="1"/>
        <v>0</v>
      </c>
    </row>
    <row r="60" spans="1:11">
      <c r="A60" s="29"/>
      <c r="D60" s="27"/>
      <c r="E60" s="27"/>
      <c r="F60" s="27"/>
      <c r="G60" s="27"/>
      <c r="H60" s="27"/>
      <c r="I60" s="27"/>
      <c r="J60" s="27">
        <f t="shared" si="0"/>
        <v>0</v>
      </c>
      <c r="K60" s="27">
        <f t="shared" si="1"/>
        <v>0</v>
      </c>
    </row>
    <row r="61" spans="1:11">
      <c r="A61" s="29"/>
      <c r="D61" s="27"/>
      <c r="E61" s="27"/>
      <c r="F61" s="27"/>
      <c r="G61" s="27"/>
      <c r="H61" s="27"/>
      <c r="I61" s="27"/>
      <c r="J61" s="27">
        <f t="shared" si="0"/>
        <v>0</v>
      </c>
      <c r="K61" s="27">
        <f t="shared" si="1"/>
        <v>0</v>
      </c>
    </row>
    <row r="62" spans="1:11">
      <c r="A62" s="29"/>
      <c r="D62" s="27"/>
      <c r="E62" s="27"/>
      <c r="F62" s="27"/>
      <c r="G62" s="27"/>
      <c r="H62" s="27"/>
      <c r="I62" s="27"/>
      <c r="J62" s="27">
        <f t="shared" si="0"/>
        <v>0</v>
      </c>
      <c r="K62" s="27">
        <f t="shared" si="1"/>
        <v>0</v>
      </c>
    </row>
    <row r="63" spans="1:11">
      <c r="A63" s="29"/>
      <c r="D63" s="27"/>
      <c r="E63" s="27"/>
      <c r="F63" s="27"/>
      <c r="G63" s="27"/>
      <c r="H63" s="27"/>
      <c r="I63" s="27"/>
      <c r="J63" s="27">
        <f t="shared" si="0"/>
        <v>0</v>
      </c>
      <c r="K63" s="27">
        <f t="shared" si="1"/>
        <v>0</v>
      </c>
    </row>
    <row r="64" spans="1:11">
      <c r="A64" s="29"/>
      <c r="D64" s="27"/>
      <c r="E64" s="27"/>
      <c r="F64" s="27"/>
      <c r="G64" s="27"/>
      <c r="H64" s="27"/>
      <c r="I64" s="27"/>
      <c r="J64" s="27">
        <f t="shared" si="0"/>
        <v>0</v>
      </c>
      <c r="K64" s="27">
        <f t="shared" si="1"/>
        <v>0</v>
      </c>
    </row>
    <row r="65" spans="1:11">
      <c r="A65" s="29"/>
      <c r="D65" s="27"/>
      <c r="E65" s="27"/>
      <c r="F65" s="27"/>
      <c r="G65" s="27"/>
      <c r="H65" s="27"/>
      <c r="I65" s="27"/>
      <c r="J65" s="27">
        <f t="shared" si="0"/>
        <v>0</v>
      </c>
      <c r="K65" s="27">
        <f t="shared" si="1"/>
        <v>0</v>
      </c>
    </row>
    <row r="66" spans="1:11">
      <c r="A66" s="29"/>
      <c r="D66" s="27"/>
      <c r="E66" s="27"/>
      <c r="F66" s="27"/>
      <c r="G66" s="27"/>
      <c r="H66" s="27"/>
      <c r="I66" s="27"/>
      <c r="J66" s="27">
        <f t="shared" ref="J66:J129" si="2">SUM(F66:I66)</f>
        <v>0</v>
      </c>
      <c r="K66" s="27">
        <f t="shared" ref="K66:K129" si="3">MAX(D66-E66,0)</f>
        <v>0</v>
      </c>
    </row>
    <row r="67" spans="1:11">
      <c r="A67" s="29"/>
      <c r="D67" s="27"/>
      <c r="E67" s="27"/>
      <c r="F67" s="27"/>
      <c r="G67" s="27"/>
      <c r="H67" s="27"/>
      <c r="I67" s="27"/>
      <c r="J67" s="27">
        <f t="shared" si="2"/>
        <v>0</v>
      </c>
      <c r="K67" s="27">
        <f t="shared" si="3"/>
        <v>0</v>
      </c>
    </row>
    <row r="68" spans="1:11">
      <c r="A68" s="29"/>
      <c r="D68" s="27"/>
      <c r="E68" s="27"/>
      <c r="F68" s="27"/>
      <c r="G68" s="27"/>
      <c r="H68" s="27"/>
      <c r="I68" s="27"/>
      <c r="J68" s="27">
        <f t="shared" si="2"/>
        <v>0</v>
      </c>
      <c r="K68" s="27">
        <f t="shared" si="3"/>
        <v>0</v>
      </c>
    </row>
    <row r="69" spans="1:11">
      <c r="A69" s="29"/>
      <c r="D69" s="27"/>
      <c r="E69" s="27"/>
      <c r="F69" s="27"/>
      <c r="G69" s="27"/>
      <c r="H69" s="27"/>
      <c r="I69" s="27"/>
      <c r="J69" s="27">
        <f t="shared" si="2"/>
        <v>0</v>
      </c>
      <c r="K69" s="27">
        <f t="shared" si="3"/>
        <v>0</v>
      </c>
    </row>
    <row r="70" spans="1:11">
      <c r="A70" s="29"/>
      <c r="D70" s="27"/>
      <c r="E70" s="27"/>
      <c r="F70" s="27"/>
      <c r="G70" s="27"/>
      <c r="H70" s="27"/>
      <c r="I70" s="27"/>
      <c r="J70" s="27">
        <f t="shared" si="2"/>
        <v>0</v>
      </c>
      <c r="K70" s="27">
        <f t="shared" si="3"/>
        <v>0</v>
      </c>
    </row>
    <row r="71" spans="1:11">
      <c r="A71" s="29"/>
      <c r="D71" s="27"/>
      <c r="E71" s="27"/>
      <c r="F71" s="27"/>
      <c r="G71" s="27"/>
      <c r="H71" s="27"/>
      <c r="I71" s="27"/>
      <c r="J71" s="27">
        <f t="shared" si="2"/>
        <v>0</v>
      </c>
      <c r="K71" s="27">
        <f t="shared" si="3"/>
        <v>0</v>
      </c>
    </row>
    <row r="72" spans="1:11">
      <c r="A72" s="29"/>
      <c r="D72" s="27"/>
      <c r="E72" s="27"/>
      <c r="F72" s="27"/>
      <c r="G72" s="27"/>
      <c r="H72" s="27"/>
      <c r="I72" s="27"/>
      <c r="J72" s="27">
        <f t="shared" si="2"/>
        <v>0</v>
      </c>
      <c r="K72" s="27">
        <f t="shared" si="3"/>
        <v>0</v>
      </c>
    </row>
    <row r="73" spans="1:11">
      <c r="A73" s="29"/>
      <c r="D73" s="27"/>
      <c r="E73" s="27"/>
      <c r="F73" s="27"/>
      <c r="G73" s="27"/>
      <c r="H73" s="27"/>
      <c r="I73" s="27"/>
      <c r="J73" s="27">
        <f t="shared" si="2"/>
        <v>0</v>
      </c>
      <c r="K73" s="27">
        <f t="shared" si="3"/>
        <v>0</v>
      </c>
    </row>
    <row r="74" spans="1:11">
      <c r="A74" s="29"/>
      <c r="D74" s="27"/>
      <c r="E74" s="27"/>
      <c r="F74" s="27"/>
      <c r="G74" s="27"/>
      <c r="H74" s="27"/>
      <c r="I74" s="27"/>
      <c r="J74" s="27">
        <f t="shared" si="2"/>
        <v>0</v>
      </c>
      <c r="K74" s="27">
        <f t="shared" si="3"/>
        <v>0</v>
      </c>
    </row>
    <row r="75" spans="1:11">
      <c r="A75" s="29"/>
      <c r="D75" s="27"/>
      <c r="E75" s="27"/>
      <c r="F75" s="27"/>
      <c r="G75" s="27"/>
      <c r="H75" s="27"/>
      <c r="I75" s="27"/>
      <c r="J75" s="27">
        <f t="shared" si="2"/>
        <v>0</v>
      </c>
      <c r="K75" s="27">
        <f t="shared" si="3"/>
        <v>0</v>
      </c>
    </row>
    <row r="76" spans="1:11">
      <c r="A76" s="29"/>
      <c r="D76" s="27"/>
      <c r="E76" s="27"/>
      <c r="F76" s="27"/>
      <c r="G76" s="27"/>
      <c r="H76" s="27"/>
      <c r="I76" s="27"/>
      <c r="J76" s="27">
        <f t="shared" si="2"/>
        <v>0</v>
      </c>
      <c r="K76" s="27">
        <f t="shared" si="3"/>
        <v>0</v>
      </c>
    </row>
    <row r="77" spans="1:11">
      <c r="A77" s="29"/>
      <c r="D77" s="27"/>
      <c r="E77" s="27"/>
      <c r="F77" s="27"/>
      <c r="G77" s="27"/>
      <c r="H77" s="27"/>
      <c r="I77" s="27"/>
      <c r="J77" s="27">
        <f t="shared" si="2"/>
        <v>0</v>
      </c>
      <c r="K77" s="27">
        <f t="shared" si="3"/>
        <v>0</v>
      </c>
    </row>
    <row r="78" spans="1:11">
      <c r="A78" s="29"/>
      <c r="D78" s="27"/>
      <c r="E78" s="27"/>
      <c r="F78" s="27"/>
      <c r="G78" s="27"/>
      <c r="H78" s="27"/>
      <c r="I78" s="27"/>
      <c r="J78" s="27">
        <f t="shared" si="2"/>
        <v>0</v>
      </c>
      <c r="K78" s="27">
        <f t="shared" si="3"/>
        <v>0</v>
      </c>
    </row>
    <row r="79" spans="1:11">
      <c r="A79" s="29"/>
      <c r="D79" s="27"/>
      <c r="E79" s="27"/>
      <c r="F79" s="27"/>
      <c r="G79" s="27"/>
      <c r="H79" s="27"/>
      <c r="I79" s="27"/>
      <c r="J79" s="27">
        <f t="shared" si="2"/>
        <v>0</v>
      </c>
      <c r="K79" s="27">
        <f t="shared" si="3"/>
        <v>0</v>
      </c>
    </row>
    <row r="80" spans="1:11">
      <c r="A80" s="29"/>
      <c r="D80" s="27"/>
      <c r="E80" s="27"/>
      <c r="F80" s="27"/>
      <c r="G80" s="27"/>
      <c r="H80" s="27"/>
      <c r="I80" s="27"/>
      <c r="J80" s="27">
        <f t="shared" si="2"/>
        <v>0</v>
      </c>
      <c r="K80" s="27">
        <f t="shared" si="3"/>
        <v>0</v>
      </c>
    </row>
    <row r="81" spans="1:11">
      <c r="A81" s="29"/>
      <c r="D81" s="27"/>
      <c r="E81" s="27"/>
      <c r="F81" s="27"/>
      <c r="G81" s="27"/>
      <c r="H81" s="27"/>
      <c r="I81" s="27"/>
      <c r="J81" s="27">
        <f t="shared" si="2"/>
        <v>0</v>
      </c>
      <c r="K81" s="27">
        <f t="shared" si="3"/>
        <v>0</v>
      </c>
    </row>
    <row r="82" spans="1:11">
      <c r="A82" s="29"/>
      <c r="D82" s="27"/>
      <c r="E82" s="27"/>
      <c r="F82" s="27"/>
      <c r="G82" s="27"/>
      <c r="H82" s="27"/>
      <c r="I82" s="27"/>
      <c r="J82" s="27">
        <f t="shared" si="2"/>
        <v>0</v>
      </c>
      <c r="K82" s="27">
        <f t="shared" si="3"/>
        <v>0</v>
      </c>
    </row>
    <row r="83" spans="1:11">
      <c r="A83" s="29"/>
      <c r="D83" s="27"/>
      <c r="E83" s="27"/>
      <c r="F83" s="27"/>
      <c r="G83" s="27"/>
      <c r="H83" s="27"/>
      <c r="I83" s="27"/>
      <c r="J83" s="27">
        <f t="shared" si="2"/>
        <v>0</v>
      </c>
      <c r="K83" s="27">
        <f t="shared" si="3"/>
        <v>0</v>
      </c>
    </row>
    <row r="84" spans="1:11">
      <c r="A84" s="29"/>
      <c r="D84" s="27"/>
      <c r="E84" s="27"/>
      <c r="F84" s="27"/>
      <c r="G84" s="27"/>
      <c r="H84" s="27"/>
      <c r="I84" s="27"/>
      <c r="J84" s="27">
        <f t="shared" si="2"/>
        <v>0</v>
      </c>
      <c r="K84" s="27">
        <f t="shared" si="3"/>
        <v>0</v>
      </c>
    </row>
    <row r="85" spans="1:11">
      <c r="A85" s="29"/>
      <c r="D85" s="27"/>
      <c r="E85" s="27"/>
      <c r="F85" s="27"/>
      <c r="G85" s="27"/>
      <c r="H85" s="27"/>
      <c r="I85" s="27"/>
      <c r="J85" s="27">
        <f t="shared" si="2"/>
        <v>0</v>
      </c>
      <c r="K85" s="27">
        <f t="shared" si="3"/>
        <v>0</v>
      </c>
    </row>
    <row r="86" spans="1:11">
      <c r="A86" s="29"/>
      <c r="D86" s="27"/>
      <c r="E86" s="27"/>
      <c r="F86" s="27"/>
      <c r="G86" s="27"/>
      <c r="H86" s="27"/>
      <c r="I86" s="27"/>
      <c r="J86" s="27">
        <f t="shared" si="2"/>
        <v>0</v>
      </c>
      <c r="K86" s="27">
        <f t="shared" si="3"/>
        <v>0</v>
      </c>
    </row>
    <row r="87" spans="1:11">
      <c r="A87" s="29"/>
      <c r="D87" s="27"/>
      <c r="E87" s="27"/>
      <c r="F87" s="27"/>
      <c r="G87" s="27"/>
      <c r="H87" s="27"/>
      <c r="I87" s="27"/>
      <c r="J87" s="27">
        <f t="shared" si="2"/>
        <v>0</v>
      </c>
      <c r="K87" s="27">
        <f t="shared" si="3"/>
        <v>0</v>
      </c>
    </row>
    <row r="88" spans="1:11">
      <c r="A88" s="29"/>
      <c r="D88" s="27"/>
      <c r="E88" s="27"/>
      <c r="F88" s="27"/>
      <c r="G88" s="27"/>
      <c r="H88" s="27"/>
      <c r="I88" s="27"/>
      <c r="J88" s="27">
        <f t="shared" si="2"/>
        <v>0</v>
      </c>
      <c r="K88" s="27">
        <f t="shared" si="3"/>
        <v>0</v>
      </c>
    </row>
    <row r="89" spans="1:11">
      <c r="A89" s="29"/>
      <c r="D89" s="27"/>
      <c r="E89" s="27"/>
      <c r="F89" s="27"/>
      <c r="G89" s="27"/>
      <c r="H89" s="27"/>
      <c r="I89" s="27"/>
      <c r="J89" s="27">
        <f t="shared" si="2"/>
        <v>0</v>
      </c>
      <c r="K89" s="27">
        <f t="shared" si="3"/>
        <v>0</v>
      </c>
    </row>
    <row r="90" spans="1:11">
      <c r="A90" s="29"/>
      <c r="D90" s="27"/>
      <c r="E90" s="27"/>
      <c r="F90" s="27"/>
      <c r="G90" s="27"/>
      <c r="H90" s="27"/>
      <c r="I90" s="27"/>
      <c r="J90" s="27">
        <f t="shared" si="2"/>
        <v>0</v>
      </c>
      <c r="K90" s="27">
        <f t="shared" si="3"/>
        <v>0</v>
      </c>
    </row>
    <row r="91" spans="1:11">
      <c r="A91" s="29"/>
      <c r="D91" s="27"/>
      <c r="E91" s="27"/>
      <c r="F91" s="27"/>
      <c r="G91" s="27"/>
      <c r="H91" s="27"/>
      <c r="I91" s="27"/>
      <c r="J91" s="27">
        <f t="shared" si="2"/>
        <v>0</v>
      </c>
      <c r="K91" s="27">
        <f t="shared" si="3"/>
        <v>0</v>
      </c>
    </row>
    <row r="92" spans="1:11">
      <c r="A92" s="29"/>
      <c r="D92" s="27"/>
      <c r="E92" s="27"/>
      <c r="F92" s="27"/>
      <c r="G92" s="27"/>
      <c r="H92" s="27"/>
      <c r="I92" s="27"/>
      <c r="J92" s="27">
        <f t="shared" si="2"/>
        <v>0</v>
      </c>
      <c r="K92" s="27">
        <f t="shared" si="3"/>
        <v>0</v>
      </c>
    </row>
    <row r="93" spans="1:11">
      <c r="A93" s="29"/>
      <c r="D93" s="27"/>
      <c r="E93" s="27"/>
      <c r="F93" s="27"/>
      <c r="G93" s="27"/>
      <c r="H93" s="27"/>
      <c r="I93" s="27"/>
      <c r="J93" s="27">
        <f t="shared" si="2"/>
        <v>0</v>
      </c>
      <c r="K93" s="27">
        <f t="shared" si="3"/>
        <v>0</v>
      </c>
    </row>
    <row r="94" spans="1:11">
      <c r="A94" s="29"/>
      <c r="D94" s="27"/>
      <c r="E94" s="27"/>
      <c r="F94" s="27"/>
      <c r="G94" s="27"/>
      <c r="H94" s="27"/>
      <c r="I94" s="27"/>
      <c r="J94" s="27">
        <f t="shared" si="2"/>
        <v>0</v>
      </c>
      <c r="K94" s="27">
        <f t="shared" si="3"/>
        <v>0</v>
      </c>
    </row>
    <row r="95" spans="1:11">
      <c r="A95" s="29"/>
      <c r="D95" s="27"/>
      <c r="E95" s="27"/>
      <c r="F95" s="27"/>
      <c r="G95" s="27"/>
      <c r="H95" s="27"/>
      <c r="I95" s="27"/>
      <c r="J95" s="27">
        <f t="shared" si="2"/>
        <v>0</v>
      </c>
      <c r="K95" s="27">
        <f t="shared" si="3"/>
        <v>0</v>
      </c>
    </row>
    <row r="96" spans="1:11">
      <c r="A96" s="29"/>
      <c r="D96" s="27"/>
      <c r="E96" s="27"/>
      <c r="F96" s="27"/>
      <c r="G96" s="27"/>
      <c r="H96" s="27"/>
      <c r="I96" s="27"/>
      <c r="J96" s="27">
        <f t="shared" si="2"/>
        <v>0</v>
      </c>
      <c r="K96" s="27">
        <f t="shared" si="3"/>
        <v>0</v>
      </c>
    </row>
    <row r="97" spans="1:11">
      <c r="A97" s="29"/>
      <c r="D97" s="27"/>
      <c r="E97" s="27"/>
      <c r="F97" s="27"/>
      <c r="G97" s="27"/>
      <c r="H97" s="27"/>
      <c r="I97" s="27"/>
      <c r="J97" s="27">
        <f t="shared" si="2"/>
        <v>0</v>
      </c>
      <c r="K97" s="27">
        <f t="shared" si="3"/>
        <v>0</v>
      </c>
    </row>
    <row r="98" spans="1:11">
      <c r="A98" s="29"/>
      <c r="D98" s="27"/>
      <c r="E98" s="27"/>
      <c r="F98" s="27"/>
      <c r="G98" s="27"/>
      <c r="H98" s="27"/>
      <c r="I98" s="27"/>
      <c r="J98" s="27">
        <f t="shared" si="2"/>
        <v>0</v>
      </c>
      <c r="K98" s="27">
        <f t="shared" si="3"/>
        <v>0</v>
      </c>
    </row>
    <row r="99" spans="1:11">
      <c r="A99" s="29"/>
      <c r="D99" s="27"/>
      <c r="E99" s="27"/>
      <c r="F99" s="27"/>
      <c r="G99" s="27"/>
      <c r="H99" s="27"/>
      <c r="I99" s="27"/>
      <c r="J99" s="27">
        <f t="shared" si="2"/>
        <v>0</v>
      </c>
      <c r="K99" s="27">
        <f t="shared" si="3"/>
        <v>0</v>
      </c>
    </row>
    <row r="100" spans="1:11">
      <c r="A100" s="29"/>
      <c r="D100" s="27"/>
      <c r="E100" s="27"/>
      <c r="F100" s="27"/>
      <c r="G100" s="27"/>
      <c r="H100" s="27"/>
      <c r="I100" s="27"/>
      <c r="J100" s="27">
        <f t="shared" si="2"/>
        <v>0</v>
      </c>
      <c r="K100" s="27">
        <f t="shared" si="3"/>
        <v>0</v>
      </c>
    </row>
    <row r="101" spans="1:11">
      <c r="A101" s="29"/>
      <c r="D101" s="27"/>
      <c r="E101" s="27"/>
      <c r="F101" s="27"/>
      <c r="G101" s="27"/>
      <c r="H101" s="27"/>
      <c r="I101" s="27"/>
      <c r="J101" s="27">
        <f t="shared" si="2"/>
        <v>0</v>
      </c>
      <c r="K101" s="27">
        <f t="shared" si="3"/>
        <v>0</v>
      </c>
    </row>
    <row r="102" spans="1:11">
      <c r="A102" s="29"/>
      <c r="D102" s="27"/>
      <c r="E102" s="27"/>
      <c r="F102" s="27"/>
      <c r="G102" s="27"/>
      <c r="H102" s="27"/>
      <c r="I102" s="27"/>
      <c r="J102" s="27">
        <f t="shared" si="2"/>
        <v>0</v>
      </c>
      <c r="K102" s="27">
        <f t="shared" si="3"/>
        <v>0</v>
      </c>
    </row>
    <row r="103" spans="1:11">
      <c r="A103" s="29"/>
      <c r="D103" s="27"/>
      <c r="E103" s="27"/>
      <c r="F103" s="27"/>
      <c r="G103" s="27"/>
      <c r="H103" s="27"/>
      <c r="I103" s="27"/>
      <c r="J103" s="27">
        <f t="shared" si="2"/>
        <v>0</v>
      </c>
      <c r="K103" s="27">
        <f t="shared" si="3"/>
        <v>0</v>
      </c>
    </row>
    <row r="104" spans="1:11">
      <c r="A104" s="29"/>
      <c r="D104" s="27"/>
      <c r="E104" s="27"/>
      <c r="F104" s="27"/>
      <c r="G104" s="27"/>
      <c r="H104" s="27"/>
      <c r="I104" s="27"/>
      <c r="J104" s="27">
        <f t="shared" si="2"/>
        <v>0</v>
      </c>
      <c r="K104" s="27">
        <f t="shared" si="3"/>
        <v>0</v>
      </c>
    </row>
    <row r="105" spans="1:11">
      <c r="A105" s="29"/>
      <c r="D105" s="27"/>
      <c r="E105" s="27"/>
      <c r="F105" s="27"/>
      <c r="G105" s="27"/>
      <c r="H105" s="27"/>
      <c r="I105" s="27"/>
      <c r="J105" s="27">
        <f t="shared" si="2"/>
        <v>0</v>
      </c>
      <c r="K105" s="27">
        <f t="shared" si="3"/>
        <v>0</v>
      </c>
    </row>
    <row r="106" spans="1:11">
      <c r="A106" s="29"/>
      <c r="D106" s="27"/>
      <c r="E106" s="27"/>
      <c r="F106" s="27"/>
      <c r="G106" s="27"/>
      <c r="H106" s="27"/>
      <c r="I106" s="27"/>
      <c r="J106" s="27">
        <f t="shared" si="2"/>
        <v>0</v>
      </c>
      <c r="K106" s="27">
        <f t="shared" si="3"/>
        <v>0</v>
      </c>
    </row>
    <row r="107" spans="1:11">
      <c r="A107" s="29"/>
      <c r="D107" s="27"/>
      <c r="E107" s="27"/>
      <c r="F107" s="27"/>
      <c r="G107" s="27"/>
      <c r="H107" s="27"/>
      <c r="I107" s="27"/>
      <c r="J107" s="27">
        <f t="shared" si="2"/>
        <v>0</v>
      </c>
      <c r="K107" s="27">
        <f t="shared" si="3"/>
        <v>0</v>
      </c>
    </row>
    <row r="108" spans="1:11">
      <c r="A108" s="29"/>
      <c r="D108" s="27"/>
      <c r="E108" s="27"/>
      <c r="F108" s="27"/>
      <c r="G108" s="27"/>
      <c r="H108" s="27"/>
      <c r="I108" s="27"/>
      <c r="J108" s="27">
        <f t="shared" si="2"/>
        <v>0</v>
      </c>
      <c r="K108" s="27">
        <f t="shared" si="3"/>
        <v>0</v>
      </c>
    </row>
    <row r="109" spans="1:11">
      <c r="A109" s="29"/>
      <c r="D109" s="27"/>
      <c r="E109" s="27"/>
      <c r="F109" s="27"/>
      <c r="G109" s="27"/>
      <c r="H109" s="27"/>
      <c r="I109" s="27"/>
      <c r="J109" s="27">
        <f t="shared" si="2"/>
        <v>0</v>
      </c>
      <c r="K109" s="27">
        <f t="shared" si="3"/>
        <v>0</v>
      </c>
    </row>
    <row r="110" spans="1:11">
      <c r="A110" s="29"/>
      <c r="D110" s="27"/>
      <c r="E110" s="27"/>
      <c r="F110" s="27"/>
      <c r="G110" s="27"/>
      <c r="H110" s="27"/>
      <c r="I110" s="27"/>
      <c r="J110" s="27">
        <f t="shared" si="2"/>
        <v>0</v>
      </c>
      <c r="K110" s="27">
        <f t="shared" si="3"/>
        <v>0</v>
      </c>
    </row>
    <row r="111" spans="1:11">
      <c r="A111" s="29"/>
      <c r="D111" s="27"/>
      <c r="E111" s="27"/>
      <c r="F111" s="27"/>
      <c r="G111" s="27"/>
      <c r="H111" s="27"/>
      <c r="I111" s="27"/>
      <c r="J111" s="27">
        <f t="shared" si="2"/>
        <v>0</v>
      </c>
      <c r="K111" s="27">
        <f t="shared" si="3"/>
        <v>0</v>
      </c>
    </row>
    <row r="112" spans="1:11">
      <c r="A112" s="29"/>
      <c r="D112" s="27"/>
      <c r="E112" s="27"/>
      <c r="F112" s="27"/>
      <c r="G112" s="27"/>
      <c r="H112" s="27"/>
      <c r="I112" s="27"/>
      <c r="J112" s="27">
        <f t="shared" si="2"/>
        <v>0</v>
      </c>
      <c r="K112" s="27">
        <f t="shared" si="3"/>
        <v>0</v>
      </c>
    </row>
    <row r="113" spans="1:11">
      <c r="A113" s="29"/>
      <c r="D113" s="27"/>
      <c r="E113" s="27"/>
      <c r="F113" s="27"/>
      <c r="G113" s="27"/>
      <c r="H113" s="27"/>
      <c r="I113" s="27"/>
      <c r="J113" s="27">
        <f t="shared" si="2"/>
        <v>0</v>
      </c>
      <c r="K113" s="27">
        <f t="shared" si="3"/>
        <v>0</v>
      </c>
    </row>
    <row r="114" spans="1:11">
      <c r="A114" s="29"/>
      <c r="D114" s="27"/>
      <c r="E114" s="27"/>
      <c r="F114" s="27"/>
      <c r="G114" s="27"/>
      <c r="H114" s="27"/>
      <c r="I114" s="27"/>
      <c r="J114" s="27">
        <f t="shared" si="2"/>
        <v>0</v>
      </c>
      <c r="K114" s="27">
        <f t="shared" si="3"/>
        <v>0</v>
      </c>
    </row>
    <row r="115" spans="1:11">
      <c r="A115" s="29"/>
      <c r="D115" s="27"/>
      <c r="E115" s="27"/>
      <c r="F115" s="27"/>
      <c r="G115" s="27"/>
      <c r="H115" s="27"/>
      <c r="I115" s="27"/>
      <c r="J115" s="27">
        <f t="shared" si="2"/>
        <v>0</v>
      </c>
      <c r="K115" s="27">
        <f t="shared" si="3"/>
        <v>0</v>
      </c>
    </row>
    <row r="116" spans="1:11">
      <c r="A116" s="29"/>
      <c r="D116" s="27"/>
      <c r="E116" s="27"/>
      <c r="F116" s="27"/>
      <c r="G116" s="27"/>
      <c r="H116" s="27"/>
      <c r="I116" s="27"/>
      <c r="J116" s="27">
        <f t="shared" si="2"/>
        <v>0</v>
      </c>
      <c r="K116" s="27">
        <f t="shared" si="3"/>
        <v>0</v>
      </c>
    </row>
    <row r="117" spans="1:11">
      <c r="A117" s="29"/>
      <c r="D117" s="27"/>
      <c r="E117" s="27"/>
      <c r="F117" s="27"/>
      <c r="G117" s="27"/>
      <c r="H117" s="27"/>
      <c r="I117" s="27"/>
      <c r="J117" s="27">
        <f t="shared" si="2"/>
        <v>0</v>
      </c>
      <c r="K117" s="27">
        <f t="shared" si="3"/>
        <v>0</v>
      </c>
    </row>
    <row r="118" spans="1:11">
      <c r="A118" s="29"/>
      <c r="D118" s="27"/>
      <c r="E118" s="27"/>
      <c r="F118" s="27"/>
      <c r="G118" s="27"/>
      <c r="H118" s="27"/>
      <c r="I118" s="27"/>
      <c r="J118" s="27">
        <f t="shared" si="2"/>
        <v>0</v>
      </c>
      <c r="K118" s="27">
        <f t="shared" si="3"/>
        <v>0</v>
      </c>
    </row>
    <row r="119" spans="1:11">
      <c r="A119" s="29"/>
      <c r="D119" s="27"/>
      <c r="E119" s="27"/>
      <c r="F119" s="27"/>
      <c r="G119" s="27"/>
      <c r="H119" s="27"/>
      <c r="I119" s="27"/>
      <c r="J119" s="27">
        <f t="shared" si="2"/>
        <v>0</v>
      </c>
      <c r="K119" s="27">
        <f t="shared" si="3"/>
        <v>0</v>
      </c>
    </row>
    <row r="120" spans="1:11">
      <c r="A120" s="29"/>
      <c r="D120" s="27"/>
      <c r="E120" s="27"/>
      <c r="F120" s="27"/>
      <c r="G120" s="27"/>
      <c r="H120" s="27"/>
      <c r="I120" s="27"/>
      <c r="J120" s="27">
        <f t="shared" si="2"/>
        <v>0</v>
      </c>
      <c r="K120" s="27">
        <f t="shared" si="3"/>
        <v>0</v>
      </c>
    </row>
    <row r="121" spans="1:11">
      <c r="A121" s="29"/>
      <c r="D121" s="27"/>
      <c r="E121" s="27"/>
      <c r="F121" s="27"/>
      <c r="G121" s="27"/>
      <c r="H121" s="27"/>
      <c r="I121" s="27"/>
      <c r="J121" s="27">
        <f t="shared" si="2"/>
        <v>0</v>
      </c>
      <c r="K121" s="27">
        <f t="shared" si="3"/>
        <v>0</v>
      </c>
    </row>
    <row r="122" spans="1:11">
      <c r="A122" s="29"/>
      <c r="D122" s="27"/>
      <c r="E122" s="27"/>
      <c r="F122" s="27"/>
      <c r="G122" s="27"/>
      <c r="H122" s="27"/>
      <c r="I122" s="27"/>
      <c r="J122" s="27">
        <f t="shared" si="2"/>
        <v>0</v>
      </c>
      <c r="K122" s="27">
        <f t="shared" si="3"/>
        <v>0</v>
      </c>
    </row>
    <row r="123" spans="1:11">
      <c r="A123" s="29"/>
      <c r="D123" s="27"/>
      <c r="E123" s="27"/>
      <c r="F123" s="27"/>
      <c r="G123" s="27"/>
      <c r="H123" s="27"/>
      <c r="I123" s="27"/>
      <c r="J123" s="27">
        <f t="shared" si="2"/>
        <v>0</v>
      </c>
      <c r="K123" s="27">
        <f t="shared" si="3"/>
        <v>0</v>
      </c>
    </row>
    <row r="124" spans="1:11">
      <c r="A124" s="29"/>
      <c r="D124" s="27"/>
      <c r="E124" s="27"/>
      <c r="F124" s="27"/>
      <c r="G124" s="27"/>
      <c r="H124" s="27"/>
      <c r="I124" s="27"/>
      <c r="J124" s="27">
        <f t="shared" si="2"/>
        <v>0</v>
      </c>
      <c r="K124" s="27">
        <f t="shared" si="3"/>
        <v>0</v>
      </c>
    </row>
    <row r="125" spans="1:11">
      <c r="A125" s="29"/>
      <c r="D125" s="27"/>
      <c r="E125" s="27"/>
      <c r="F125" s="27"/>
      <c r="G125" s="27"/>
      <c r="H125" s="27"/>
      <c r="I125" s="27"/>
      <c r="J125" s="27">
        <f t="shared" si="2"/>
        <v>0</v>
      </c>
      <c r="K125" s="27">
        <f t="shared" si="3"/>
        <v>0</v>
      </c>
    </row>
    <row r="126" spans="1:11">
      <c r="A126" s="29"/>
      <c r="D126" s="27"/>
      <c r="E126" s="27"/>
      <c r="F126" s="27"/>
      <c r="G126" s="27"/>
      <c r="H126" s="27"/>
      <c r="I126" s="27"/>
      <c r="J126" s="27">
        <f t="shared" si="2"/>
        <v>0</v>
      </c>
      <c r="K126" s="27">
        <f t="shared" si="3"/>
        <v>0</v>
      </c>
    </row>
    <row r="127" spans="1:11">
      <c r="A127" s="29"/>
      <c r="D127" s="27"/>
      <c r="E127" s="27"/>
      <c r="F127" s="27"/>
      <c r="G127" s="27"/>
      <c r="H127" s="27"/>
      <c r="I127" s="27"/>
      <c r="J127" s="27">
        <f t="shared" si="2"/>
        <v>0</v>
      </c>
      <c r="K127" s="27">
        <f t="shared" si="3"/>
        <v>0</v>
      </c>
    </row>
    <row r="128" spans="1:11">
      <c r="A128" s="29"/>
      <c r="D128" s="27"/>
      <c r="E128" s="27"/>
      <c r="F128" s="27"/>
      <c r="G128" s="27"/>
      <c r="H128" s="27"/>
      <c r="I128" s="27"/>
      <c r="J128" s="27">
        <f t="shared" si="2"/>
        <v>0</v>
      </c>
      <c r="K128" s="27">
        <f t="shared" si="3"/>
        <v>0</v>
      </c>
    </row>
    <row r="129" spans="1:11">
      <c r="A129" s="29"/>
      <c r="D129" s="27"/>
      <c r="E129" s="27"/>
      <c r="F129" s="27"/>
      <c r="G129" s="27"/>
      <c r="H129" s="27"/>
      <c r="I129" s="27"/>
      <c r="J129" s="27">
        <f t="shared" si="2"/>
        <v>0</v>
      </c>
      <c r="K129" s="27">
        <f t="shared" si="3"/>
        <v>0</v>
      </c>
    </row>
    <row r="130" spans="1:11">
      <c r="A130" s="29"/>
      <c r="D130" s="27"/>
      <c r="E130" s="27"/>
      <c r="F130" s="27"/>
      <c r="G130" s="27"/>
      <c r="H130" s="27"/>
      <c r="I130" s="27"/>
      <c r="J130" s="27">
        <f t="shared" ref="J130:J193" si="4">SUM(F130:I130)</f>
        <v>0</v>
      </c>
      <c r="K130" s="27">
        <f t="shared" ref="K130:K193" si="5">MAX(D130-E130,0)</f>
        <v>0</v>
      </c>
    </row>
    <row r="131" spans="1:11">
      <c r="A131" s="29"/>
      <c r="D131" s="27"/>
      <c r="E131" s="27"/>
      <c r="F131" s="27"/>
      <c r="G131" s="27"/>
      <c r="H131" s="27"/>
      <c r="I131" s="27"/>
      <c r="J131" s="27">
        <f t="shared" si="4"/>
        <v>0</v>
      </c>
      <c r="K131" s="27">
        <f t="shared" si="5"/>
        <v>0</v>
      </c>
    </row>
    <row r="132" spans="1:11">
      <c r="A132" s="29"/>
      <c r="D132" s="27"/>
      <c r="E132" s="27"/>
      <c r="F132" s="27"/>
      <c r="G132" s="27"/>
      <c r="H132" s="27"/>
      <c r="I132" s="27"/>
      <c r="J132" s="27">
        <f t="shared" si="4"/>
        <v>0</v>
      </c>
      <c r="K132" s="27">
        <f t="shared" si="5"/>
        <v>0</v>
      </c>
    </row>
    <row r="133" spans="1:11">
      <c r="A133" s="29"/>
      <c r="D133" s="27"/>
      <c r="E133" s="27"/>
      <c r="F133" s="27"/>
      <c r="G133" s="27"/>
      <c r="H133" s="27"/>
      <c r="I133" s="27"/>
      <c r="J133" s="27">
        <f t="shared" si="4"/>
        <v>0</v>
      </c>
      <c r="K133" s="27">
        <f t="shared" si="5"/>
        <v>0</v>
      </c>
    </row>
    <row r="134" spans="1:11">
      <c r="A134" s="29"/>
      <c r="D134" s="27"/>
      <c r="E134" s="27"/>
      <c r="F134" s="27"/>
      <c r="G134" s="27"/>
      <c r="H134" s="27"/>
      <c r="I134" s="27"/>
      <c r="J134" s="27">
        <f t="shared" si="4"/>
        <v>0</v>
      </c>
      <c r="K134" s="27">
        <f t="shared" si="5"/>
        <v>0</v>
      </c>
    </row>
    <row r="135" spans="1:11">
      <c r="A135" s="29"/>
      <c r="D135" s="27"/>
      <c r="E135" s="27"/>
      <c r="F135" s="27"/>
      <c r="G135" s="27"/>
      <c r="H135" s="27"/>
      <c r="I135" s="27"/>
      <c r="J135" s="27">
        <f t="shared" si="4"/>
        <v>0</v>
      </c>
      <c r="K135" s="27">
        <f t="shared" si="5"/>
        <v>0</v>
      </c>
    </row>
    <row r="136" spans="1:11">
      <c r="A136" s="29"/>
      <c r="D136" s="27"/>
      <c r="E136" s="27"/>
      <c r="F136" s="27"/>
      <c r="G136" s="27"/>
      <c r="H136" s="27"/>
      <c r="I136" s="27"/>
      <c r="J136" s="27">
        <f t="shared" si="4"/>
        <v>0</v>
      </c>
      <c r="K136" s="27">
        <f t="shared" si="5"/>
        <v>0</v>
      </c>
    </row>
    <row r="137" spans="1:11">
      <c r="A137" s="29"/>
      <c r="D137" s="27"/>
      <c r="E137" s="27"/>
      <c r="F137" s="27"/>
      <c r="G137" s="27"/>
      <c r="H137" s="27"/>
      <c r="I137" s="27"/>
      <c r="J137" s="27">
        <f t="shared" si="4"/>
        <v>0</v>
      </c>
      <c r="K137" s="27">
        <f t="shared" si="5"/>
        <v>0</v>
      </c>
    </row>
    <row r="138" spans="1:11">
      <c r="A138" s="29"/>
      <c r="D138" s="27"/>
      <c r="E138" s="27"/>
      <c r="F138" s="27"/>
      <c r="G138" s="27"/>
      <c r="H138" s="27"/>
      <c r="I138" s="27"/>
      <c r="J138" s="27">
        <f t="shared" si="4"/>
        <v>0</v>
      </c>
      <c r="K138" s="27">
        <f t="shared" si="5"/>
        <v>0</v>
      </c>
    </row>
    <row r="139" spans="1:11">
      <c r="A139" s="29"/>
      <c r="D139" s="27"/>
      <c r="E139" s="27"/>
      <c r="F139" s="27"/>
      <c r="G139" s="27"/>
      <c r="H139" s="27"/>
      <c r="I139" s="27"/>
      <c r="J139" s="27">
        <f t="shared" si="4"/>
        <v>0</v>
      </c>
      <c r="K139" s="27">
        <f t="shared" si="5"/>
        <v>0</v>
      </c>
    </row>
    <row r="140" spans="1:11">
      <c r="A140" s="29"/>
      <c r="D140" s="27"/>
      <c r="E140" s="27"/>
      <c r="F140" s="27"/>
      <c r="G140" s="27"/>
      <c r="H140" s="27"/>
      <c r="I140" s="27"/>
      <c r="J140" s="27">
        <f t="shared" si="4"/>
        <v>0</v>
      </c>
      <c r="K140" s="27">
        <f t="shared" si="5"/>
        <v>0</v>
      </c>
    </row>
    <row r="141" spans="1:11">
      <c r="A141" s="29"/>
      <c r="D141" s="27"/>
      <c r="E141" s="27"/>
      <c r="F141" s="27"/>
      <c r="G141" s="27"/>
      <c r="H141" s="27"/>
      <c r="I141" s="27"/>
      <c r="J141" s="27">
        <f t="shared" si="4"/>
        <v>0</v>
      </c>
      <c r="K141" s="27">
        <f t="shared" si="5"/>
        <v>0</v>
      </c>
    </row>
    <row r="142" spans="1:11">
      <c r="A142" s="29"/>
      <c r="D142" s="27"/>
      <c r="E142" s="27"/>
      <c r="F142" s="27"/>
      <c r="G142" s="27"/>
      <c r="H142" s="27"/>
      <c r="I142" s="27"/>
      <c r="J142" s="27">
        <f t="shared" si="4"/>
        <v>0</v>
      </c>
      <c r="K142" s="27">
        <f t="shared" si="5"/>
        <v>0</v>
      </c>
    </row>
    <row r="143" spans="1:11">
      <c r="A143" s="29"/>
      <c r="D143" s="27"/>
      <c r="E143" s="27"/>
      <c r="F143" s="27"/>
      <c r="G143" s="27"/>
      <c r="H143" s="27"/>
      <c r="I143" s="27"/>
      <c r="J143" s="27">
        <f t="shared" si="4"/>
        <v>0</v>
      </c>
      <c r="K143" s="27">
        <f t="shared" si="5"/>
        <v>0</v>
      </c>
    </row>
    <row r="144" spans="1:11">
      <c r="A144" s="29"/>
      <c r="D144" s="27"/>
      <c r="E144" s="27"/>
      <c r="F144" s="27"/>
      <c r="G144" s="27"/>
      <c r="H144" s="27"/>
      <c r="I144" s="27"/>
      <c r="J144" s="27">
        <f t="shared" si="4"/>
        <v>0</v>
      </c>
      <c r="K144" s="27">
        <f t="shared" si="5"/>
        <v>0</v>
      </c>
    </row>
    <row r="145" spans="1:11">
      <c r="A145" s="29"/>
      <c r="D145" s="27"/>
      <c r="E145" s="27"/>
      <c r="F145" s="27"/>
      <c r="G145" s="27"/>
      <c r="H145" s="27"/>
      <c r="I145" s="27"/>
      <c r="J145" s="27">
        <f t="shared" si="4"/>
        <v>0</v>
      </c>
      <c r="K145" s="27">
        <f t="shared" si="5"/>
        <v>0</v>
      </c>
    </row>
    <row r="146" spans="1:11">
      <c r="A146" s="29"/>
      <c r="D146" s="27"/>
      <c r="E146" s="27"/>
      <c r="F146" s="27"/>
      <c r="G146" s="27"/>
      <c r="H146" s="27"/>
      <c r="I146" s="27"/>
      <c r="J146" s="27">
        <f t="shared" si="4"/>
        <v>0</v>
      </c>
      <c r="K146" s="27">
        <f t="shared" si="5"/>
        <v>0</v>
      </c>
    </row>
    <row r="147" spans="1:11">
      <c r="A147" s="29"/>
      <c r="D147" s="27"/>
      <c r="E147" s="27"/>
      <c r="F147" s="27"/>
      <c r="G147" s="27"/>
      <c r="H147" s="27"/>
      <c r="I147" s="27"/>
      <c r="J147" s="27">
        <f t="shared" si="4"/>
        <v>0</v>
      </c>
      <c r="K147" s="27">
        <f t="shared" si="5"/>
        <v>0</v>
      </c>
    </row>
    <row r="148" spans="1:11">
      <c r="A148" s="29"/>
      <c r="D148" s="27"/>
      <c r="E148" s="27"/>
      <c r="F148" s="27"/>
      <c r="G148" s="27"/>
      <c r="H148" s="27"/>
      <c r="I148" s="27"/>
      <c r="J148" s="27">
        <f t="shared" si="4"/>
        <v>0</v>
      </c>
      <c r="K148" s="27">
        <f t="shared" si="5"/>
        <v>0</v>
      </c>
    </row>
    <row r="149" spans="1:11">
      <c r="A149" s="29"/>
      <c r="D149" s="27"/>
      <c r="E149" s="27"/>
      <c r="F149" s="27"/>
      <c r="G149" s="27"/>
      <c r="H149" s="27"/>
      <c r="I149" s="27"/>
      <c r="J149" s="27">
        <f t="shared" si="4"/>
        <v>0</v>
      </c>
      <c r="K149" s="27">
        <f t="shared" si="5"/>
        <v>0</v>
      </c>
    </row>
    <row r="150" spans="1:11">
      <c r="A150" s="29"/>
      <c r="D150" s="27"/>
      <c r="E150" s="27"/>
      <c r="F150" s="27"/>
      <c r="G150" s="27"/>
      <c r="H150" s="27"/>
      <c r="I150" s="27"/>
      <c r="J150" s="27">
        <f t="shared" si="4"/>
        <v>0</v>
      </c>
      <c r="K150" s="27">
        <f t="shared" si="5"/>
        <v>0</v>
      </c>
    </row>
    <row r="151" spans="1:11">
      <c r="A151" s="29"/>
      <c r="D151" s="27"/>
      <c r="E151" s="27"/>
      <c r="F151" s="27"/>
      <c r="G151" s="27"/>
      <c r="H151" s="27"/>
      <c r="I151" s="27"/>
      <c r="J151" s="27">
        <f t="shared" si="4"/>
        <v>0</v>
      </c>
      <c r="K151" s="27">
        <f t="shared" si="5"/>
        <v>0</v>
      </c>
    </row>
    <row r="152" spans="1:11">
      <c r="A152" s="29"/>
      <c r="D152" s="27"/>
      <c r="E152" s="27"/>
      <c r="F152" s="27"/>
      <c r="G152" s="27"/>
      <c r="H152" s="27"/>
      <c r="I152" s="27"/>
      <c r="J152" s="27">
        <f t="shared" si="4"/>
        <v>0</v>
      </c>
      <c r="K152" s="27">
        <f t="shared" si="5"/>
        <v>0</v>
      </c>
    </row>
    <row r="153" spans="1:11">
      <c r="A153" s="29"/>
      <c r="D153" s="27"/>
      <c r="E153" s="27"/>
      <c r="F153" s="27"/>
      <c r="G153" s="27"/>
      <c r="H153" s="27"/>
      <c r="I153" s="27"/>
      <c r="J153" s="27">
        <f t="shared" si="4"/>
        <v>0</v>
      </c>
      <c r="K153" s="27">
        <f t="shared" si="5"/>
        <v>0</v>
      </c>
    </row>
    <row r="154" spans="1:11">
      <c r="A154" s="29"/>
      <c r="D154" s="27"/>
      <c r="E154" s="27"/>
      <c r="F154" s="27"/>
      <c r="G154" s="27"/>
      <c r="H154" s="27"/>
      <c r="I154" s="27"/>
      <c r="J154" s="27">
        <f t="shared" si="4"/>
        <v>0</v>
      </c>
      <c r="K154" s="27">
        <f t="shared" si="5"/>
        <v>0</v>
      </c>
    </row>
    <row r="155" spans="1:11">
      <c r="A155" s="29"/>
      <c r="D155" s="27"/>
      <c r="E155" s="27"/>
      <c r="F155" s="27"/>
      <c r="G155" s="27"/>
      <c r="H155" s="27"/>
      <c r="I155" s="27"/>
      <c r="J155" s="27">
        <f t="shared" si="4"/>
        <v>0</v>
      </c>
      <c r="K155" s="27">
        <f t="shared" si="5"/>
        <v>0</v>
      </c>
    </row>
    <row r="156" spans="1:11">
      <c r="A156" s="29"/>
      <c r="D156" s="27"/>
      <c r="E156" s="27"/>
      <c r="F156" s="27"/>
      <c r="G156" s="27"/>
      <c r="H156" s="27"/>
      <c r="I156" s="27"/>
      <c r="J156" s="27">
        <f t="shared" si="4"/>
        <v>0</v>
      </c>
      <c r="K156" s="27">
        <f t="shared" si="5"/>
        <v>0</v>
      </c>
    </row>
    <row r="157" spans="1:11">
      <c r="A157" s="29"/>
      <c r="D157" s="27"/>
      <c r="E157" s="27"/>
      <c r="F157" s="27"/>
      <c r="G157" s="27"/>
      <c r="H157" s="27"/>
      <c r="I157" s="27"/>
      <c r="J157" s="27">
        <f t="shared" si="4"/>
        <v>0</v>
      </c>
      <c r="K157" s="27">
        <f t="shared" si="5"/>
        <v>0</v>
      </c>
    </row>
    <row r="158" spans="1:11">
      <c r="A158" s="29"/>
      <c r="D158" s="27"/>
      <c r="E158" s="27"/>
      <c r="F158" s="27"/>
      <c r="G158" s="27"/>
      <c r="H158" s="27"/>
      <c r="I158" s="27"/>
      <c r="J158" s="27">
        <f t="shared" si="4"/>
        <v>0</v>
      </c>
      <c r="K158" s="27">
        <f t="shared" si="5"/>
        <v>0</v>
      </c>
    </row>
    <row r="159" spans="1:11">
      <c r="A159" s="29"/>
      <c r="D159" s="27"/>
      <c r="E159" s="27"/>
      <c r="F159" s="27"/>
      <c r="G159" s="27"/>
      <c r="H159" s="27"/>
      <c r="I159" s="27"/>
      <c r="J159" s="27">
        <f t="shared" si="4"/>
        <v>0</v>
      </c>
      <c r="K159" s="27">
        <f t="shared" si="5"/>
        <v>0</v>
      </c>
    </row>
    <row r="160" spans="1:11">
      <c r="A160" s="29"/>
      <c r="D160" s="27"/>
      <c r="E160" s="27"/>
      <c r="F160" s="27"/>
      <c r="G160" s="27"/>
      <c r="H160" s="27"/>
      <c r="I160" s="27"/>
      <c r="J160" s="27">
        <f t="shared" si="4"/>
        <v>0</v>
      </c>
      <c r="K160" s="27">
        <f t="shared" si="5"/>
        <v>0</v>
      </c>
    </row>
    <row r="161" spans="1:11">
      <c r="A161" s="29"/>
      <c r="D161" s="27"/>
      <c r="E161" s="27"/>
      <c r="F161" s="27"/>
      <c r="G161" s="27"/>
      <c r="H161" s="27"/>
      <c r="I161" s="27"/>
      <c r="J161" s="27">
        <f t="shared" si="4"/>
        <v>0</v>
      </c>
      <c r="K161" s="27">
        <f t="shared" si="5"/>
        <v>0</v>
      </c>
    </row>
    <row r="162" spans="1:11">
      <c r="A162" s="29"/>
      <c r="D162" s="27"/>
      <c r="E162" s="27"/>
      <c r="F162" s="27"/>
      <c r="G162" s="27"/>
      <c r="H162" s="27"/>
      <c r="I162" s="27"/>
      <c r="J162" s="27">
        <f t="shared" si="4"/>
        <v>0</v>
      </c>
      <c r="K162" s="27">
        <f t="shared" si="5"/>
        <v>0</v>
      </c>
    </row>
    <row r="163" spans="1:11">
      <c r="A163" s="29"/>
      <c r="D163" s="27"/>
      <c r="E163" s="27"/>
      <c r="F163" s="27"/>
      <c r="G163" s="27"/>
      <c r="H163" s="27"/>
      <c r="I163" s="27"/>
      <c r="J163" s="27">
        <f t="shared" si="4"/>
        <v>0</v>
      </c>
      <c r="K163" s="27">
        <f t="shared" si="5"/>
        <v>0</v>
      </c>
    </row>
    <row r="164" spans="1:11">
      <c r="A164" s="29"/>
      <c r="D164" s="27"/>
      <c r="E164" s="27"/>
      <c r="F164" s="27"/>
      <c r="G164" s="27"/>
      <c r="H164" s="27"/>
      <c r="I164" s="27"/>
      <c r="J164" s="27">
        <f t="shared" si="4"/>
        <v>0</v>
      </c>
      <c r="K164" s="27">
        <f t="shared" si="5"/>
        <v>0</v>
      </c>
    </row>
    <row r="165" spans="1:11">
      <c r="A165" s="29"/>
      <c r="D165" s="27"/>
      <c r="E165" s="27"/>
      <c r="F165" s="27"/>
      <c r="G165" s="27"/>
      <c r="H165" s="27"/>
      <c r="I165" s="27"/>
      <c r="J165" s="27">
        <f t="shared" si="4"/>
        <v>0</v>
      </c>
      <c r="K165" s="27">
        <f t="shared" si="5"/>
        <v>0</v>
      </c>
    </row>
    <row r="166" spans="1:11">
      <c r="A166" s="29"/>
      <c r="D166" s="27"/>
      <c r="E166" s="27"/>
      <c r="F166" s="27"/>
      <c r="G166" s="27"/>
      <c r="H166" s="27"/>
      <c r="I166" s="27"/>
      <c r="J166" s="27">
        <f t="shared" si="4"/>
        <v>0</v>
      </c>
      <c r="K166" s="27">
        <f t="shared" si="5"/>
        <v>0</v>
      </c>
    </row>
    <row r="167" spans="1:11">
      <c r="A167" s="29"/>
      <c r="D167" s="27"/>
      <c r="E167" s="27"/>
      <c r="F167" s="27"/>
      <c r="G167" s="27"/>
      <c r="H167" s="27"/>
      <c r="I167" s="27"/>
      <c r="J167" s="27">
        <f t="shared" si="4"/>
        <v>0</v>
      </c>
      <c r="K167" s="27">
        <f t="shared" si="5"/>
        <v>0</v>
      </c>
    </row>
    <row r="168" spans="1:11">
      <c r="A168" s="29"/>
      <c r="D168" s="27"/>
      <c r="E168" s="27"/>
      <c r="F168" s="27"/>
      <c r="G168" s="27"/>
      <c r="H168" s="27"/>
      <c r="I168" s="27"/>
      <c r="J168" s="27">
        <f t="shared" si="4"/>
        <v>0</v>
      </c>
      <c r="K168" s="27">
        <f t="shared" si="5"/>
        <v>0</v>
      </c>
    </row>
    <row r="169" spans="1:11">
      <c r="A169" s="29"/>
      <c r="D169" s="27"/>
      <c r="E169" s="27"/>
      <c r="F169" s="27"/>
      <c r="G169" s="27"/>
      <c r="H169" s="27"/>
      <c r="I169" s="27"/>
      <c r="J169" s="27">
        <f t="shared" si="4"/>
        <v>0</v>
      </c>
      <c r="K169" s="27">
        <f t="shared" si="5"/>
        <v>0</v>
      </c>
    </row>
    <row r="170" spans="1:11">
      <c r="A170" s="29"/>
      <c r="D170" s="27"/>
      <c r="E170" s="27"/>
      <c r="F170" s="27"/>
      <c r="G170" s="27"/>
      <c r="H170" s="27"/>
      <c r="I170" s="27"/>
      <c r="J170" s="27">
        <f t="shared" si="4"/>
        <v>0</v>
      </c>
      <c r="K170" s="27">
        <f t="shared" si="5"/>
        <v>0</v>
      </c>
    </row>
    <row r="171" spans="1:11">
      <c r="A171" s="29"/>
      <c r="D171" s="27"/>
      <c r="E171" s="27"/>
      <c r="F171" s="27"/>
      <c r="G171" s="27"/>
      <c r="H171" s="27"/>
      <c r="I171" s="27"/>
      <c r="J171" s="27">
        <f t="shared" si="4"/>
        <v>0</v>
      </c>
      <c r="K171" s="27">
        <f t="shared" si="5"/>
        <v>0</v>
      </c>
    </row>
    <row r="172" spans="1:11">
      <c r="A172" s="29"/>
      <c r="D172" s="27"/>
      <c r="E172" s="27"/>
      <c r="F172" s="27"/>
      <c r="G172" s="27"/>
      <c r="H172" s="27"/>
      <c r="I172" s="27"/>
      <c r="J172" s="27">
        <f t="shared" si="4"/>
        <v>0</v>
      </c>
      <c r="K172" s="27">
        <f t="shared" si="5"/>
        <v>0</v>
      </c>
    </row>
    <row r="173" spans="1:11">
      <c r="A173" s="29"/>
      <c r="D173" s="27"/>
      <c r="E173" s="27"/>
      <c r="F173" s="27"/>
      <c r="G173" s="27"/>
      <c r="H173" s="27"/>
      <c r="I173" s="27"/>
      <c r="J173" s="27">
        <f t="shared" si="4"/>
        <v>0</v>
      </c>
      <c r="K173" s="27">
        <f t="shared" si="5"/>
        <v>0</v>
      </c>
    </row>
    <row r="174" spans="1:11">
      <c r="A174" s="29"/>
      <c r="D174" s="27"/>
      <c r="E174" s="27"/>
      <c r="F174" s="27"/>
      <c r="G174" s="27"/>
      <c r="H174" s="27"/>
      <c r="I174" s="27"/>
      <c r="J174" s="27">
        <f t="shared" si="4"/>
        <v>0</v>
      </c>
      <c r="K174" s="27">
        <f t="shared" si="5"/>
        <v>0</v>
      </c>
    </row>
    <row r="175" spans="1:11">
      <c r="A175" s="29"/>
      <c r="D175" s="27"/>
      <c r="E175" s="27"/>
      <c r="F175" s="27"/>
      <c r="G175" s="27"/>
      <c r="H175" s="27"/>
      <c r="I175" s="27"/>
      <c r="J175" s="27">
        <f t="shared" si="4"/>
        <v>0</v>
      </c>
      <c r="K175" s="27">
        <f t="shared" si="5"/>
        <v>0</v>
      </c>
    </row>
    <row r="176" spans="1:11">
      <c r="A176" s="29"/>
      <c r="D176" s="27"/>
      <c r="E176" s="27"/>
      <c r="F176" s="27"/>
      <c r="G176" s="27"/>
      <c r="H176" s="27"/>
      <c r="I176" s="27"/>
      <c r="J176" s="27">
        <f t="shared" si="4"/>
        <v>0</v>
      </c>
      <c r="K176" s="27">
        <f t="shared" si="5"/>
        <v>0</v>
      </c>
    </row>
    <row r="177" spans="1:11">
      <c r="A177" s="29"/>
      <c r="D177" s="27"/>
      <c r="E177" s="27"/>
      <c r="F177" s="27"/>
      <c r="G177" s="27"/>
      <c r="H177" s="27"/>
      <c r="I177" s="27"/>
      <c r="J177" s="27">
        <f t="shared" si="4"/>
        <v>0</v>
      </c>
      <c r="K177" s="27">
        <f t="shared" si="5"/>
        <v>0</v>
      </c>
    </row>
    <row r="178" spans="1:11">
      <c r="A178" s="29"/>
      <c r="D178" s="27"/>
      <c r="E178" s="27"/>
      <c r="F178" s="27"/>
      <c r="G178" s="27"/>
      <c r="H178" s="27"/>
      <c r="I178" s="27"/>
      <c r="J178" s="27">
        <f t="shared" si="4"/>
        <v>0</v>
      </c>
      <c r="K178" s="27">
        <f t="shared" si="5"/>
        <v>0</v>
      </c>
    </row>
    <row r="179" spans="1:11">
      <c r="A179" s="29"/>
      <c r="D179" s="27"/>
      <c r="E179" s="27"/>
      <c r="F179" s="27"/>
      <c r="G179" s="27"/>
      <c r="H179" s="27"/>
      <c r="I179" s="27"/>
      <c r="J179" s="27">
        <f t="shared" si="4"/>
        <v>0</v>
      </c>
      <c r="K179" s="27">
        <f t="shared" si="5"/>
        <v>0</v>
      </c>
    </row>
    <row r="180" spans="1:11">
      <c r="A180" s="29"/>
      <c r="D180" s="27"/>
      <c r="E180" s="27"/>
      <c r="F180" s="27"/>
      <c r="G180" s="27"/>
      <c r="H180" s="27"/>
      <c r="I180" s="27"/>
      <c r="J180" s="27">
        <f t="shared" si="4"/>
        <v>0</v>
      </c>
      <c r="K180" s="27">
        <f t="shared" si="5"/>
        <v>0</v>
      </c>
    </row>
    <row r="181" spans="1:11">
      <c r="A181" s="29"/>
      <c r="D181" s="27"/>
      <c r="E181" s="27"/>
      <c r="F181" s="27"/>
      <c r="G181" s="27"/>
      <c r="H181" s="27"/>
      <c r="I181" s="27"/>
      <c r="J181" s="27">
        <f t="shared" si="4"/>
        <v>0</v>
      </c>
      <c r="K181" s="27">
        <f t="shared" si="5"/>
        <v>0</v>
      </c>
    </row>
    <row r="182" spans="1:11">
      <c r="A182" s="29"/>
      <c r="D182" s="27"/>
      <c r="E182" s="27"/>
      <c r="F182" s="27"/>
      <c r="G182" s="27"/>
      <c r="H182" s="27"/>
      <c r="I182" s="27"/>
      <c r="J182" s="27">
        <f t="shared" si="4"/>
        <v>0</v>
      </c>
      <c r="K182" s="27">
        <f t="shared" si="5"/>
        <v>0</v>
      </c>
    </row>
    <row r="183" spans="1:11">
      <c r="A183" s="29"/>
      <c r="D183" s="27"/>
      <c r="E183" s="27"/>
      <c r="F183" s="27"/>
      <c r="G183" s="27"/>
      <c r="H183" s="27"/>
      <c r="I183" s="27"/>
      <c r="J183" s="27">
        <f t="shared" si="4"/>
        <v>0</v>
      </c>
      <c r="K183" s="27">
        <f t="shared" si="5"/>
        <v>0</v>
      </c>
    </row>
    <row r="184" spans="1:11">
      <c r="A184" s="29"/>
      <c r="D184" s="27"/>
      <c r="E184" s="27"/>
      <c r="F184" s="27"/>
      <c r="G184" s="27"/>
      <c r="H184" s="27"/>
      <c r="I184" s="27"/>
      <c r="J184" s="27">
        <f t="shared" si="4"/>
        <v>0</v>
      </c>
      <c r="K184" s="27">
        <f t="shared" si="5"/>
        <v>0</v>
      </c>
    </row>
    <row r="185" spans="1:11">
      <c r="A185" s="29"/>
      <c r="D185" s="27"/>
      <c r="E185" s="27"/>
      <c r="F185" s="27"/>
      <c r="G185" s="27"/>
      <c r="H185" s="27"/>
      <c r="I185" s="27"/>
      <c r="J185" s="27">
        <f t="shared" si="4"/>
        <v>0</v>
      </c>
      <c r="K185" s="27">
        <f t="shared" si="5"/>
        <v>0</v>
      </c>
    </row>
    <row r="186" spans="1:11">
      <c r="A186" s="29"/>
      <c r="D186" s="27"/>
      <c r="E186" s="27"/>
      <c r="F186" s="27"/>
      <c r="G186" s="27"/>
      <c r="H186" s="27"/>
      <c r="I186" s="27"/>
      <c r="J186" s="27">
        <f t="shared" si="4"/>
        <v>0</v>
      </c>
      <c r="K186" s="27">
        <f t="shared" si="5"/>
        <v>0</v>
      </c>
    </row>
    <row r="187" spans="1:11">
      <c r="A187" s="29"/>
      <c r="D187" s="27"/>
      <c r="E187" s="27"/>
      <c r="F187" s="27"/>
      <c r="G187" s="27"/>
      <c r="H187" s="27"/>
      <c r="I187" s="27"/>
      <c r="J187" s="27">
        <f t="shared" si="4"/>
        <v>0</v>
      </c>
      <c r="K187" s="27">
        <f t="shared" si="5"/>
        <v>0</v>
      </c>
    </row>
    <row r="188" spans="1:11">
      <c r="A188" s="29"/>
      <c r="D188" s="27"/>
      <c r="E188" s="27"/>
      <c r="F188" s="27"/>
      <c r="G188" s="27"/>
      <c r="H188" s="27"/>
      <c r="I188" s="27"/>
      <c r="J188" s="27">
        <f t="shared" si="4"/>
        <v>0</v>
      </c>
      <c r="K188" s="27">
        <f t="shared" si="5"/>
        <v>0</v>
      </c>
    </row>
    <row r="189" spans="1:11">
      <c r="A189" s="29"/>
      <c r="D189" s="27"/>
      <c r="E189" s="27"/>
      <c r="F189" s="27"/>
      <c r="G189" s="27"/>
      <c r="H189" s="27"/>
      <c r="I189" s="27"/>
      <c r="J189" s="27">
        <f t="shared" si="4"/>
        <v>0</v>
      </c>
      <c r="K189" s="27">
        <f t="shared" si="5"/>
        <v>0</v>
      </c>
    </row>
    <row r="190" spans="1:11">
      <c r="A190" s="29"/>
      <c r="D190" s="27"/>
      <c r="E190" s="27"/>
      <c r="F190" s="27"/>
      <c r="G190" s="27"/>
      <c r="H190" s="27"/>
      <c r="I190" s="27"/>
      <c r="J190" s="27">
        <f t="shared" si="4"/>
        <v>0</v>
      </c>
      <c r="K190" s="27">
        <f t="shared" si="5"/>
        <v>0</v>
      </c>
    </row>
    <row r="191" spans="1:11">
      <c r="A191" s="29"/>
      <c r="D191" s="27"/>
      <c r="E191" s="27"/>
      <c r="F191" s="27"/>
      <c r="G191" s="27"/>
      <c r="H191" s="27"/>
      <c r="I191" s="27"/>
      <c r="J191" s="27">
        <f t="shared" si="4"/>
        <v>0</v>
      </c>
      <c r="K191" s="27">
        <f t="shared" si="5"/>
        <v>0</v>
      </c>
    </row>
    <row r="192" spans="1:11">
      <c r="A192" s="29"/>
      <c r="D192" s="27"/>
      <c r="E192" s="27"/>
      <c r="F192" s="27"/>
      <c r="G192" s="27"/>
      <c r="H192" s="27"/>
      <c r="I192" s="27"/>
      <c r="J192" s="27">
        <f t="shared" si="4"/>
        <v>0</v>
      </c>
      <c r="K192" s="27">
        <f t="shared" si="5"/>
        <v>0</v>
      </c>
    </row>
    <row r="193" spans="1:11">
      <c r="A193" s="29"/>
      <c r="D193" s="27"/>
      <c r="E193" s="27"/>
      <c r="F193" s="27"/>
      <c r="G193" s="27"/>
      <c r="H193" s="27"/>
      <c r="I193" s="27"/>
      <c r="J193" s="27">
        <f t="shared" si="4"/>
        <v>0</v>
      </c>
      <c r="K193" s="27">
        <f t="shared" si="5"/>
        <v>0</v>
      </c>
    </row>
    <row r="194" spans="1:11">
      <c r="A194" s="29"/>
      <c r="D194" s="27"/>
      <c r="E194" s="27"/>
      <c r="F194" s="27"/>
      <c r="G194" s="27"/>
      <c r="H194" s="27"/>
      <c r="I194" s="27"/>
      <c r="J194" s="27">
        <f t="shared" ref="J194:J257" si="6">SUM(F194:I194)</f>
        <v>0</v>
      </c>
      <c r="K194" s="27">
        <f t="shared" ref="K194:K257" si="7">MAX(D194-E194,0)</f>
        <v>0</v>
      </c>
    </row>
    <row r="195" spans="1:11">
      <c r="A195" s="29"/>
      <c r="D195" s="27"/>
      <c r="E195" s="27"/>
      <c r="F195" s="27"/>
      <c r="G195" s="27"/>
      <c r="H195" s="27"/>
      <c r="I195" s="27"/>
      <c r="J195" s="27">
        <f t="shared" si="6"/>
        <v>0</v>
      </c>
      <c r="K195" s="27">
        <f t="shared" si="7"/>
        <v>0</v>
      </c>
    </row>
    <row r="196" spans="1:11">
      <c r="A196" s="29"/>
      <c r="D196" s="27"/>
      <c r="E196" s="27"/>
      <c r="F196" s="27"/>
      <c r="G196" s="27"/>
      <c r="H196" s="27"/>
      <c r="I196" s="27"/>
      <c r="J196" s="27">
        <f t="shared" si="6"/>
        <v>0</v>
      </c>
      <c r="K196" s="27">
        <f t="shared" si="7"/>
        <v>0</v>
      </c>
    </row>
    <row r="197" spans="1:11">
      <c r="A197" s="29"/>
      <c r="D197" s="27"/>
      <c r="E197" s="27"/>
      <c r="F197" s="27"/>
      <c r="G197" s="27"/>
      <c r="H197" s="27"/>
      <c r="I197" s="27"/>
      <c r="J197" s="27">
        <f t="shared" si="6"/>
        <v>0</v>
      </c>
      <c r="K197" s="27">
        <f t="shared" si="7"/>
        <v>0</v>
      </c>
    </row>
    <row r="198" spans="1:11">
      <c r="A198" s="29"/>
      <c r="D198" s="27"/>
      <c r="E198" s="27"/>
      <c r="F198" s="27"/>
      <c r="G198" s="27"/>
      <c r="H198" s="27"/>
      <c r="I198" s="27"/>
      <c r="J198" s="27">
        <f t="shared" si="6"/>
        <v>0</v>
      </c>
      <c r="K198" s="27">
        <f t="shared" si="7"/>
        <v>0</v>
      </c>
    </row>
    <row r="199" spans="1:11">
      <c r="A199" s="29"/>
      <c r="D199" s="27"/>
      <c r="E199" s="27"/>
      <c r="F199" s="27"/>
      <c r="G199" s="27"/>
      <c r="H199" s="27"/>
      <c r="I199" s="27"/>
      <c r="J199" s="27">
        <f t="shared" si="6"/>
        <v>0</v>
      </c>
      <c r="K199" s="27">
        <f t="shared" si="7"/>
        <v>0</v>
      </c>
    </row>
    <row r="200" spans="1:11">
      <c r="A200" s="29"/>
      <c r="D200" s="27"/>
      <c r="E200" s="27"/>
      <c r="F200" s="27"/>
      <c r="G200" s="27"/>
      <c r="H200" s="27"/>
      <c r="I200" s="27"/>
      <c r="J200" s="27">
        <f t="shared" si="6"/>
        <v>0</v>
      </c>
      <c r="K200" s="27">
        <f t="shared" si="7"/>
        <v>0</v>
      </c>
    </row>
    <row r="201" spans="1:11">
      <c r="A201" s="29"/>
      <c r="D201" s="27"/>
      <c r="E201" s="27"/>
      <c r="F201" s="27"/>
      <c r="G201" s="27"/>
      <c r="H201" s="27"/>
      <c r="I201" s="27"/>
      <c r="J201" s="27">
        <f t="shared" si="6"/>
        <v>0</v>
      </c>
      <c r="K201" s="27">
        <f t="shared" si="7"/>
        <v>0</v>
      </c>
    </row>
    <row r="202" spans="1:11">
      <c r="A202" s="29"/>
      <c r="D202" s="27"/>
      <c r="E202" s="27"/>
      <c r="F202" s="27"/>
      <c r="G202" s="27"/>
      <c r="H202" s="27"/>
      <c r="I202" s="27"/>
      <c r="J202" s="27">
        <f t="shared" si="6"/>
        <v>0</v>
      </c>
      <c r="K202" s="27">
        <f t="shared" si="7"/>
        <v>0</v>
      </c>
    </row>
    <row r="203" spans="1:11">
      <c r="A203" s="29"/>
      <c r="D203" s="27"/>
      <c r="E203" s="27"/>
      <c r="F203" s="27"/>
      <c r="G203" s="27"/>
      <c r="H203" s="27"/>
      <c r="I203" s="27"/>
      <c r="J203" s="27">
        <f t="shared" si="6"/>
        <v>0</v>
      </c>
      <c r="K203" s="27">
        <f t="shared" si="7"/>
        <v>0</v>
      </c>
    </row>
    <row r="204" spans="1:11">
      <c r="A204" s="29"/>
      <c r="D204" s="27"/>
      <c r="E204" s="27"/>
      <c r="F204" s="27"/>
      <c r="G204" s="27"/>
      <c r="H204" s="27"/>
      <c r="I204" s="27"/>
      <c r="J204" s="27">
        <f t="shared" si="6"/>
        <v>0</v>
      </c>
      <c r="K204" s="27">
        <f t="shared" si="7"/>
        <v>0</v>
      </c>
    </row>
    <row r="205" spans="1:11">
      <c r="A205" s="29"/>
      <c r="D205" s="27"/>
      <c r="E205" s="27"/>
      <c r="F205" s="27"/>
      <c r="G205" s="27"/>
      <c r="H205" s="27"/>
      <c r="I205" s="27"/>
      <c r="J205" s="27">
        <f t="shared" si="6"/>
        <v>0</v>
      </c>
      <c r="K205" s="27">
        <f t="shared" si="7"/>
        <v>0</v>
      </c>
    </row>
    <row r="206" spans="1:11">
      <c r="A206" s="29"/>
      <c r="D206" s="27"/>
      <c r="E206" s="27"/>
      <c r="F206" s="27"/>
      <c r="G206" s="27"/>
      <c r="H206" s="27"/>
      <c r="I206" s="27"/>
      <c r="J206" s="27">
        <f t="shared" si="6"/>
        <v>0</v>
      </c>
      <c r="K206" s="27">
        <f t="shared" si="7"/>
        <v>0</v>
      </c>
    </row>
    <row r="207" spans="1:11">
      <c r="A207" s="29"/>
      <c r="D207" s="27"/>
      <c r="E207" s="27"/>
      <c r="F207" s="27"/>
      <c r="G207" s="27"/>
      <c r="H207" s="27"/>
      <c r="I207" s="27"/>
      <c r="J207" s="27">
        <f t="shared" si="6"/>
        <v>0</v>
      </c>
      <c r="K207" s="27">
        <f t="shared" si="7"/>
        <v>0</v>
      </c>
    </row>
    <row r="208" spans="1:11">
      <c r="A208" s="29"/>
      <c r="D208" s="27"/>
      <c r="E208" s="27"/>
      <c r="F208" s="27"/>
      <c r="G208" s="27"/>
      <c r="H208" s="27"/>
      <c r="I208" s="27"/>
      <c r="J208" s="27">
        <f t="shared" si="6"/>
        <v>0</v>
      </c>
      <c r="K208" s="27">
        <f t="shared" si="7"/>
        <v>0</v>
      </c>
    </row>
    <row r="209" spans="1:11">
      <c r="A209" s="29"/>
      <c r="D209" s="27"/>
      <c r="E209" s="27"/>
      <c r="F209" s="27"/>
      <c r="G209" s="27"/>
      <c r="H209" s="27"/>
      <c r="I209" s="27"/>
      <c r="J209" s="27">
        <f t="shared" si="6"/>
        <v>0</v>
      </c>
      <c r="K209" s="27">
        <f t="shared" si="7"/>
        <v>0</v>
      </c>
    </row>
    <row r="210" spans="1:11">
      <c r="A210" s="29"/>
      <c r="D210" s="27"/>
      <c r="E210" s="27"/>
      <c r="F210" s="27"/>
      <c r="G210" s="27"/>
      <c r="H210" s="27"/>
      <c r="I210" s="27"/>
      <c r="J210" s="27">
        <f t="shared" si="6"/>
        <v>0</v>
      </c>
      <c r="K210" s="27">
        <f t="shared" si="7"/>
        <v>0</v>
      </c>
    </row>
    <row r="211" spans="1:11">
      <c r="A211" s="29"/>
      <c r="D211" s="27"/>
      <c r="E211" s="27"/>
      <c r="F211" s="27"/>
      <c r="G211" s="27"/>
      <c r="H211" s="27"/>
      <c r="I211" s="27"/>
      <c r="J211" s="27">
        <f t="shared" si="6"/>
        <v>0</v>
      </c>
      <c r="K211" s="27">
        <f t="shared" si="7"/>
        <v>0</v>
      </c>
    </row>
    <row r="212" spans="1:11">
      <c r="A212" s="29"/>
      <c r="D212" s="27"/>
      <c r="E212" s="27"/>
      <c r="F212" s="27"/>
      <c r="G212" s="27"/>
      <c r="H212" s="27"/>
      <c r="I212" s="27"/>
      <c r="J212" s="27">
        <f t="shared" si="6"/>
        <v>0</v>
      </c>
      <c r="K212" s="27">
        <f t="shared" si="7"/>
        <v>0</v>
      </c>
    </row>
    <row r="213" spans="1:11">
      <c r="A213" s="29"/>
      <c r="D213" s="27"/>
      <c r="E213" s="27"/>
      <c r="F213" s="27"/>
      <c r="G213" s="27"/>
      <c r="H213" s="27"/>
      <c r="I213" s="27"/>
      <c r="J213" s="27">
        <f t="shared" si="6"/>
        <v>0</v>
      </c>
      <c r="K213" s="27">
        <f t="shared" si="7"/>
        <v>0</v>
      </c>
    </row>
    <row r="214" spans="1:11">
      <c r="A214" s="29"/>
      <c r="D214" s="27"/>
      <c r="E214" s="27"/>
      <c r="F214" s="27"/>
      <c r="G214" s="27"/>
      <c r="H214" s="27"/>
      <c r="I214" s="27"/>
      <c r="J214" s="27">
        <f t="shared" si="6"/>
        <v>0</v>
      </c>
      <c r="K214" s="27">
        <f t="shared" si="7"/>
        <v>0</v>
      </c>
    </row>
    <row r="215" spans="1:11">
      <c r="A215" s="29"/>
      <c r="D215" s="27"/>
      <c r="E215" s="27"/>
      <c r="F215" s="27"/>
      <c r="G215" s="27"/>
      <c r="H215" s="27"/>
      <c r="I215" s="27"/>
      <c r="J215" s="27">
        <f t="shared" si="6"/>
        <v>0</v>
      </c>
      <c r="K215" s="27">
        <f t="shared" si="7"/>
        <v>0</v>
      </c>
    </row>
    <row r="216" spans="1:11">
      <c r="A216" s="29"/>
      <c r="D216" s="27"/>
      <c r="E216" s="27"/>
      <c r="F216" s="27"/>
      <c r="G216" s="27"/>
      <c r="H216" s="27"/>
      <c r="I216" s="27"/>
      <c r="J216" s="27">
        <f t="shared" si="6"/>
        <v>0</v>
      </c>
      <c r="K216" s="27">
        <f t="shared" si="7"/>
        <v>0</v>
      </c>
    </row>
    <row r="217" spans="1:11">
      <c r="A217" s="29"/>
      <c r="D217" s="27"/>
      <c r="E217" s="27"/>
      <c r="F217" s="27"/>
      <c r="G217" s="27"/>
      <c r="H217" s="27"/>
      <c r="I217" s="27"/>
      <c r="J217" s="27">
        <f t="shared" si="6"/>
        <v>0</v>
      </c>
      <c r="K217" s="27">
        <f t="shared" si="7"/>
        <v>0</v>
      </c>
    </row>
    <row r="218" spans="1:11">
      <c r="A218" s="29"/>
      <c r="D218" s="27"/>
      <c r="E218" s="27"/>
      <c r="F218" s="27"/>
      <c r="G218" s="27"/>
      <c r="H218" s="27"/>
      <c r="I218" s="27"/>
      <c r="J218" s="27">
        <f t="shared" si="6"/>
        <v>0</v>
      </c>
      <c r="K218" s="27">
        <f t="shared" si="7"/>
        <v>0</v>
      </c>
    </row>
    <row r="219" spans="1:11">
      <c r="A219" s="29"/>
      <c r="D219" s="27"/>
      <c r="E219" s="27"/>
      <c r="F219" s="27"/>
      <c r="G219" s="27"/>
      <c r="H219" s="27"/>
      <c r="I219" s="27"/>
      <c r="J219" s="27">
        <f t="shared" si="6"/>
        <v>0</v>
      </c>
      <c r="K219" s="27">
        <f t="shared" si="7"/>
        <v>0</v>
      </c>
    </row>
    <row r="220" spans="1:11">
      <c r="A220" s="29"/>
      <c r="D220" s="27"/>
      <c r="E220" s="27"/>
      <c r="F220" s="27"/>
      <c r="G220" s="27"/>
      <c r="H220" s="27"/>
      <c r="I220" s="27"/>
      <c r="J220" s="27">
        <f t="shared" si="6"/>
        <v>0</v>
      </c>
      <c r="K220" s="27">
        <f t="shared" si="7"/>
        <v>0</v>
      </c>
    </row>
    <row r="221" spans="1:11">
      <c r="A221" s="29"/>
      <c r="D221" s="27"/>
      <c r="E221" s="27"/>
      <c r="F221" s="27"/>
      <c r="G221" s="27"/>
      <c r="H221" s="27"/>
      <c r="I221" s="27"/>
      <c r="J221" s="27">
        <f t="shared" si="6"/>
        <v>0</v>
      </c>
      <c r="K221" s="27">
        <f t="shared" si="7"/>
        <v>0</v>
      </c>
    </row>
    <row r="222" spans="1:11">
      <c r="A222" s="29"/>
      <c r="D222" s="27"/>
      <c r="E222" s="27"/>
      <c r="F222" s="27"/>
      <c r="G222" s="27"/>
      <c r="H222" s="27"/>
      <c r="I222" s="27"/>
      <c r="J222" s="27">
        <f t="shared" si="6"/>
        <v>0</v>
      </c>
      <c r="K222" s="27">
        <f t="shared" si="7"/>
        <v>0</v>
      </c>
    </row>
    <row r="223" spans="1:11">
      <c r="A223" s="29"/>
      <c r="D223" s="27"/>
      <c r="E223" s="27"/>
      <c r="F223" s="27"/>
      <c r="G223" s="27"/>
      <c r="H223" s="27"/>
      <c r="I223" s="27"/>
      <c r="J223" s="27">
        <f t="shared" si="6"/>
        <v>0</v>
      </c>
      <c r="K223" s="27">
        <f t="shared" si="7"/>
        <v>0</v>
      </c>
    </row>
    <row r="224" spans="1:11">
      <c r="A224" s="29"/>
      <c r="D224" s="27"/>
      <c r="E224" s="27"/>
      <c r="F224" s="27"/>
      <c r="G224" s="27"/>
      <c r="H224" s="27"/>
      <c r="I224" s="27"/>
      <c r="J224" s="27">
        <f t="shared" si="6"/>
        <v>0</v>
      </c>
      <c r="K224" s="27">
        <f t="shared" si="7"/>
        <v>0</v>
      </c>
    </row>
    <row r="225" spans="1:11">
      <c r="A225" s="29"/>
      <c r="D225" s="27"/>
      <c r="E225" s="27"/>
      <c r="F225" s="27"/>
      <c r="G225" s="27"/>
      <c r="H225" s="27"/>
      <c r="I225" s="27"/>
      <c r="J225" s="27">
        <f t="shared" si="6"/>
        <v>0</v>
      </c>
      <c r="K225" s="27">
        <f t="shared" si="7"/>
        <v>0</v>
      </c>
    </row>
    <row r="226" spans="1:11">
      <c r="A226" s="29"/>
      <c r="D226" s="27"/>
      <c r="E226" s="27"/>
      <c r="F226" s="27"/>
      <c r="G226" s="27"/>
      <c r="H226" s="27"/>
      <c r="I226" s="27"/>
      <c r="J226" s="27">
        <f t="shared" si="6"/>
        <v>0</v>
      </c>
      <c r="K226" s="27">
        <f t="shared" si="7"/>
        <v>0</v>
      </c>
    </row>
    <row r="227" spans="1:11">
      <c r="A227" s="29"/>
      <c r="D227" s="27"/>
      <c r="E227" s="27"/>
      <c r="F227" s="27"/>
      <c r="G227" s="27"/>
      <c r="H227" s="27"/>
      <c r="I227" s="27"/>
      <c r="J227" s="27">
        <f t="shared" si="6"/>
        <v>0</v>
      </c>
      <c r="K227" s="27">
        <f t="shared" si="7"/>
        <v>0</v>
      </c>
    </row>
    <row r="228" spans="1:11">
      <c r="A228" s="29"/>
      <c r="D228" s="27"/>
      <c r="E228" s="27"/>
      <c r="F228" s="27"/>
      <c r="G228" s="27"/>
      <c r="H228" s="27"/>
      <c r="I228" s="27"/>
      <c r="J228" s="27">
        <f t="shared" si="6"/>
        <v>0</v>
      </c>
      <c r="K228" s="27">
        <f t="shared" si="7"/>
        <v>0</v>
      </c>
    </row>
    <row r="229" spans="1:11">
      <c r="A229" s="29"/>
      <c r="D229" s="27"/>
      <c r="E229" s="27"/>
      <c r="F229" s="27"/>
      <c r="G229" s="27"/>
      <c r="H229" s="27"/>
      <c r="I229" s="27"/>
      <c r="J229" s="27">
        <f t="shared" si="6"/>
        <v>0</v>
      </c>
      <c r="K229" s="27">
        <f t="shared" si="7"/>
        <v>0</v>
      </c>
    </row>
    <row r="230" spans="1:11">
      <c r="A230" s="29"/>
      <c r="D230" s="27"/>
      <c r="E230" s="27"/>
      <c r="F230" s="27"/>
      <c r="G230" s="27"/>
      <c r="H230" s="27"/>
      <c r="I230" s="27"/>
      <c r="J230" s="27">
        <f t="shared" si="6"/>
        <v>0</v>
      </c>
      <c r="K230" s="27">
        <f t="shared" si="7"/>
        <v>0</v>
      </c>
    </row>
    <row r="231" spans="1:11">
      <c r="A231" s="29"/>
      <c r="D231" s="27"/>
      <c r="E231" s="27"/>
      <c r="F231" s="27"/>
      <c r="G231" s="27"/>
      <c r="H231" s="27"/>
      <c r="I231" s="27"/>
      <c r="J231" s="27">
        <f t="shared" si="6"/>
        <v>0</v>
      </c>
      <c r="K231" s="27">
        <f t="shared" si="7"/>
        <v>0</v>
      </c>
    </row>
    <row r="232" spans="1:11">
      <c r="A232" s="29"/>
      <c r="D232" s="27"/>
      <c r="E232" s="27"/>
      <c r="F232" s="27"/>
      <c r="G232" s="27"/>
      <c r="H232" s="27"/>
      <c r="I232" s="27"/>
      <c r="J232" s="27">
        <f t="shared" si="6"/>
        <v>0</v>
      </c>
      <c r="K232" s="27">
        <f t="shared" si="7"/>
        <v>0</v>
      </c>
    </row>
    <row r="233" spans="1:11">
      <c r="A233" s="29"/>
      <c r="D233" s="27"/>
      <c r="E233" s="27"/>
      <c r="F233" s="27"/>
      <c r="G233" s="27"/>
      <c r="H233" s="27"/>
      <c r="I233" s="27"/>
      <c r="J233" s="27">
        <f t="shared" si="6"/>
        <v>0</v>
      </c>
      <c r="K233" s="27">
        <f t="shared" si="7"/>
        <v>0</v>
      </c>
    </row>
    <row r="234" spans="1:11">
      <c r="A234" s="29"/>
      <c r="D234" s="27"/>
      <c r="E234" s="27"/>
      <c r="F234" s="27"/>
      <c r="G234" s="27"/>
      <c r="H234" s="27"/>
      <c r="I234" s="27"/>
      <c r="J234" s="27">
        <f t="shared" si="6"/>
        <v>0</v>
      </c>
      <c r="K234" s="27">
        <f t="shared" si="7"/>
        <v>0</v>
      </c>
    </row>
    <row r="235" spans="1:11">
      <c r="A235" s="29"/>
      <c r="D235" s="27"/>
      <c r="E235" s="27"/>
      <c r="F235" s="27"/>
      <c r="G235" s="27"/>
      <c r="H235" s="27"/>
      <c r="I235" s="27"/>
      <c r="J235" s="27">
        <f t="shared" si="6"/>
        <v>0</v>
      </c>
      <c r="K235" s="27">
        <f t="shared" si="7"/>
        <v>0</v>
      </c>
    </row>
    <row r="236" spans="1:11">
      <c r="A236" s="29"/>
      <c r="D236" s="27"/>
      <c r="E236" s="27"/>
      <c r="F236" s="27"/>
      <c r="G236" s="27"/>
      <c r="H236" s="27"/>
      <c r="I236" s="27"/>
      <c r="J236" s="27">
        <f t="shared" si="6"/>
        <v>0</v>
      </c>
      <c r="K236" s="27">
        <f t="shared" si="7"/>
        <v>0</v>
      </c>
    </row>
    <row r="237" spans="1:11">
      <c r="A237" s="29"/>
      <c r="D237" s="27"/>
      <c r="E237" s="27"/>
      <c r="F237" s="27"/>
      <c r="G237" s="27"/>
      <c r="H237" s="27"/>
      <c r="I237" s="27"/>
      <c r="J237" s="27">
        <f t="shared" si="6"/>
        <v>0</v>
      </c>
      <c r="K237" s="27">
        <f t="shared" si="7"/>
        <v>0</v>
      </c>
    </row>
    <row r="238" spans="1:11">
      <c r="A238" s="29"/>
      <c r="D238" s="27"/>
      <c r="E238" s="27"/>
      <c r="F238" s="27"/>
      <c r="G238" s="27"/>
      <c r="H238" s="27"/>
      <c r="I238" s="27"/>
      <c r="J238" s="27">
        <f t="shared" si="6"/>
        <v>0</v>
      </c>
      <c r="K238" s="27">
        <f t="shared" si="7"/>
        <v>0</v>
      </c>
    </row>
    <row r="239" spans="1:11">
      <c r="A239" s="29"/>
      <c r="D239" s="27"/>
      <c r="E239" s="27"/>
      <c r="F239" s="27"/>
      <c r="G239" s="27"/>
      <c r="H239" s="27"/>
      <c r="I239" s="27"/>
      <c r="J239" s="27">
        <f t="shared" si="6"/>
        <v>0</v>
      </c>
      <c r="K239" s="27">
        <f t="shared" si="7"/>
        <v>0</v>
      </c>
    </row>
    <row r="240" spans="1:11">
      <c r="A240" s="29"/>
      <c r="D240" s="27"/>
      <c r="E240" s="27"/>
      <c r="F240" s="27"/>
      <c r="G240" s="27"/>
      <c r="H240" s="27"/>
      <c r="I240" s="27"/>
      <c r="J240" s="27">
        <f t="shared" si="6"/>
        <v>0</v>
      </c>
      <c r="K240" s="27">
        <f t="shared" si="7"/>
        <v>0</v>
      </c>
    </row>
    <row r="241" spans="1:11">
      <c r="A241" s="29"/>
      <c r="D241" s="27"/>
      <c r="E241" s="27"/>
      <c r="F241" s="27"/>
      <c r="G241" s="27"/>
      <c r="H241" s="27"/>
      <c r="I241" s="27"/>
      <c r="J241" s="27">
        <f t="shared" si="6"/>
        <v>0</v>
      </c>
      <c r="K241" s="27">
        <f t="shared" si="7"/>
        <v>0</v>
      </c>
    </row>
    <row r="242" spans="1:11">
      <c r="A242" s="29"/>
      <c r="D242" s="27"/>
      <c r="E242" s="27"/>
      <c r="F242" s="27"/>
      <c r="G242" s="27"/>
      <c r="H242" s="27"/>
      <c r="I242" s="27"/>
      <c r="J242" s="27">
        <f t="shared" si="6"/>
        <v>0</v>
      </c>
      <c r="K242" s="27">
        <f t="shared" si="7"/>
        <v>0</v>
      </c>
    </row>
    <row r="243" spans="1:11">
      <c r="A243" s="29"/>
      <c r="D243" s="27"/>
      <c r="E243" s="27"/>
      <c r="F243" s="27"/>
      <c r="G243" s="27"/>
      <c r="H243" s="27"/>
      <c r="I243" s="27"/>
      <c r="J243" s="27">
        <f t="shared" si="6"/>
        <v>0</v>
      </c>
      <c r="K243" s="27">
        <f t="shared" si="7"/>
        <v>0</v>
      </c>
    </row>
    <row r="244" spans="1:11">
      <c r="A244" s="29"/>
      <c r="D244" s="27"/>
      <c r="E244" s="27"/>
      <c r="F244" s="27"/>
      <c r="G244" s="27"/>
      <c r="H244" s="27"/>
      <c r="I244" s="27"/>
      <c r="J244" s="27">
        <f t="shared" si="6"/>
        <v>0</v>
      </c>
      <c r="K244" s="27">
        <f t="shared" si="7"/>
        <v>0</v>
      </c>
    </row>
    <row r="245" spans="1:11">
      <c r="A245" s="29"/>
      <c r="D245" s="27"/>
      <c r="E245" s="27"/>
      <c r="F245" s="27"/>
      <c r="G245" s="27"/>
      <c r="H245" s="27"/>
      <c r="I245" s="27"/>
      <c r="J245" s="27">
        <f t="shared" si="6"/>
        <v>0</v>
      </c>
      <c r="K245" s="27">
        <f t="shared" si="7"/>
        <v>0</v>
      </c>
    </row>
    <row r="246" spans="1:11">
      <c r="A246" s="29"/>
      <c r="D246" s="27"/>
      <c r="E246" s="27"/>
      <c r="F246" s="27"/>
      <c r="G246" s="27"/>
      <c r="H246" s="27"/>
      <c r="I246" s="27"/>
      <c r="J246" s="27">
        <f t="shared" si="6"/>
        <v>0</v>
      </c>
      <c r="K246" s="27">
        <f t="shared" si="7"/>
        <v>0</v>
      </c>
    </row>
    <row r="247" spans="1:11">
      <c r="A247" s="29"/>
      <c r="D247" s="27"/>
      <c r="E247" s="27"/>
      <c r="F247" s="27"/>
      <c r="G247" s="27"/>
      <c r="H247" s="27"/>
      <c r="I247" s="27"/>
      <c r="J247" s="27">
        <f t="shared" si="6"/>
        <v>0</v>
      </c>
      <c r="K247" s="27">
        <f t="shared" si="7"/>
        <v>0</v>
      </c>
    </row>
    <row r="248" spans="1:11">
      <c r="A248" s="29"/>
      <c r="D248" s="27"/>
      <c r="E248" s="27"/>
      <c r="F248" s="27"/>
      <c r="G248" s="27"/>
      <c r="H248" s="27"/>
      <c r="I248" s="27"/>
      <c r="J248" s="27">
        <f t="shared" si="6"/>
        <v>0</v>
      </c>
      <c r="K248" s="27">
        <f t="shared" si="7"/>
        <v>0</v>
      </c>
    </row>
    <row r="249" spans="1:11">
      <c r="A249" s="29"/>
      <c r="D249" s="27"/>
      <c r="E249" s="27"/>
      <c r="F249" s="27"/>
      <c r="G249" s="27"/>
      <c r="H249" s="27"/>
      <c r="I249" s="27"/>
      <c r="J249" s="27">
        <f t="shared" si="6"/>
        <v>0</v>
      </c>
      <c r="K249" s="27">
        <f t="shared" si="7"/>
        <v>0</v>
      </c>
    </row>
    <row r="250" spans="1:11">
      <c r="A250" s="29"/>
      <c r="D250" s="27"/>
      <c r="E250" s="27"/>
      <c r="F250" s="27"/>
      <c r="G250" s="27"/>
      <c r="H250" s="27"/>
      <c r="I250" s="27"/>
      <c r="J250" s="27">
        <f t="shared" si="6"/>
        <v>0</v>
      </c>
      <c r="K250" s="27">
        <f t="shared" si="7"/>
        <v>0</v>
      </c>
    </row>
    <row r="251" spans="1:11">
      <c r="A251" s="29"/>
      <c r="D251" s="27"/>
      <c r="E251" s="27"/>
      <c r="F251" s="27"/>
      <c r="G251" s="27"/>
      <c r="H251" s="27"/>
      <c r="I251" s="27"/>
      <c r="J251" s="27">
        <f t="shared" si="6"/>
        <v>0</v>
      </c>
      <c r="K251" s="27">
        <f t="shared" si="7"/>
        <v>0</v>
      </c>
    </row>
    <row r="252" spans="1:11">
      <c r="A252" s="29"/>
      <c r="D252" s="27"/>
      <c r="E252" s="27"/>
      <c r="F252" s="27"/>
      <c r="G252" s="27"/>
      <c r="H252" s="27"/>
      <c r="I252" s="27"/>
      <c r="J252" s="27">
        <f t="shared" si="6"/>
        <v>0</v>
      </c>
      <c r="K252" s="27">
        <f t="shared" si="7"/>
        <v>0</v>
      </c>
    </row>
    <row r="253" spans="1:11">
      <c r="A253" s="29"/>
      <c r="D253" s="27"/>
      <c r="E253" s="27"/>
      <c r="F253" s="27"/>
      <c r="G253" s="27"/>
      <c r="H253" s="27"/>
      <c r="I253" s="27"/>
      <c r="J253" s="27">
        <f t="shared" si="6"/>
        <v>0</v>
      </c>
      <c r="K253" s="27">
        <f t="shared" si="7"/>
        <v>0</v>
      </c>
    </row>
    <row r="254" spans="1:11">
      <c r="A254" s="29"/>
      <c r="D254" s="27"/>
      <c r="E254" s="27"/>
      <c r="F254" s="27"/>
      <c r="G254" s="27"/>
      <c r="H254" s="27"/>
      <c r="I254" s="27"/>
      <c r="J254" s="27">
        <f t="shared" si="6"/>
        <v>0</v>
      </c>
      <c r="K254" s="27">
        <f t="shared" si="7"/>
        <v>0</v>
      </c>
    </row>
    <row r="255" spans="1:11">
      <c r="A255" s="29"/>
      <c r="D255" s="27"/>
      <c r="E255" s="27"/>
      <c r="F255" s="27"/>
      <c r="G255" s="27"/>
      <c r="H255" s="27"/>
      <c r="I255" s="27"/>
      <c r="J255" s="27">
        <f t="shared" si="6"/>
        <v>0</v>
      </c>
      <c r="K255" s="27">
        <f t="shared" si="7"/>
        <v>0</v>
      </c>
    </row>
    <row r="256" spans="1:11">
      <c r="A256" s="29"/>
      <c r="D256" s="27"/>
      <c r="E256" s="27"/>
      <c r="F256" s="27"/>
      <c r="G256" s="27"/>
      <c r="H256" s="27"/>
      <c r="I256" s="27"/>
      <c r="J256" s="27">
        <f t="shared" si="6"/>
        <v>0</v>
      </c>
      <c r="K256" s="27">
        <f t="shared" si="7"/>
        <v>0</v>
      </c>
    </row>
    <row r="257" spans="1:11">
      <c r="A257" s="29"/>
      <c r="D257" s="27"/>
      <c r="E257" s="27"/>
      <c r="F257" s="27"/>
      <c r="G257" s="27"/>
      <c r="H257" s="27"/>
      <c r="I257" s="27"/>
      <c r="J257" s="27">
        <f t="shared" si="6"/>
        <v>0</v>
      </c>
      <c r="K257" s="27">
        <f t="shared" si="7"/>
        <v>0</v>
      </c>
    </row>
    <row r="258" spans="1:11">
      <c r="A258" s="29"/>
      <c r="D258" s="27"/>
      <c r="E258" s="27"/>
      <c r="F258" s="27"/>
      <c r="G258" s="27"/>
      <c r="H258" s="27"/>
      <c r="I258" s="27"/>
      <c r="J258" s="27">
        <f t="shared" ref="J258:J300" si="8">SUM(F258:I258)</f>
        <v>0</v>
      </c>
      <c r="K258" s="27">
        <f t="shared" ref="K258:K300" si="9">MAX(D258-E258,0)</f>
        <v>0</v>
      </c>
    </row>
    <row r="259" spans="1:11">
      <c r="A259" s="29"/>
      <c r="D259" s="27"/>
      <c r="E259" s="27"/>
      <c r="F259" s="27"/>
      <c r="G259" s="27"/>
      <c r="H259" s="27"/>
      <c r="I259" s="27"/>
      <c r="J259" s="27">
        <f t="shared" si="8"/>
        <v>0</v>
      </c>
      <c r="K259" s="27">
        <f t="shared" si="9"/>
        <v>0</v>
      </c>
    </row>
    <row r="260" spans="1:11">
      <c r="A260" s="29"/>
      <c r="D260" s="27"/>
      <c r="E260" s="27"/>
      <c r="F260" s="27"/>
      <c r="G260" s="27"/>
      <c r="H260" s="27"/>
      <c r="I260" s="27"/>
      <c r="J260" s="27">
        <f t="shared" si="8"/>
        <v>0</v>
      </c>
      <c r="K260" s="27">
        <f t="shared" si="9"/>
        <v>0</v>
      </c>
    </row>
    <row r="261" spans="1:11">
      <c r="A261" s="29"/>
      <c r="D261" s="27"/>
      <c r="E261" s="27"/>
      <c r="F261" s="27"/>
      <c r="G261" s="27"/>
      <c r="H261" s="27"/>
      <c r="I261" s="27"/>
      <c r="J261" s="27">
        <f t="shared" si="8"/>
        <v>0</v>
      </c>
      <c r="K261" s="27">
        <f t="shared" si="9"/>
        <v>0</v>
      </c>
    </row>
    <row r="262" spans="1:11">
      <c r="A262" s="29"/>
      <c r="D262" s="27"/>
      <c r="E262" s="27"/>
      <c r="F262" s="27"/>
      <c r="G262" s="27"/>
      <c r="H262" s="27"/>
      <c r="I262" s="27"/>
      <c r="J262" s="27">
        <f t="shared" si="8"/>
        <v>0</v>
      </c>
      <c r="K262" s="27">
        <f t="shared" si="9"/>
        <v>0</v>
      </c>
    </row>
    <row r="263" spans="1:11">
      <c r="A263" s="29"/>
      <c r="D263" s="27"/>
      <c r="E263" s="27"/>
      <c r="F263" s="27"/>
      <c r="G263" s="27"/>
      <c r="H263" s="27"/>
      <c r="I263" s="27"/>
      <c r="J263" s="27">
        <f t="shared" si="8"/>
        <v>0</v>
      </c>
      <c r="K263" s="27">
        <f t="shared" si="9"/>
        <v>0</v>
      </c>
    </row>
    <row r="264" spans="1:11">
      <c r="A264" s="29"/>
      <c r="D264" s="27"/>
      <c r="E264" s="27"/>
      <c r="F264" s="27"/>
      <c r="G264" s="27"/>
      <c r="H264" s="27"/>
      <c r="I264" s="27"/>
      <c r="J264" s="27">
        <f t="shared" si="8"/>
        <v>0</v>
      </c>
      <c r="K264" s="27">
        <f t="shared" si="9"/>
        <v>0</v>
      </c>
    </row>
    <row r="265" spans="1:11">
      <c r="A265" s="29"/>
      <c r="D265" s="27"/>
      <c r="E265" s="27"/>
      <c r="F265" s="27"/>
      <c r="G265" s="27"/>
      <c r="H265" s="27"/>
      <c r="I265" s="27"/>
      <c r="J265" s="27">
        <f t="shared" si="8"/>
        <v>0</v>
      </c>
      <c r="K265" s="27">
        <f t="shared" si="9"/>
        <v>0</v>
      </c>
    </row>
    <row r="266" spans="1:11">
      <c r="A266" s="29"/>
      <c r="D266" s="27"/>
      <c r="E266" s="27"/>
      <c r="F266" s="27"/>
      <c r="G266" s="27"/>
      <c r="H266" s="27"/>
      <c r="I266" s="27"/>
      <c r="J266" s="27">
        <f t="shared" si="8"/>
        <v>0</v>
      </c>
      <c r="K266" s="27">
        <f t="shared" si="9"/>
        <v>0</v>
      </c>
    </row>
    <row r="267" spans="1:11">
      <c r="A267" s="29"/>
      <c r="D267" s="27"/>
      <c r="E267" s="27"/>
      <c r="F267" s="27"/>
      <c r="G267" s="27"/>
      <c r="H267" s="27"/>
      <c r="I267" s="27"/>
      <c r="J267" s="27">
        <f t="shared" si="8"/>
        <v>0</v>
      </c>
      <c r="K267" s="27">
        <f t="shared" si="9"/>
        <v>0</v>
      </c>
    </row>
    <row r="268" spans="1:11">
      <c r="A268" s="29"/>
      <c r="D268" s="27"/>
      <c r="E268" s="27"/>
      <c r="F268" s="27"/>
      <c r="G268" s="27"/>
      <c r="H268" s="27"/>
      <c r="I268" s="27"/>
      <c r="J268" s="27">
        <f t="shared" si="8"/>
        <v>0</v>
      </c>
      <c r="K268" s="27">
        <f t="shared" si="9"/>
        <v>0</v>
      </c>
    </row>
    <row r="269" spans="1:11">
      <c r="A269" s="29"/>
      <c r="D269" s="27"/>
      <c r="E269" s="27"/>
      <c r="F269" s="27"/>
      <c r="G269" s="27"/>
      <c r="H269" s="27"/>
      <c r="I269" s="27"/>
      <c r="J269" s="27">
        <f t="shared" si="8"/>
        <v>0</v>
      </c>
      <c r="K269" s="27">
        <f t="shared" si="9"/>
        <v>0</v>
      </c>
    </row>
    <row r="270" spans="1:11">
      <c r="A270" s="29"/>
      <c r="D270" s="27"/>
      <c r="E270" s="27"/>
      <c r="F270" s="27"/>
      <c r="G270" s="27"/>
      <c r="H270" s="27"/>
      <c r="I270" s="27"/>
      <c r="J270" s="27">
        <f t="shared" si="8"/>
        <v>0</v>
      </c>
      <c r="K270" s="27">
        <f t="shared" si="9"/>
        <v>0</v>
      </c>
    </row>
    <row r="271" spans="1:11">
      <c r="A271" s="29"/>
      <c r="D271" s="27"/>
      <c r="E271" s="27"/>
      <c r="F271" s="27"/>
      <c r="G271" s="27"/>
      <c r="H271" s="27"/>
      <c r="I271" s="27"/>
      <c r="J271" s="27">
        <f t="shared" si="8"/>
        <v>0</v>
      </c>
      <c r="K271" s="27">
        <f t="shared" si="9"/>
        <v>0</v>
      </c>
    </row>
    <row r="272" spans="1:11">
      <c r="A272" s="29"/>
      <c r="D272" s="27"/>
      <c r="E272" s="27"/>
      <c r="F272" s="27"/>
      <c r="G272" s="27"/>
      <c r="H272" s="27"/>
      <c r="I272" s="27"/>
      <c r="J272" s="27">
        <f t="shared" si="8"/>
        <v>0</v>
      </c>
      <c r="K272" s="27">
        <f t="shared" si="9"/>
        <v>0</v>
      </c>
    </row>
    <row r="273" spans="1:11">
      <c r="A273" s="29"/>
      <c r="D273" s="27"/>
      <c r="E273" s="27"/>
      <c r="F273" s="27"/>
      <c r="G273" s="27"/>
      <c r="H273" s="27"/>
      <c r="I273" s="27"/>
      <c r="J273" s="27">
        <f t="shared" si="8"/>
        <v>0</v>
      </c>
      <c r="K273" s="27">
        <f t="shared" si="9"/>
        <v>0</v>
      </c>
    </row>
    <row r="274" spans="1:11">
      <c r="A274" s="29"/>
      <c r="D274" s="27"/>
      <c r="E274" s="27"/>
      <c r="F274" s="27"/>
      <c r="G274" s="27"/>
      <c r="H274" s="27"/>
      <c r="I274" s="27"/>
      <c r="J274" s="27">
        <f t="shared" si="8"/>
        <v>0</v>
      </c>
      <c r="K274" s="27">
        <f t="shared" si="9"/>
        <v>0</v>
      </c>
    </row>
    <row r="275" spans="1:11">
      <c r="A275" s="29"/>
      <c r="D275" s="27"/>
      <c r="E275" s="27"/>
      <c r="F275" s="27"/>
      <c r="G275" s="27"/>
      <c r="H275" s="27"/>
      <c r="I275" s="27"/>
      <c r="J275" s="27">
        <f t="shared" si="8"/>
        <v>0</v>
      </c>
      <c r="K275" s="27">
        <f t="shared" si="9"/>
        <v>0</v>
      </c>
    </row>
    <row r="276" spans="1:11">
      <c r="A276" s="29"/>
      <c r="D276" s="27"/>
      <c r="E276" s="27"/>
      <c r="F276" s="27"/>
      <c r="G276" s="27"/>
      <c r="H276" s="27"/>
      <c r="I276" s="27"/>
      <c r="J276" s="27">
        <f t="shared" si="8"/>
        <v>0</v>
      </c>
      <c r="K276" s="27">
        <f t="shared" si="9"/>
        <v>0</v>
      </c>
    </row>
    <row r="277" spans="1:11">
      <c r="A277" s="29"/>
      <c r="D277" s="27"/>
      <c r="E277" s="27"/>
      <c r="F277" s="27"/>
      <c r="G277" s="27"/>
      <c r="H277" s="27"/>
      <c r="I277" s="27"/>
      <c r="J277" s="27">
        <f t="shared" si="8"/>
        <v>0</v>
      </c>
      <c r="K277" s="27">
        <f t="shared" si="9"/>
        <v>0</v>
      </c>
    </row>
    <row r="278" spans="1:11">
      <c r="A278" s="29"/>
      <c r="D278" s="27"/>
      <c r="E278" s="27"/>
      <c r="F278" s="27"/>
      <c r="G278" s="27"/>
      <c r="H278" s="27"/>
      <c r="I278" s="27"/>
      <c r="J278" s="27">
        <f t="shared" si="8"/>
        <v>0</v>
      </c>
      <c r="K278" s="27">
        <f t="shared" si="9"/>
        <v>0</v>
      </c>
    </row>
    <row r="279" spans="1:11">
      <c r="A279" s="29"/>
      <c r="D279" s="27"/>
      <c r="E279" s="27"/>
      <c r="F279" s="27"/>
      <c r="G279" s="27"/>
      <c r="H279" s="27"/>
      <c r="I279" s="27"/>
      <c r="J279" s="27">
        <f t="shared" si="8"/>
        <v>0</v>
      </c>
      <c r="K279" s="27">
        <f t="shared" si="9"/>
        <v>0</v>
      </c>
    </row>
    <row r="280" spans="1:11">
      <c r="A280" s="29"/>
      <c r="D280" s="27"/>
      <c r="E280" s="27"/>
      <c r="F280" s="27"/>
      <c r="G280" s="27"/>
      <c r="H280" s="27"/>
      <c r="I280" s="27"/>
      <c r="J280" s="27">
        <f t="shared" si="8"/>
        <v>0</v>
      </c>
      <c r="K280" s="27">
        <f t="shared" si="9"/>
        <v>0</v>
      </c>
    </row>
    <row r="281" spans="1:11">
      <c r="A281" s="29"/>
      <c r="D281" s="27"/>
      <c r="E281" s="27"/>
      <c r="F281" s="27"/>
      <c r="G281" s="27"/>
      <c r="H281" s="27"/>
      <c r="I281" s="27"/>
      <c r="J281" s="27">
        <f t="shared" si="8"/>
        <v>0</v>
      </c>
      <c r="K281" s="27">
        <f t="shared" si="9"/>
        <v>0</v>
      </c>
    </row>
    <row r="282" spans="1:11">
      <c r="A282" s="29"/>
      <c r="D282" s="27"/>
      <c r="E282" s="27"/>
      <c r="F282" s="27"/>
      <c r="G282" s="27"/>
      <c r="H282" s="27"/>
      <c r="I282" s="27"/>
      <c r="J282" s="27">
        <f t="shared" si="8"/>
        <v>0</v>
      </c>
      <c r="K282" s="27">
        <f t="shared" si="9"/>
        <v>0</v>
      </c>
    </row>
    <row r="283" spans="1:11">
      <c r="A283" s="29"/>
      <c r="D283" s="27"/>
      <c r="E283" s="27"/>
      <c r="F283" s="27"/>
      <c r="G283" s="27"/>
      <c r="H283" s="27"/>
      <c r="I283" s="27"/>
      <c r="J283" s="27">
        <f t="shared" si="8"/>
        <v>0</v>
      </c>
      <c r="K283" s="27">
        <f t="shared" si="9"/>
        <v>0</v>
      </c>
    </row>
    <row r="284" spans="1:11">
      <c r="A284" s="29"/>
      <c r="D284" s="27"/>
      <c r="E284" s="27"/>
      <c r="F284" s="27"/>
      <c r="G284" s="27"/>
      <c r="H284" s="27"/>
      <c r="I284" s="27"/>
      <c r="J284" s="27">
        <f t="shared" si="8"/>
        <v>0</v>
      </c>
      <c r="K284" s="27">
        <f t="shared" si="9"/>
        <v>0</v>
      </c>
    </row>
    <row r="285" spans="1:11">
      <c r="A285" s="29"/>
      <c r="D285" s="27"/>
      <c r="E285" s="27"/>
      <c r="F285" s="27"/>
      <c r="G285" s="27"/>
      <c r="H285" s="27"/>
      <c r="I285" s="27"/>
      <c r="J285" s="27">
        <f t="shared" si="8"/>
        <v>0</v>
      </c>
      <c r="K285" s="27">
        <f t="shared" si="9"/>
        <v>0</v>
      </c>
    </row>
    <row r="286" spans="1:11">
      <c r="A286" s="29"/>
      <c r="D286" s="27"/>
      <c r="E286" s="27"/>
      <c r="F286" s="27"/>
      <c r="G286" s="27"/>
      <c r="H286" s="27"/>
      <c r="I286" s="27"/>
      <c r="J286" s="27">
        <f t="shared" si="8"/>
        <v>0</v>
      </c>
      <c r="K286" s="27">
        <f t="shared" si="9"/>
        <v>0</v>
      </c>
    </row>
    <row r="287" spans="1:11">
      <c r="A287" s="29"/>
      <c r="D287" s="27"/>
      <c r="E287" s="27"/>
      <c r="F287" s="27"/>
      <c r="G287" s="27"/>
      <c r="H287" s="27"/>
      <c r="I287" s="27"/>
      <c r="J287" s="27">
        <f t="shared" si="8"/>
        <v>0</v>
      </c>
      <c r="K287" s="27">
        <f t="shared" si="9"/>
        <v>0</v>
      </c>
    </row>
    <row r="288" spans="1:11">
      <c r="A288" s="29"/>
      <c r="D288" s="27"/>
      <c r="E288" s="27"/>
      <c r="F288" s="27"/>
      <c r="G288" s="27"/>
      <c r="H288" s="27"/>
      <c r="I288" s="27"/>
      <c r="J288" s="27">
        <f t="shared" si="8"/>
        <v>0</v>
      </c>
      <c r="K288" s="27">
        <f t="shared" si="9"/>
        <v>0</v>
      </c>
    </row>
    <row r="289" spans="1:11">
      <c r="A289" s="29"/>
      <c r="D289" s="27"/>
      <c r="E289" s="27"/>
      <c r="F289" s="27"/>
      <c r="G289" s="27"/>
      <c r="H289" s="27"/>
      <c r="I289" s="27"/>
      <c r="J289" s="27">
        <f t="shared" si="8"/>
        <v>0</v>
      </c>
      <c r="K289" s="27">
        <f t="shared" si="9"/>
        <v>0</v>
      </c>
    </row>
    <row r="290" spans="1:11">
      <c r="A290" s="29"/>
      <c r="D290" s="27"/>
      <c r="E290" s="27"/>
      <c r="F290" s="27"/>
      <c r="G290" s="27"/>
      <c r="H290" s="27"/>
      <c r="I290" s="27"/>
      <c r="J290" s="27">
        <f t="shared" si="8"/>
        <v>0</v>
      </c>
      <c r="K290" s="27">
        <f t="shared" si="9"/>
        <v>0</v>
      </c>
    </row>
    <row r="291" spans="1:11">
      <c r="A291" s="29"/>
      <c r="D291" s="27"/>
      <c r="E291" s="27"/>
      <c r="F291" s="27"/>
      <c r="G291" s="27"/>
      <c r="H291" s="27"/>
      <c r="I291" s="27"/>
      <c r="J291" s="27">
        <f t="shared" si="8"/>
        <v>0</v>
      </c>
      <c r="K291" s="27">
        <f t="shared" si="9"/>
        <v>0</v>
      </c>
    </row>
    <row r="292" spans="1:11">
      <c r="A292" s="29"/>
      <c r="D292" s="27"/>
      <c r="E292" s="27"/>
      <c r="F292" s="27"/>
      <c r="G292" s="27"/>
      <c r="H292" s="27"/>
      <c r="I292" s="27"/>
      <c r="J292" s="27">
        <f t="shared" si="8"/>
        <v>0</v>
      </c>
      <c r="K292" s="27">
        <f t="shared" si="9"/>
        <v>0</v>
      </c>
    </row>
    <row r="293" spans="1:11">
      <c r="A293" s="29"/>
      <c r="D293" s="27"/>
      <c r="E293" s="27"/>
      <c r="F293" s="27"/>
      <c r="G293" s="27"/>
      <c r="H293" s="27"/>
      <c r="I293" s="27"/>
      <c r="J293" s="27">
        <f t="shared" si="8"/>
        <v>0</v>
      </c>
      <c r="K293" s="27">
        <f t="shared" si="9"/>
        <v>0</v>
      </c>
    </row>
    <row r="294" spans="1:11">
      <c r="A294" s="29"/>
      <c r="D294" s="27"/>
      <c r="E294" s="27"/>
      <c r="F294" s="27"/>
      <c r="G294" s="27"/>
      <c r="H294" s="27"/>
      <c r="I294" s="27"/>
      <c r="J294" s="27">
        <f t="shared" si="8"/>
        <v>0</v>
      </c>
      <c r="K294" s="27">
        <f t="shared" si="9"/>
        <v>0</v>
      </c>
    </row>
    <row r="295" spans="1:11">
      <c r="A295" s="29"/>
      <c r="D295" s="27"/>
      <c r="E295" s="27"/>
      <c r="F295" s="27"/>
      <c r="G295" s="27"/>
      <c r="H295" s="27"/>
      <c r="I295" s="27"/>
      <c r="J295" s="27">
        <f t="shared" si="8"/>
        <v>0</v>
      </c>
      <c r="K295" s="27">
        <f t="shared" si="9"/>
        <v>0</v>
      </c>
    </row>
    <row r="296" spans="1:11">
      <c r="A296" s="29"/>
      <c r="D296" s="27"/>
      <c r="E296" s="27"/>
      <c r="F296" s="27"/>
      <c r="G296" s="27"/>
      <c r="H296" s="27"/>
      <c r="I296" s="27"/>
      <c r="J296" s="27">
        <f t="shared" si="8"/>
        <v>0</v>
      </c>
      <c r="K296" s="27">
        <f t="shared" si="9"/>
        <v>0</v>
      </c>
    </row>
    <row r="297" spans="1:11">
      <c r="A297" s="29"/>
      <c r="D297" s="27"/>
      <c r="E297" s="27"/>
      <c r="F297" s="27"/>
      <c r="G297" s="27"/>
      <c r="H297" s="27"/>
      <c r="I297" s="27"/>
      <c r="J297" s="27">
        <f t="shared" si="8"/>
        <v>0</v>
      </c>
      <c r="K297" s="27">
        <f t="shared" si="9"/>
        <v>0</v>
      </c>
    </row>
    <row r="298" spans="1:11">
      <c r="A298" s="29"/>
      <c r="D298" s="27"/>
      <c r="E298" s="27"/>
      <c r="F298" s="27"/>
      <c r="G298" s="27"/>
      <c r="H298" s="27"/>
      <c r="I298" s="27"/>
      <c r="J298" s="27">
        <f t="shared" si="8"/>
        <v>0</v>
      </c>
      <c r="K298" s="27">
        <f t="shared" si="9"/>
        <v>0</v>
      </c>
    </row>
    <row r="299" spans="1:11">
      <c r="A299" s="29"/>
      <c r="D299" s="27"/>
      <c r="E299" s="27"/>
      <c r="F299" s="27"/>
      <c r="G299" s="27"/>
      <c r="H299" s="27"/>
      <c r="I299" s="27"/>
      <c r="J299" s="27">
        <f t="shared" si="8"/>
        <v>0</v>
      </c>
      <c r="K299" s="27">
        <f t="shared" si="9"/>
        <v>0</v>
      </c>
    </row>
    <row r="300" spans="1:11">
      <c r="A300" s="29"/>
      <c r="D300" s="27"/>
      <c r="E300" s="27"/>
      <c r="F300" s="27"/>
      <c r="G300" s="27"/>
      <c r="H300" s="27"/>
      <c r="I300" s="27"/>
      <c r="J300" s="27">
        <f t="shared" si="8"/>
        <v>0</v>
      </c>
      <c r="K300" s="27">
        <f t="shared" si="9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Lists!$E$2:$E$12</xm:f>
          </x14:formula1>
          <xm:sqref>B2:B300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0"/>
  <sheetViews>
    <sheetView workbookViewId="0">
      <selection activeCell="A2" sqref="A2:G10"/>
    </sheetView>
  </sheetViews>
  <sheetFormatPr baseColWidth="10" defaultColWidth="8.83203125" defaultRowHeight="14"/>
  <cols>
    <col min="1" max="1" width="10.5" bestFit="1" customWidth="1"/>
    <col min="2" max="2" width="16.6640625" bestFit="1" customWidth="1"/>
    <col min="3" max="3" width="27" bestFit="1" customWidth="1"/>
    <col min="4" max="4" width="16.33203125" bestFit="1" customWidth="1"/>
    <col min="5" max="5" width="15.6640625" bestFit="1" customWidth="1"/>
    <col min="6" max="6" width="14" bestFit="1" customWidth="1"/>
    <col min="7" max="7" width="14.1640625" bestFit="1" customWidth="1"/>
    <col min="8" max="8" width="17.33203125" bestFit="1" customWidth="1"/>
    <col min="9" max="9" width="6.33203125" bestFit="1" customWidth="1"/>
  </cols>
  <sheetData>
    <row r="1" spans="1:9" ht="15">
      <c r="A1" s="1" t="s">
        <v>27</v>
      </c>
      <c r="B1" s="1" t="s">
        <v>52</v>
      </c>
      <c r="C1" s="1" t="s">
        <v>28</v>
      </c>
      <c r="D1" s="1" t="s">
        <v>30</v>
      </c>
      <c r="E1" s="1" t="s">
        <v>53</v>
      </c>
      <c r="F1" s="1" t="s">
        <v>33</v>
      </c>
      <c r="G1" s="1" t="s">
        <v>34</v>
      </c>
      <c r="H1" s="1" t="s">
        <v>54</v>
      </c>
      <c r="I1" s="1" t="s">
        <v>35</v>
      </c>
    </row>
    <row r="2" spans="1:9">
      <c r="A2" s="30">
        <v>46174</v>
      </c>
      <c r="B2" t="s">
        <v>65</v>
      </c>
      <c r="C2" t="s">
        <v>18</v>
      </c>
      <c r="D2" t="s">
        <v>94</v>
      </c>
      <c r="E2" t="s">
        <v>131</v>
      </c>
      <c r="F2" t="s">
        <v>73</v>
      </c>
      <c r="G2" s="27">
        <v>500</v>
      </c>
      <c r="H2" s="27">
        <f t="shared" ref="H2:H65" si="0">IF(OR(B2="Opening Float",B2="Cash Top-up",B2="Adjustment In"),G2,IF(OR(B2="Expense Paid",B2="Cash Returned",B2="Adjustment Out"),-G2,0))</f>
        <v>500</v>
      </c>
    </row>
    <row r="3" spans="1:9">
      <c r="A3" s="30">
        <v>46175</v>
      </c>
      <c r="B3" t="s">
        <v>65</v>
      </c>
      <c r="C3" t="s">
        <v>8</v>
      </c>
      <c r="D3" t="s">
        <v>94</v>
      </c>
      <c r="E3" t="s">
        <v>132</v>
      </c>
      <c r="F3" t="s">
        <v>73</v>
      </c>
      <c r="G3" s="27">
        <v>500</v>
      </c>
      <c r="H3" s="27">
        <f t="shared" si="0"/>
        <v>500</v>
      </c>
    </row>
    <row r="4" spans="1:9">
      <c r="A4" s="30">
        <v>46196</v>
      </c>
      <c r="B4" t="s">
        <v>75</v>
      </c>
      <c r="C4" t="s">
        <v>18</v>
      </c>
      <c r="D4" t="s">
        <v>94</v>
      </c>
      <c r="E4" t="s">
        <v>131</v>
      </c>
      <c r="F4" t="s">
        <v>73</v>
      </c>
      <c r="G4" s="27">
        <v>15</v>
      </c>
      <c r="H4" s="27">
        <f t="shared" si="0"/>
        <v>-15</v>
      </c>
    </row>
    <row r="5" spans="1:9">
      <c r="A5" s="30">
        <v>46196</v>
      </c>
      <c r="B5" t="s">
        <v>75</v>
      </c>
      <c r="C5" t="s">
        <v>18</v>
      </c>
      <c r="D5" t="s">
        <v>94</v>
      </c>
      <c r="E5" t="s">
        <v>131</v>
      </c>
      <c r="F5" t="s">
        <v>73</v>
      </c>
      <c r="G5" s="27">
        <v>210</v>
      </c>
      <c r="H5" s="27">
        <f t="shared" si="0"/>
        <v>-210</v>
      </c>
    </row>
    <row r="6" spans="1:9">
      <c r="A6" s="30">
        <v>46196</v>
      </c>
      <c r="B6" t="s">
        <v>75</v>
      </c>
      <c r="C6" t="s">
        <v>18</v>
      </c>
      <c r="D6" t="s">
        <v>94</v>
      </c>
      <c r="E6" t="s">
        <v>131</v>
      </c>
      <c r="F6" t="s">
        <v>73</v>
      </c>
      <c r="G6" s="27">
        <v>17</v>
      </c>
      <c r="H6" s="27">
        <f t="shared" si="0"/>
        <v>-17</v>
      </c>
    </row>
    <row r="7" spans="1:9">
      <c r="A7" s="30">
        <v>46196</v>
      </c>
      <c r="B7" t="s">
        <v>75</v>
      </c>
      <c r="C7" t="s">
        <v>18</v>
      </c>
      <c r="D7" t="s">
        <v>94</v>
      </c>
      <c r="E7" t="s">
        <v>131</v>
      </c>
      <c r="F7" t="s">
        <v>73</v>
      </c>
      <c r="G7" s="27">
        <v>85</v>
      </c>
      <c r="H7" s="27">
        <f t="shared" si="0"/>
        <v>-85</v>
      </c>
    </row>
    <row r="8" spans="1:9">
      <c r="A8" s="30">
        <v>46196</v>
      </c>
      <c r="B8" t="s">
        <v>75</v>
      </c>
      <c r="C8" t="s">
        <v>18</v>
      </c>
      <c r="D8" t="s">
        <v>94</v>
      </c>
      <c r="E8" t="s">
        <v>131</v>
      </c>
      <c r="F8" t="s">
        <v>73</v>
      </c>
      <c r="G8" s="27">
        <v>50</v>
      </c>
      <c r="H8" s="27">
        <f t="shared" si="0"/>
        <v>-50</v>
      </c>
    </row>
    <row r="9" spans="1:9">
      <c r="A9" s="30">
        <v>46199</v>
      </c>
      <c r="B9" t="s">
        <v>75</v>
      </c>
      <c r="C9" t="s">
        <v>8</v>
      </c>
      <c r="D9" t="s">
        <v>94</v>
      </c>
      <c r="E9" t="s">
        <v>132</v>
      </c>
      <c r="F9" t="s">
        <v>73</v>
      </c>
      <c r="G9" s="27">
        <v>44</v>
      </c>
      <c r="H9" s="27">
        <f t="shared" si="0"/>
        <v>-44</v>
      </c>
    </row>
    <row r="10" spans="1:9">
      <c r="A10" s="30">
        <v>46200</v>
      </c>
      <c r="B10" t="s">
        <v>65</v>
      </c>
      <c r="C10" t="s">
        <v>8</v>
      </c>
      <c r="D10" t="s">
        <v>97</v>
      </c>
      <c r="E10" t="s">
        <v>132</v>
      </c>
      <c r="F10" t="s">
        <v>73</v>
      </c>
      <c r="G10" s="27">
        <v>311.7</v>
      </c>
      <c r="H10" s="27">
        <f t="shared" si="0"/>
        <v>311.7</v>
      </c>
    </row>
    <row r="11" spans="1:9">
      <c r="A11" s="30"/>
      <c r="G11" s="27"/>
      <c r="H11" s="27">
        <f t="shared" si="0"/>
        <v>0</v>
      </c>
    </row>
    <row r="12" spans="1:9">
      <c r="A12" s="30"/>
      <c r="G12" s="27"/>
      <c r="H12" s="27">
        <f t="shared" si="0"/>
        <v>0</v>
      </c>
    </row>
    <row r="13" spans="1:9">
      <c r="A13" s="30"/>
      <c r="G13" s="27"/>
      <c r="H13" s="27">
        <f t="shared" si="0"/>
        <v>0</v>
      </c>
    </row>
    <row r="14" spans="1:9">
      <c r="A14" s="30"/>
      <c r="G14" s="27"/>
      <c r="H14" s="27">
        <f t="shared" si="0"/>
        <v>0</v>
      </c>
    </row>
    <row r="15" spans="1:9">
      <c r="A15" s="30"/>
      <c r="G15" s="27"/>
      <c r="H15" s="27">
        <f t="shared" si="0"/>
        <v>0</v>
      </c>
    </row>
    <row r="16" spans="1:9">
      <c r="A16" s="30"/>
      <c r="G16" s="27"/>
      <c r="H16" s="27">
        <f t="shared" si="0"/>
        <v>0</v>
      </c>
    </row>
    <row r="17" spans="1:8">
      <c r="A17" s="30"/>
      <c r="G17" s="27"/>
      <c r="H17" s="27">
        <f t="shared" si="0"/>
        <v>0</v>
      </c>
    </row>
    <row r="18" spans="1:8">
      <c r="A18" s="30"/>
      <c r="G18" s="27"/>
      <c r="H18" s="27">
        <f t="shared" si="0"/>
        <v>0</v>
      </c>
    </row>
    <row r="19" spans="1:8">
      <c r="A19" s="30"/>
      <c r="G19" s="27"/>
      <c r="H19" s="27">
        <f t="shared" si="0"/>
        <v>0</v>
      </c>
    </row>
    <row r="20" spans="1:8">
      <c r="A20" s="30"/>
      <c r="G20" s="27"/>
      <c r="H20" s="27">
        <f t="shared" si="0"/>
        <v>0</v>
      </c>
    </row>
    <row r="21" spans="1:8">
      <c r="A21" s="30"/>
      <c r="G21" s="27"/>
      <c r="H21" s="27">
        <f t="shared" si="0"/>
        <v>0</v>
      </c>
    </row>
    <row r="22" spans="1:8">
      <c r="A22" s="30"/>
      <c r="G22" s="27"/>
      <c r="H22" s="27">
        <f t="shared" si="0"/>
        <v>0</v>
      </c>
    </row>
    <row r="23" spans="1:8">
      <c r="A23" s="30"/>
      <c r="G23" s="27"/>
      <c r="H23" s="27">
        <f t="shared" si="0"/>
        <v>0</v>
      </c>
    </row>
    <row r="24" spans="1:8">
      <c r="A24" s="30"/>
      <c r="G24" s="27"/>
      <c r="H24" s="27">
        <f t="shared" si="0"/>
        <v>0</v>
      </c>
    </row>
    <row r="25" spans="1:8">
      <c r="A25" s="30"/>
      <c r="G25" s="27"/>
      <c r="H25" s="27">
        <f t="shared" si="0"/>
        <v>0</v>
      </c>
    </row>
    <row r="26" spans="1:8">
      <c r="A26" s="30"/>
      <c r="G26" s="27"/>
      <c r="H26" s="27">
        <f t="shared" si="0"/>
        <v>0</v>
      </c>
    </row>
    <row r="27" spans="1:8">
      <c r="A27" s="30"/>
      <c r="G27" s="27"/>
      <c r="H27" s="27">
        <f t="shared" si="0"/>
        <v>0</v>
      </c>
    </row>
    <row r="28" spans="1:8">
      <c r="A28" s="30"/>
      <c r="G28" s="27"/>
      <c r="H28" s="27">
        <f t="shared" si="0"/>
        <v>0</v>
      </c>
    </row>
    <row r="29" spans="1:8">
      <c r="A29" s="30"/>
      <c r="G29" s="27"/>
      <c r="H29" s="27">
        <f t="shared" si="0"/>
        <v>0</v>
      </c>
    </row>
    <row r="30" spans="1:8">
      <c r="A30" s="30"/>
      <c r="G30" s="27"/>
      <c r="H30" s="27">
        <f t="shared" si="0"/>
        <v>0</v>
      </c>
    </row>
    <row r="31" spans="1:8">
      <c r="A31" s="30"/>
      <c r="G31" s="27"/>
      <c r="H31" s="27">
        <f t="shared" si="0"/>
        <v>0</v>
      </c>
    </row>
    <row r="32" spans="1:8">
      <c r="A32" s="30"/>
      <c r="G32" s="27"/>
      <c r="H32" s="27">
        <f t="shared" si="0"/>
        <v>0</v>
      </c>
    </row>
    <row r="33" spans="1:8">
      <c r="A33" s="30"/>
      <c r="G33" s="27"/>
      <c r="H33" s="27">
        <f t="shared" si="0"/>
        <v>0</v>
      </c>
    </row>
    <row r="34" spans="1:8">
      <c r="A34" s="30"/>
      <c r="G34" s="27"/>
      <c r="H34" s="27">
        <f t="shared" si="0"/>
        <v>0</v>
      </c>
    </row>
    <row r="35" spans="1:8">
      <c r="A35" s="30"/>
      <c r="G35" s="27"/>
      <c r="H35" s="27">
        <f t="shared" si="0"/>
        <v>0</v>
      </c>
    </row>
    <row r="36" spans="1:8">
      <c r="A36" s="30"/>
      <c r="G36" s="27"/>
      <c r="H36" s="27">
        <f t="shared" si="0"/>
        <v>0</v>
      </c>
    </row>
    <row r="37" spans="1:8">
      <c r="A37" s="30"/>
      <c r="G37" s="27"/>
      <c r="H37" s="27">
        <f t="shared" si="0"/>
        <v>0</v>
      </c>
    </row>
    <row r="38" spans="1:8">
      <c r="A38" s="30"/>
      <c r="G38" s="27"/>
      <c r="H38" s="27">
        <f t="shared" si="0"/>
        <v>0</v>
      </c>
    </row>
    <row r="39" spans="1:8">
      <c r="A39" s="30"/>
      <c r="G39" s="27"/>
      <c r="H39" s="27">
        <f t="shared" si="0"/>
        <v>0</v>
      </c>
    </row>
    <row r="40" spans="1:8">
      <c r="A40" s="30"/>
      <c r="G40" s="27"/>
      <c r="H40" s="27">
        <f t="shared" si="0"/>
        <v>0</v>
      </c>
    </row>
    <row r="41" spans="1:8">
      <c r="A41" s="30"/>
      <c r="G41" s="27"/>
      <c r="H41" s="27">
        <f t="shared" si="0"/>
        <v>0</v>
      </c>
    </row>
    <row r="42" spans="1:8">
      <c r="A42" s="30"/>
      <c r="G42" s="27"/>
      <c r="H42" s="27">
        <f t="shared" si="0"/>
        <v>0</v>
      </c>
    </row>
    <row r="43" spans="1:8">
      <c r="A43" s="30"/>
      <c r="G43" s="27"/>
      <c r="H43" s="27">
        <f t="shared" si="0"/>
        <v>0</v>
      </c>
    </row>
    <row r="44" spans="1:8">
      <c r="A44" s="30"/>
      <c r="G44" s="27"/>
      <c r="H44" s="27">
        <f t="shared" si="0"/>
        <v>0</v>
      </c>
    </row>
    <row r="45" spans="1:8">
      <c r="A45" s="30"/>
      <c r="G45" s="27"/>
      <c r="H45" s="27">
        <f t="shared" si="0"/>
        <v>0</v>
      </c>
    </row>
    <row r="46" spans="1:8">
      <c r="A46" s="30"/>
      <c r="G46" s="27"/>
      <c r="H46" s="27">
        <f t="shared" si="0"/>
        <v>0</v>
      </c>
    </row>
    <row r="47" spans="1:8">
      <c r="A47" s="30"/>
      <c r="G47" s="27"/>
      <c r="H47" s="27">
        <f t="shared" si="0"/>
        <v>0</v>
      </c>
    </row>
    <row r="48" spans="1:8">
      <c r="A48" s="30"/>
      <c r="G48" s="27"/>
      <c r="H48" s="27">
        <f t="shared" si="0"/>
        <v>0</v>
      </c>
    </row>
    <row r="49" spans="1:8">
      <c r="A49" s="30"/>
      <c r="G49" s="27"/>
      <c r="H49" s="27">
        <f t="shared" si="0"/>
        <v>0</v>
      </c>
    </row>
    <row r="50" spans="1:8">
      <c r="A50" s="30"/>
      <c r="G50" s="27"/>
      <c r="H50" s="27">
        <f t="shared" si="0"/>
        <v>0</v>
      </c>
    </row>
    <row r="51" spans="1:8">
      <c r="A51" s="30"/>
      <c r="G51" s="27"/>
      <c r="H51" s="27">
        <f t="shared" si="0"/>
        <v>0</v>
      </c>
    </row>
    <row r="52" spans="1:8">
      <c r="A52" s="30"/>
      <c r="G52" s="27"/>
      <c r="H52" s="27">
        <f t="shared" si="0"/>
        <v>0</v>
      </c>
    </row>
    <row r="53" spans="1:8">
      <c r="A53" s="30"/>
      <c r="G53" s="27"/>
      <c r="H53" s="27">
        <f t="shared" si="0"/>
        <v>0</v>
      </c>
    </row>
    <row r="54" spans="1:8">
      <c r="A54" s="30"/>
      <c r="G54" s="27"/>
      <c r="H54" s="27">
        <f t="shared" si="0"/>
        <v>0</v>
      </c>
    </row>
    <row r="55" spans="1:8">
      <c r="A55" s="30"/>
      <c r="G55" s="27"/>
      <c r="H55" s="27">
        <f t="shared" si="0"/>
        <v>0</v>
      </c>
    </row>
    <row r="56" spans="1:8">
      <c r="A56" s="30"/>
      <c r="G56" s="27"/>
      <c r="H56" s="27">
        <f t="shared" si="0"/>
        <v>0</v>
      </c>
    </row>
    <row r="57" spans="1:8">
      <c r="A57" s="30"/>
      <c r="G57" s="27"/>
      <c r="H57" s="27">
        <f t="shared" si="0"/>
        <v>0</v>
      </c>
    </row>
    <row r="58" spans="1:8">
      <c r="A58" s="30"/>
      <c r="G58" s="27"/>
      <c r="H58" s="27">
        <f t="shared" si="0"/>
        <v>0</v>
      </c>
    </row>
    <row r="59" spans="1:8">
      <c r="A59" s="30"/>
      <c r="G59" s="27"/>
      <c r="H59" s="27">
        <f t="shared" si="0"/>
        <v>0</v>
      </c>
    </row>
    <row r="60" spans="1:8">
      <c r="A60" s="30"/>
      <c r="G60" s="27"/>
      <c r="H60" s="27">
        <f t="shared" si="0"/>
        <v>0</v>
      </c>
    </row>
    <row r="61" spans="1:8">
      <c r="A61" s="30"/>
      <c r="G61" s="27"/>
      <c r="H61" s="27">
        <f t="shared" si="0"/>
        <v>0</v>
      </c>
    </row>
    <row r="62" spans="1:8">
      <c r="A62" s="30"/>
      <c r="G62" s="27"/>
      <c r="H62" s="27">
        <f t="shared" si="0"/>
        <v>0</v>
      </c>
    </row>
    <row r="63" spans="1:8">
      <c r="A63" s="30"/>
      <c r="G63" s="27"/>
      <c r="H63" s="27">
        <f t="shared" si="0"/>
        <v>0</v>
      </c>
    </row>
    <row r="64" spans="1:8">
      <c r="A64" s="30"/>
      <c r="G64" s="27"/>
      <c r="H64" s="27">
        <f t="shared" si="0"/>
        <v>0</v>
      </c>
    </row>
    <row r="65" spans="1:8">
      <c r="A65" s="30"/>
      <c r="G65" s="27"/>
      <c r="H65" s="27">
        <f t="shared" si="0"/>
        <v>0</v>
      </c>
    </row>
    <row r="66" spans="1:8">
      <c r="A66" s="30"/>
      <c r="G66" s="27"/>
      <c r="H66" s="27">
        <f t="shared" ref="H66:H129" si="1">IF(OR(B66="Opening Float",B66="Cash Top-up",B66="Adjustment In"),G66,IF(OR(B66="Expense Paid",B66="Cash Returned",B66="Adjustment Out"),-G66,0))</f>
        <v>0</v>
      </c>
    </row>
    <row r="67" spans="1:8">
      <c r="A67" s="30"/>
      <c r="G67" s="27"/>
      <c r="H67" s="27">
        <f t="shared" si="1"/>
        <v>0</v>
      </c>
    </row>
    <row r="68" spans="1:8">
      <c r="A68" s="30"/>
      <c r="G68" s="27"/>
      <c r="H68" s="27">
        <f t="shared" si="1"/>
        <v>0</v>
      </c>
    </row>
    <row r="69" spans="1:8">
      <c r="A69" s="30"/>
      <c r="G69" s="27"/>
      <c r="H69" s="27">
        <f t="shared" si="1"/>
        <v>0</v>
      </c>
    </row>
    <row r="70" spans="1:8">
      <c r="A70" s="30"/>
      <c r="G70" s="27"/>
      <c r="H70" s="27">
        <f t="shared" si="1"/>
        <v>0</v>
      </c>
    </row>
    <row r="71" spans="1:8">
      <c r="A71" s="30"/>
      <c r="G71" s="27"/>
      <c r="H71" s="27">
        <f t="shared" si="1"/>
        <v>0</v>
      </c>
    </row>
    <row r="72" spans="1:8">
      <c r="A72" s="30"/>
      <c r="G72" s="27"/>
      <c r="H72" s="27">
        <f t="shared" si="1"/>
        <v>0</v>
      </c>
    </row>
    <row r="73" spans="1:8">
      <c r="A73" s="30"/>
      <c r="G73" s="27"/>
      <c r="H73" s="27">
        <f t="shared" si="1"/>
        <v>0</v>
      </c>
    </row>
    <row r="74" spans="1:8">
      <c r="A74" s="30"/>
      <c r="G74" s="27"/>
      <c r="H74" s="27">
        <f t="shared" si="1"/>
        <v>0</v>
      </c>
    </row>
    <row r="75" spans="1:8">
      <c r="A75" s="30"/>
      <c r="G75" s="27"/>
      <c r="H75" s="27">
        <f t="shared" si="1"/>
        <v>0</v>
      </c>
    </row>
    <row r="76" spans="1:8">
      <c r="A76" s="30"/>
      <c r="G76" s="27"/>
      <c r="H76" s="27">
        <f t="shared" si="1"/>
        <v>0</v>
      </c>
    </row>
    <row r="77" spans="1:8">
      <c r="A77" s="30"/>
      <c r="G77" s="27"/>
      <c r="H77" s="27">
        <f t="shared" si="1"/>
        <v>0</v>
      </c>
    </row>
    <row r="78" spans="1:8">
      <c r="A78" s="30"/>
      <c r="G78" s="27"/>
      <c r="H78" s="27">
        <f t="shared" si="1"/>
        <v>0</v>
      </c>
    </row>
    <row r="79" spans="1:8">
      <c r="A79" s="30"/>
      <c r="G79" s="27"/>
      <c r="H79" s="27">
        <f t="shared" si="1"/>
        <v>0</v>
      </c>
    </row>
    <row r="80" spans="1:8">
      <c r="A80" s="30"/>
      <c r="G80" s="27"/>
      <c r="H80" s="27">
        <f t="shared" si="1"/>
        <v>0</v>
      </c>
    </row>
    <row r="81" spans="1:8">
      <c r="A81" s="30"/>
      <c r="G81" s="27"/>
      <c r="H81" s="27">
        <f t="shared" si="1"/>
        <v>0</v>
      </c>
    </row>
    <row r="82" spans="1:8">
      <c r="A82" s="30"/>
      <c r="G82" s="27"/>
      <c r="H82" s="27">
        <f t="shared" si="1"/>
        <v>0</v>
      </c>
    </row>
    <row r="83" spans="1:8">
      <c r="A83" s="30"/>
      <c r="G83" s="27"/>
      <c r="H83" s="27">
        <f t="shared" si="1"/>
        <v>0</v>
      </c>
    </row>
    <row r="84" spans="1:8">
      <c r="A84" s="30"/>
      <c r="G84" s="27"/>
      <c r="H84" s="27">
        <f t="shared" si="1"/>
        <v>0</v>
      </c>
    </row>
    <row r="85" spans="1:8">
      <c r="A85" s="30"/>
      <c r="G85" s="27"/>
      <c r="H85" s="27">
        <f t="shared" si="1"/>
        <v>0</v>
      </c>
    </row>
    <row r="86" spans="1:8">
      <c r="A86" s="30"/>
      <c r="G86" s="27"/>
      <c r="H86" s="27">
        <f t="shared" si="1"/>
        <v>0</v>
      </c>
    </row>
    <row r="87" spans="1:8">
      <c r="A87" s="30"/>
      <c r="G87" s="27"/>
      <c r="H87" s="27">
        <f t="shared" si="1"/>
        <v>0</v>
      </c>
    </row>
    <row r="88" spans="1:8">
      <c r="A88" s="30"/>
      <c r="G88" s="27"/>
      <c r="H88" s="27">
        <f t="shared" si="1"/>
        <v>0</v>
      </c>
    </row>
    <row r="89" spans="1:8">
      <c r="A89" s="30"/>
      <c r="G89" s="27"/>
      <c r="H89" s="27">
        <f t="shared" si="1"/>
        <v>0</v>
      </c>
    </row>
    <row r="90" spans="1:8">
      <c r="A90" s="30"/>
      <c r="G90" s="27"/>
      <c r="H90" s="27">
        <f t="shared" si="1"/>
        <v>0</v>
      </c>
    </row>
    <row r="91" spans="1:8">
      <c r="A91" s="30"/>
      <c r="G91" s="27"/>
      <c r="H91" s="27">
        <f t="shared" si="1"/>
        <v>0</v>
      </c>
    </row>
    <row r="92" spans="1:8">
      <c r="A92" s="30"/>
      <c r="G92" s="27"/>
      <c r="H92" s="27">
        <f t="shared" si="1"/>
        <v>0</v>
      </c>
    </row>
    <row r="93" spans="1:8">
      <c r="A93" s="30"/>
      <c r="G93" s="27"/>
      <c r="H93" s="27">
        <f t="shared" si="1"/>
        <v>0</v>
      </c>
    </row>
    <row r="94" spans="1:8">
      <c r="A94" s="30"/>
      <c r="G94" s="27"/>
      <c r="H94" s="27">
        <f t="shared" si="1"/>
        <v>0</v>
      </c>
    </row>
    <row r="95" spans="1:8">
      <c r="A95" s="30"/>
      <c r="G95" s="27"/>
      <c r="H95" s="27">
        <f t="shared" si="1"/>
        <v>0</v>
      </c>
    </row>
    <row r="96" spans="1:8">
      <c r="A96" s="30"/>
      <c r="G96" s="27"/>
      <c r="H96" s="27">
        <f t="shared" si="1"/>
        <v>0</v>
      </c>
    </row>
    <row r="97" spans="1:8">
      <c r="A97" s="30"/>
      <c r="G97" s="27"/>
      <c r="H97" s="27">
        <f t="shared" si="1"/>
        <v>0</v>
      </c>
    </row>
    <row r="98" spans="1:8">
      <c r="A98" s="30"/>
      <c r="G98" s="27"/>
      <c r="H98" s="27">
        <f t="shared" si="1"/>
        <v>0</v>
      </c>
    </row>
    <row r="99" spans="1:8">
      <c r="A99" s="30"/>
      <c r="G99" s="27"/>
      <c r="H99" s="27">
        <f t="shared" si="1"/>
        <v>0</v>
      </c>
    </row>
    <row r="100" spans="1:8">
      <c r="A100" s="30"/>
      <c r="G100" s="27"/>
      <c r="H100" s="27">
        <f t="shared" si="1"/>
        <v>0</v>
      </c>
    </row>
    <row r="101" spans="1:8">
      <c r="A101" s="30"/>
      <c r="G101" s="27"/>
      <c r="H101" s="27">
        <f t="shared" si="1"/>
        <v>0</v>
      </c>
    </row>
    <row r="102" spans="1:8">
      <c r="A102" s="30"/>
      <c r="G102" s="27"/>
      <c r="H102" s="27">
        <f t="shared" si="1"/>
        <v>0</v>
      </c>
    </row>
    <row r="103" spans="1:8">
      <c r="A103" s="30"/>
      <c r="G103" s="27"/>
      <c r="H103" s="27">
        <f t="shared" si="1"/>
        <v>0</v>
      </c>
    </row>
    <row r="104" spans="1:8">
      <c r="A104" s="30"/>
      <c r="G104" s="27"/>
      <c r="H104" s="27">
        <f t="shared" si="1"/>
        <v>0</v>
      </c>
    </row>
    <row r="105" spans="1:8">
      <c r="A105" s="30"/>
      <c r="G105" s="27"/>
      <c r="H105" s="27">
        <f t="shared" si="1"/>
        <v>0</v>
      </c>
    </row>
    <row r="106" spans="1:8">
      <c r="A106" s="30"/>
      <c r="G106" s="27"/>
      <c r="H106" s="27">
        <f t="shared" si="1"/>
        <v>0</v>
      </c>
    </row>
    <row r="107" spans="1:8">
      <c r="A107" s="30"/>
      <c r="G107" s="27"/>
      <c r="H107" s="27">
        <f t="shared" si="1"/>
        <v>0</v>
      </c>
    </row>
    <row r="108" spans="1:8">
      <c r="A108" s="30"/>
      <c r="G108" s="27"/>
      <c r="H108" s="27">
        <f t="shared" si="1"/>
        <v>0</v>
      </c>
    </row>
    <row r="109" spans="1:8">
      <c r="A109" s="30"/>
      <c r="G109" s="27"/>
      <c r="H109" s="27">
        <f t="shared" si="1"/>
        <v>0</v>
      </c>
    </row>
    <row r="110" spans="1:8">
      <c r="A110" s="30"/>
      <c r="G110" s="27"/>
      <c r="H110" s="27">
        <f t="shared" si="1"/>
        <v>0</v>
      </c>
    </row>
    <row r="111" spans="1:8">
      <c r="A111" s="30"/>
      <c r="G111" s="27"/>
      <c r="H111" s="27">
        <f t="shared" si="1"/>
        <v>0</v>
      </c>
    </row>
    <row r="112" spans="1:8">
      <c r="A112" s="30"/>
      <c r="G112" s="27"/>
      <c r="H112" s="27">
        <f t="shared" si="1"/>
        <v>0</v>
      </c>
    </row>
    <row r="113" spans="1:8">
      <c r="A113" s="30"/>
      <c r="G113" s="27"/>
      <c r="H113" s="27">
        <f t="shared" si="1"/>
        <v>0</v>
      </c>
    </row>
    <row r="114" spans="1:8">
      <c r="A114" s="30"/>
      <c r="G114" s="27"/>
      <c r="H114" s="27">
        <f t="shared" si="1"/>
        <v>0</v>
      </c>
    </row>
    <row r="115" spans="1:8">
      <c r="A115" s="30"/>
      <c r="G115" s="27"/>
      <c r="H115" s="27">
        <f t="shared" si="1"/>
        <v>0</v>
      </c>
    </row>
    <row r="116" spans="1:8">
      <c r="A116" s="30"/>
      <c r="G116" s="27"/>
      <c r="H116" s="27">
        <f t="shared" si="1"/>
        <v>0</v>
      </c>
    </row>
    <row r="117" spans="1:8">
      <c r="A117" s="30"/>
      <c r="G117" s="27"/>
      <c r="H117" s="27">
        <f t="shared" si="1"/>
        <v>0</v>
      </c>
    </row>
    <row r="118" spans="1:8">
      <c r="A118" s="30"/>
      <c r="G118" s="27"/>
      <c r="H118" s="27">
        <f t="shared" si="1"/>
        <v>0</v>
      </c>
    </row>
    <row r="119" spans="1:8">
      <c r="A119" s="30"/>
      <c r="G119" s="27"/>
      <c r="H119" s="27">
        <f t="shared" si="1"/>
        <v>0</v>
      </c>
    </row>
    <row r="120" spans="1:8">
      <c r="A120" s="30"/>
      <c r="G120" s="27"/>
      <c r="H120" s="27">
        <f t="shared" si="1"/>
        <v>0</v>
      </c>
    </row>
    <row r="121" spans="1:8">
      <c r="A121" s="30"/>
      <c r="G121" s="27"/>
      <c r="H121" s="27">
        <f t="shared" si="1"/>
        <v>0</v>
      </c>
    </row>
    <row r="122" spans="1:8">
      <c r="A122" s="30"/>
      <c r="G122" s="27"/>
      <c r="H122" s="27">
        <f t="shared" si="1"/>
        <v>0</v>
      </c>
    </row>
    <row r="123" spans="1:8">
      <c r="A123" s="30"/>
      <c r="G123" s="27"/>
      <c r="H123" s="27">
        <f t="shared" si="1"/>
        <v>0</v>
      </c>
    </row>
    <row r="124" spans="1:8">
      <c r="A124" s="30"/>
      <c r="G124" s="27"/>
      <c r="H124" s="27">
        <f t="shared" si="1"/>
        <v>0</v>
      </c>
    </row>
    <row r="125" spans="1:8">
      <c r="A125" s="30"/>
      <c r="G125" s="27"/>
      <c r="H125" s="27">
        <f t="shared" si="1"/>
        <v>0</v>
      </c>
    </row>
    <row r="126" spans="1:8">
      <c r="A126" s="30"/>
      <c r="G126" s="27"/>
      <c r="H126" s="27">
        <f t="shared" si="1"/>
        <v>0</v>
      </c>
    </row>
    <row r="127" spans="1:8">
      <c r="A127" s="30"/>
      <c r="G127" s="27"/>
      <c r="H127" s="27">
        <f t="shared" si="1"/>
        <v>0</v>
      </c>
    </row>
    <row r="128" spans="1:8">
      <c r="A128" s="30"/>
      <c r="G128" s="27"/>
      <c r="H128" s="27">
        <f t="shared" si="1"/>
        <v>0</v>
      </c>
    </row>
    <row r="129" spans="1:8">
      <c r="A129" s="30"/>
      <c r="G129" s="27"/>
      <c r="H129" s="27">
        <f t="shared" si="1"/>
        <v>0</v>
      </c>
    </row>
    <row r="130" spans="1:8">
      <c r="A130" s="30"/>
      <c r="G130" s="27"/>
      <c r="H130" s="27">
        <f t="shared" ref="H130:H193" si="2">IF(OR(B130="Opening Float",B130="Cash Top-up",B130="Adjustment In"),G130,IF(OR(B130="Expense Paid",B130="Cash Returned",B130="Adjustment Out"),-G130,0))</f>
        <v>0</v>
      </c>
    </row>
    <row r="131" spans="1:8">
      <c r="A131" s="30"/>
      <c r="G131" s="27"/>
      <c r="H131" s="27">
        <f t="shared" si="2"/>
        <v>0</v>
      </c>
    </row>
    <row r="132" spans="1:8">
      <c r="A132" s="30"/>
      <c r="G132" s="27"/>
      <c r="H132" s="27">
        <f t="shared" si="2"/>
        <v>0</v>
      </c>
    </row>
    <row r="133" spans="1:8">
      <c r="A133" s="30"/>
      <c r="G133" s="27"/>
      <c r="H133" s="27">
        <f t="shared" si="2"/>
        <v>0</v>
      </c>
    </row>
    <row r="134" spans="1:8">
      <c r="A134" s="30"/>
      <c r="G134" s="27"/>
      <c r="H134" s="27">
        <f t="shared" si="2"/>
        <v>0</v>
      </c>
    </row>
    <row r="135" spans="1:8">
      <c r="A135" s="30"/>
      <c r="G135" s="27"/>
      <c r="H135" s="27">
        <f t="shared" si="2"/>
        <v>0</v>
      </c>
    </row>
    <row r="136" spans="1:8">
      <c r="A136" s="30"/>
      <c r="G136" s="27"/>
      <c r="H136" s="27">
        <f t="shared" si="2"/>
        <v>0</v>
      </c>
    </row>
    <row r="137" spans="1:8">
      <c r="A137" s="30"/>
      <c r="G137" s="27"/>
      <c r="H137" s="27">
        <f t="shared" si="2"/>
        <v>0</v>
      </c>
    </row>
    <row r="138" spans="1:8">
      <c r="A138" s="30"/>
      <c r="G138" s="27"/>
      <c r="H138" s="27">
        <f t="shared" si="2"/>
        <v>0</v>
      </c>
    </row>
    <row r="139" spans="1:8">
      <c r="A139" s="30"/>
      <c r="G139" s="27"/>
      <c r="H139" s="27">
        <f t="shared" si="2"/>
        <v>0</v>
      </c>
    </row>
    <row r="140" spans="1:8">
      <c r="A140" s="30"/>
      <c r="G140" s="27"/>
      <c r="H140" s="27">
        <f t="shared" si="2"/>
        <v>0</v>
      </c>
    </row>
    <row r="141" spans="1:8">
      <c r="A141" s="30"/>
      <c r="G141" s="27"/>
      <c r="H141" s="27">
        <f t="shared" si="2"/>
        <v>0</v>
      </c>
    </row>
    <row r="142" spans="1:8">
      <c r="A142" s="30"/>
      <c r="G142" s="27"/>
      <c r="H142" s="27">
        <f t="shared" si="2"/>
        <v>0</v>
      </c>
    </row>
    <row r="143" spans="1:8">
      <c r="A143" s="30"/>
      <c r="G143" s="27"/>
      <c r="H143" s="27">
        <f t="shared" si="2"/>
        <v>0</v>
      </c>
    </row>
    <row r="144" spans="1:8">
      <c r="A144" s="30"/>
      <c r="G144" s="27"/>
      <c r="H144" s="27">
        <f t="shared" si="2"/>
        <v>0</v>
      </c>
    </row>
    <row r="145" spans="1:8">
      <c r="A145" s="30"/>
      <c r="G145" s="27"/>
      <c r="H145" s="27">
        <f t="shared" si="2"/>
        <v>0</v>
      </c>
    </row>
    <row r="146" spans="1:8">
      <c r="A146" s="30"/>
      <c r="G146" s="27"/>
      <c r="H146" s="27">
        <f t="shared" si="2"/>
        <v>0</v>
      </c>
    </row>
    <row r="147" spans="1:8">
      <c r="A147" s="30"/>
      <c r="G147" s="27"/>
      <c r="H147" s="27">
        <f t="shared" si="2"/>
        <v>0</v>
      </c>
    </row>
    <row r="148" spans="1:8">
      <c r="A148" s="30"/>
      <c r="G148" s="27"/>
      <c r="H148" s="27">
        <f t="shared" si="2"/>
        <v>0</v>
      </c>
    </row>
    <row r="149" spans="1:8">
      <c r="A149" s="30"/>
      <c r="G149" s="27"/>
      <c r="H149" s="27">
        <f t="shared" si="2"/>
        <v>0</v>
      </c>
    </row>
    <row r="150" spans="1:8">
      <c r="A150" s="30"/>
      <c r="G150" s="27"/>
      <c r="H150" s="27">
        <f t="shared" si="2"/>
        <v>0</v>
      </c>
    </row>
    <row r="151" spans="1:8">
      <c r="A151" s="30"/>
      <c r="G151" s="27"/>
      <c r="H151" s="27">
        <f t="shared" si="2"/>
        <v>0</v>
      </c>
    </row>
    <row r="152" spans="1:8">
      <c r="A152" s="30"/>
      <c r="G152" s="27"/>
      <c r="H152" s="27">
        <f t="shared" si="2"/>
        <v>0</v>
      </c>
    </row>
    <row r="153" spans="1:8">
      <c r="A153" s="30"/>
      <c r="G153" s="27"/>
      <c r="H153" s="27">
        <f t="shared" si="2"/>
        <v>0</v>
      </c>
    </row>
    <row r="154" spans="1:8">
      <c r="A154" s="30"/>
      <c r="G154" s="27"/>
      <c r="H154" s="27">
        <f t="shared" si="2"/>
        <v>0</v>
      </c>
    </row>
    <row r="155" spans="1:8">
      <c r="A155" s="30"/>
      <c r="G155" s="27"/>
      <c r="H155" s="27">
        <f t="shared" si="2"/>
        <v>0</v>
      </c>
    </row>
    <row r="156" spans="1:8">
      <c r="A156" s="30"/>
      <c r="G156" s="27"/>
      <c r="H156" s="27">
        <f t="shared" si="2"/>
        <v>0</v>
      </c>
    </row>
    <row r="157" spans="1:8">
      <c r="A157" s="30"/>
      <c r="G157" s="27"/>
      <c r="H157" s="27">
        <f t="shared" si="2"/>
        <v>0</v>
      </c>
    </row>
    <row r="158" spans="1:8">
      <c r="A158" s="30"/>
      <c r="G158" s="27"/>
      <c r="H158" s="27">
        <f t="shared" si="2"/>
        <v>0</v>
      </c>
    </row>
    <row r="159" spans="1:8">
      <c r="A159" s="30"/>
      <c r="G159" s="27"/>
      <c r="H159" s="27">
        <f t="shared" si="2"/>
        <v>0</v>
      </c>
    </row>
    <row r="160" spans="1:8">
      <c r="A160" s="30"/>
      <c r="G160" s="27"/>
      <c r="H160" s="27">
        <f t="shared" si="2"/>
        <v>0</v>
      </c>
    </row>
    <row r="161" spans="1:8">
      <c r="A161" s="30"/>
      <c r="G161" s="27"/>
      <c r="H161" s="27">
        <f t="shared" si="2"/>
        <v>0</v>
      </c>
    </row>
    <row r="162" spans="1:8">
      <c r="A162" s="30"/>
      <c r="G162" s="27"/>
      <c r="H162" s="27">
        <f t="shared" si="2"/>
        <v>0</v>
      </c>
    </row>
    <row r="163" spans="1:8">
      <c r="A163" s="30"/>
      <c r="G163" s="27"/>
      <c r="H163" s="27">
        <f t="shared" si="2"/>
        <v>0</v>
      </c>
    </row>
    <row r="164" spans="1:8">
      <c r="A164" s="30"/>
      <c r="G164" s="27"/>
      <c r="H164" s="27">
        <f t="shared" si="2"/>
        <v>0</v>
      </c>
    </row>
    <row r="165" spans="1:8">
      <c r="A165" s="30"/>
      <c r="G165" s="27"/>
      <c r="H165" s="27">
        <f t="shared" si="2"/>
        <v>0</v>
      </c>
    </row>
    <row r="166" spans="1:8">
      <c r="A166" s="30"/>
      <c r="G166" s="27"/>
      <c r="H166" s="27">
        <f t="shared" si="2"/>
        <v>0</v>
      </c>
    </row>
    <row r="167" spans="1:8">
      <c r="A167" s="30"/>
      <c r="G167" s="27"/>
      <c r="H167" s="27">
        <f t="shared" si="2"/>
        <v>0</v>
      </c>
    </row>
    <row r="168" spans="1:8">
      <c r="A168" s="30"/>
      <c r="G168" s="27"/>
      <c r="H168" s="27">
        <f t="shared" si="2"/>
        <v>0</v>
      </c>
    </row>
    <row r="169" spans="1:8">
      <c r="A169" s="30"/>
      <c r="G169" s="27"/>
      <c r="H169" s="27">
        <f t="shared" si="2"/>
        <v>0</v>
      </c>
    </row>
    <row r="170" spans="1:8">
      <c r="A170" s="30"/>
      <c r="G170" s="27"/>
      <c r="H170" s="27">
        <f t="shared" si="2"/>
        <v>0</v>
      </c>
    </row>
    <row r="171" spans="1:8">
      <c r="A171" s="30"/>
      <c r="G171" s="27"/>
      <c r="H171" s="27">
        <f t="shared" si="2"/>
        <v>0</v>
      </c>
    </row>
    <row r="172" spans="1:8">
      <c r="A172" s="30"/>
      <c r="G172" s="27"/>
      <c r="H172" s="27">
        <f t="shared" si="2"/>
        <v>0</v>
      </c>
    </row>
    <row r="173" spans="1:8">
      <c r="A173" s="30"/>
      <c r="G173" s="27"/>
      <c r="H173" s="27">
        <f t="shared" si="2"/>
        <v>0</v>
      </c>
    </row>
    <row r="174" spans="1:8">
      <c r="A174" s="30"/>
      <c r="G174" s="27"/>
      <c r="H174" s="27">
        <f t="shared" si="2"/>
        <v>0</v>
      </c>
    </row>
    <row r="175" spans="1:8">
      <c r="A175" s="30"/>
      <c r="G175" s="27"/>
      <c r="H175" s="27">
        <f t="shared" si="2"/>
        <v>0</v>
      </c>
    </row>
    <row r="176" spans="1:8">
      <c r="A176" s="30"/>
      <c r="G176" s="27"/>
      <c r="H176" s="27">
        <f t="shared" si="2"/>
        <v>0</v>
      </c>
    </row>
    <row r="177" spans="1:8">
      <c r="A177" s="30"/>
      <c r="G177" s="27"/>
      <c r="H177" s="27">
        <f t="shared" si="2"/>
        <v>0</v>
      </c>
    </row>
    <row r="178" spans="1:8">
      <c r="A178" s="30"/>
      <c r="G178" s="27"/>
      <c r="H178" s="27">
        <f t="shared" si="2"/>
        <v>0</v>
      </c>
    </row>
    <row r="179" spans="1:8">
      <c r="A179" s="30"/>
      <c r="G179" s="27"/>
      <c r="H179" s="27">
        <f t="shared" si="2"/>
        <v>0</v>
      </c>
    </row>
    <row r="180" spans="1:8">
      <c r="A180" s="30"/>
      <c r="G180" s="27"/>
      <c r="H180" s="27">
        <f t="shared" si="2"/>
        <v>0</v>
      </c>
    </row>
    <row r="181" spans="1:8">
      <c r="A181" s="30"/>
      <c r="G181" s="27"/>
      <c r="H181" s="27">
        <f t="shared" si="2"/>
        <v>0</v>
      </c>
    </row>
    <row r="182" spans="1:8">
      <c r="A182" s="30"/>
      <c r="G182" s="27"/>
      <c r="H182" s="27">
        <f t="shared" si="2"/>
        <v>0</v>
      </c>
    </row>
    <row r="183" spans="1:8">
      <c r="A183" s="30"/>
      <c r="G183" s="27"/>
      <c r="H183" s="27">
        <f t="shared" si="2"/>
        <v>0</v>
      </c>
    </row>
    <row r="184" spans="1:8">
      <c r="A184" s="30"/>
      <c r="G184" s="27"/>
      <c r="H184" s="27">
        <f t="shared" si="2"/>
        <v>0</v>
      </c>
    </row>
    <row r="185" spans="1:8">
      <c r="A185" s="30"/>
      <c r="G185" s="27"/>
      <c r="H185" s="27">
        <f t="shared" si="2"/>
        <v>0</v>
      </c>
    </row>
    <row r="186" spans="1:8">
      <c r="A186" s="30"/>
      <c r="G186" s="27"/>
      <c r="H186" s="27">
        <f t="shared" si="2"/>
        <v>0</v>
      </c>
    </row>
    <row r="187" spans="1:8">
      <c r="A187" s="30"/>
      <c r="G187" s="27"/>
      <c r="H187" s="27">
        <f t="shared" si="2"/>
        <v>0</v>
      </c>
    </row>
    <row r="188" spans="1:8">
      <c r="A188" s="30"/>
      <c r="G188" s="27"/>
      <c r="H188" s="27">
        <f t="shared" si="2"/>
        <v>0</v>
      </c>
    </row>
    <row r="189" spans="1:8">
      <c r="A189" s="30"/>
      <c r="G189" s="27"/>
      <c r="H189" s="27">
        <f t="shared" si="2"/>
        <v>0</v>
      </c>
    </row>
    <row r="190" spans="1:8">
      <c r="A190" s="30"/>
      <c r="G190" s="27"/>
      <c r="H190" s="27">
        <f t="shared" si="2"/>
        <v>0</v>
      </c>
    </row>
    <row r="191" spans="1:8">
      <c r="A191" s="30"/>
      <c r="G191" s="27"/>
      <c r="H191" s="27">
        <f t="shared" si="2"/>
        <v>0</v>
      </c>
    </row>
    <row r="192" spans="1:8">
      <c r="A192" s="30"/>
      <c r="G192" s="27"/>
      <c r="H192" s="27">
        <f t="shared" si="2"/>
        <v>0</v>
      </c>
    </row>
    <row r="193" spans="1:8">
      <c r="A193" s="30"/>
      <c r="G193" s="27"/>
      <c r="H193" s="27">
        <f t="shared" si="2"/>
        <v>0</v>
      </c>
    </row>
    <row r="194" spans="1:8">
      <c r="A194" s="30"/>
      <c r="G194" s="27"/>
      <c r="H194" s="27">
        <f t="shared" ref="H194:H257" si="3">IF(OR(B194="Opening Float",B194="Cash Top-up",B194="Adjustment In"),G194,IF(OR(B194="Expense Paid",B194="Cash Returned",B194="Adjustment Out"),-G194,0))</f>
        <v>0</v>
      </c>
    </row>
    <row r="195" spans="1:8">
      <c r="A195" s="30"/>
      <c r="G195" s="27"/>
      <c r="H195" s="27">
        <f t="shared" si="3"/>
        <v>0</v>
      </c>
    </row>
    <row r="196" spans="1:8">
      <c r="A196" s="30"/>
      <c r="G196" s="27"/>
      <c r="H196" s="27">
        <f t="shared" si="3"/>
        <v>0</v>
      </c>
    </row>
    <row r="197" spans="1:8">
      <c r="A197" s="30"/>
      <c r="G197" s="27"/>
      <c r="H197" s="27">
        <f t="shared" si="3"/>
        <v>0</v>
      </c>
    </row>
    <row r="198" spans="1:8">
      <c r="A198" s="30"/>
      <c r="G198" s="27"/>
      <c r="H198" s="27">
        <f t="shared" si="3"/>
        <v>0</v>
      </c>
    </row>
    <row r="199" spans="1:8">
      <c r="A199" s="30"/>
      <c r="G199" s="27"/>
      <c r="H199" s="27">
        <f t="shared" si="3"/>
        <v>0</v>
      </c>
    </row>
    <row r="200" spans="1:8">
      <c r="A200" s="30"/>
      <c r="G200" s="27"/>
      <c r="H200" s="27">
        <f t="shared" si="3"/>
        <v>0</v>
      </c>
    </row>
    <row r="201" spans="1:8">
      <c r="A201" s="30"/>
      <c r="G201" s="27"/>
      <c r="H201" s="27">
        <f t="shared" si="3"/>
        <v>0</v>
      </c>
    </row>
    <row r="202" spans="1:8">
      <c r="A202" s="30"/>
      <c r="G202" s="27"/>
      <c r="H202" s="27">
        <f t="shared" si="3"/>
        <v>0</v>
      </c>
    </row>
    <row r="203" spans="1:8">
      <c r="A203" s="30"/>
      <c r="G203" s="27"/>
      <c r="H203" s="27">
        <f t="shared" si="3"/>
        <v>0</v>
      </c>
    </row>
    <row r="204" spans="1:8">
      <c r="A204" s="30"/>
      <c r="G204" s="27"/>
      <c r="H204" s="27">
        <f t="shared" si="3"/>
        <v>0</v>
      </c>
    </row>
    <row r="205" spans="1:8">
      <c r="A205" s="30"/>
      <c r="G205" s="27"/>
      <c r="H205" s="27">
        <f t="shared" si="3"/>
        <v>0</v>
      </c>
    </row>
    <row r="206" spans="1:8">
      <c r="A206" s="30"/>
      <c r="G206" s="27"/>
      <c r="H206" s="27">
        <f t="shared" si="3"/>
        <v>0</v>
      </c>
    </row>
    <row r="207" spans="1:8">
      <c r="A207" s="30"/>
      <c r="G207" s="27"/>
      <c r="H207" s="27">
        <f t="shared" si="3"/>
        <v>0</v>
      </c>
    </row>
    <row r="208" spans="1:8">
      <c r="A208" s="30"/>
      <c r="G208" s="27"/>
      <c r="H208" s="27">
        <f t="shared" si="3"/>
        <v>0</v>
      </c>
    </row>
    <row r="209" spans="1:8">
      <c r="A209" s="30"/>
      <c r="G209" s="27"/>
      <c r="H209" s="27">
        <f t="shared" si="3"/>
        <v>0</v>
      </c>
    </row>
    <row r="210" spans="1:8">
      <c r="A210" s="30"/>
      <c r="G210" s="27"/>
      <c r="H210" s="27">
        <f t="shared" si="3"/>
        <v>0</v>
      </c>
    </row>
    <row r="211" spans="1:8">
      <c r="A211" s="30"/>
      <c r="G211" s="27"/>
      <c r="H211" s="27">
        <f t="shared" si="3"/>
        <v>0</v>
      </c>
    </row>
    <row r="212" spans="1:8">
      <c r="A212" s="30"/>
      <c r="G212" s="27"/>
      <c r="H212" s="27">
        <f t="shared" si="3"/>
        <v>0</v>
      </c>
    </row>
    <row r="213" spans="1:8">
      <c r="A213" s="30"/>
      <c r="G213" s="27"/>
      <c r="H213" s="27">
        <f t="shared" si="3"/>
        <v>0</v>
      </c>
    </row>
    <row r="214" spans="1:8">
      <c r="A214" s="30"/>
      <c r="G214" s="27"/>
      <c r="H214" s="27">
        <f t="shared" si="3"/>
        <v>0</v>
      </c>
    </row>
    <row r="215" spans="1:8">
      <c r="A215" s="30"/>
      <c r="G215" s="27"/>
      <c r="H215" s="27">
        <f t="shared" si="3"/>
        <v>0</v>
      </c>
    </row>
    <row r="216" spans="1:8">
      <c r="A216" s="30"/>
      <c r="G216" s="27"/>
      <c r="H216" s="27">
        <f t="shared" si="3"/>
        <v>0</v>
      </c>
    </row>
    <row r="217" spans="1:8">
      <c r="A217" s="30"/>
      <c r="G217" s="27"/>
      <c r="H217" s="27">
        <f t="shared" si="3"/>
        <v>0</v>
      </c>
    </row>
    <row r="218" spans="1:8">
      <c r="A218" s="30"/>
      <c r="G218" s="27"/>
      <c r="H218" s="27">
        <f t="shared" si="3"/>
        <v>0</v>
      </c>
    </row>
    <row r="219" spans="1:8">
      <c r="A219" s="30"/>
      <c r="G219" s="27"/>
      <c r="H219" s="27">
        <f t="shared" si="3"/>
        <v>0</v>
      </c>
    </row>
    <row r="220" spans="1:8">
      <c r="A220" s="30"/>
      <c r="G220" s="27"/>
      <c r="H220" s="27">
        <f t="shared" si="3"/>
        <v>0</v>
      </c>
    </row>
    <row r="221" spans="1:8">
      <c r="A221" s="30"/>
      <c r="G221" s="27"/>
      <c r="H221" s="27">
        <f t="shared" si="3"/>
        <v>0</v>
      </c>
    </row>
    <row r="222" spans="1:8">
      <c r="A222" s="30"/>
      <c r="G222" s="27"/>
      <c r="H222" s="27">
        <f t="shared" si="3"/>
        <v>0</v>
      </c>
    </row>
    <row r="223" spans="1:8">
      <c r="A223" s="30"/>
      <c r="G223" s="27"/>
      <c r="H223" s="27">
        <f t="shared" si="3"/>
        <v>0</v>
      </c>
    </row>
    <row r="224" spans="1:8">
      <c r="A224" s="30"/>
      <c r="G224" s="27"/>
      <c r="H224" s="27">
        <f t="shared" si="3"/>
        <v>0</v>
      </c>
    </row>
    <row r="225" spans="1:8">
      <c r="A225" s="30"/>
      <c r="G225" s="27"/>
      <c r="H225" s="27">
        <f t="shared" si="3"/>
        <v>0</v>
      </c>
    </row>
    <row r="226" spans="1:8">
      <c r="A226" s="30"/>
      <c r="G226" s="27"/>
      <c r="H226" s="27">
        <f t="shared" si="3"/>
        <v>0</v>
      </c>
    </row>
    <row r="227" spans="1:8">
      <c r="A227" s="30"/>
      <c r="G227" s="27"/>
      <c r="H227" s="27">
        <f t="shared" si="3"/>
        <v>0</v>
      </c>
    </row>
    <row r="228" spans="1:8">
      <c r="A228" s="30"/>
      <c r="G228" s="27"/>
      <c r="H228" s="27">
        <f t="shared" si="3"/>
        <v>0</v>
      </c>
    </row>
    <row r="229" spans="1:8">
      <c r="A229" s="30"/>
      <c r="G229" s="27"/>
      <c r="H229" s="27">
        <f t="shared" si="3"/>
        <v>0</v>
      </c>
    </row>
    <row r="230" spans="1:8">
      <c r="A230" s="30"/>
      <c r="G230" s="27"/>
      <c r="H230" s="27">
        <f t="shared" si="3"/>
        <v>0</v>
      </c>
    </row>
    <row r="231" spans="1:8">
      <c r="A231" s="30"/>
      <c r="G231" s="27"/>
      <c r="H231" s="27">
        <f t="shared" si="3"/>
        <v>0</v>
      </c>
    </row>
    <row r="232" spans="1:8">
      <c r="A232" s="30"/>
      <c r="G232" s="27"/>
      <c r="H232" s="27">
        <f t="shared" si="3"/>
        <v>0</v>
      </c>
    </row>
    <row r="233" spans="1:8">
      <c r="A233" s="30"/>
      <c r="G233" s="27"/>
      <c r="H233" s="27">
        <f t="shared" si="3"/>
        <v>0</v>
      </c>
    </row>
    <row r="234" spans="1:8">
      <c r="A234" s="30"/>
      <c r="G234" s="27"/>
      <c r="H234" s="27">
        <f t="shared" si="3"/>
        <v>0</v>
      </c>
    </row>
    <row r="235" spans="1:8">
      <c r="A235" s="30"/>
      <c r="G235" s="27"/>
      <c r="H235" s="27">
        <f t="shared" si="3"/>
        <v>0</v>
      </c>
    </row>
    <row r="236" spans="1:8">
      <c r="A236" s="30"/>
      <c r="G236" s="27"/>
      <c r="H236" s="27">
        <f t="shared" si="3"/>
        <v>0</v>
      </c>
    </row>
    <row r="237" spans="1:8">
      <c r="A237" s="30"/>
      <c r="G237" s="27"/>
      <c r="H237" s="27">
        <f t="shared" si="3"/>
        <v>0</v>
      </c>
    </row>
    <row r="238" spans="1:8">
      <c r="A238" s="30"/>
      <c r="G238" s="27"/>
      <c r="H238" s="27">
        <f t="shared" si="3"/>
        <v>0</v>
      </c>
    </row>
    <row r="239" spans="1:8">
      <c r="A239" s="30"/>
      <c r="G239" s="27"/>
      <c r="H239" s="27">
        <f t="shared" si="3"/>
        <v>0</v>
      </c>
    </row>
    <row r="240" spans="1:8">
      <c r="A240" s="30"/>
      <c r="G240" s="27"/>
      <c r="H240" s="27">
        <f t="shared" si="3"/>
        <v>0</v>
      </c>
    </row>
    <row r="241" spans="1:8">
      <c r="A241" s="30"/>
      <c r="G241" s="27"/>
      <c r="H241" s="27">
        <f t="shared" si="3"/>
        <v>0</v>
      </c>
    </row>
    <row r="242" spans="1:8">
      <c r="A242" s="30"/>
      <c r="G242" s="27"/>
      <c r="H242" s="27">
        <f t="shared" si="3"/>
        <v>0</v>
      </c>
    </row>
    <row r="243" spans="1:8">
      <c r="A243" s="30"/>
      <c r="G243" s="27"/>
      <c r="H243" s="27">
        <f t="shared" si="3"/>
        <v>0</v>
      </c>
    </row>
    <row r="244" spans="1:8">
      <c r="A244" s="30"/>
      <c r="G244" s="27"/>
      <c r="H244" s="27">
        <f t="shared" si="3"/>
        <v>0</v>
      </c>
    </row>
    <row r="245" spans="1:8">
      <c r="A245" s="30"/>
      <c r="G245" s="27"/>
      <c r="H245" s="27">
        <f t="shared" si="3"/>
        <v>0</v>
      </c>
    </row>
    <row r="246" spans="1:8">
      <c r="A246" s="30"/>
      <c r="G246" s="27"/>
      <c r="H246" s="27">
        <f t="shared" si="3"/>
        <v>0</v>
      </c>
    </row>
    <row r="247" spans="1:8">
      <c r="A247" s="30"/>
      <c r="G247" s="27"/>
      <c r="H247" s="27">
        <f t="shared" si="3"/>
        <v>0</v>
      </c>
    </row>
    <row r="248" spans="1:8">
      <c r="A248" s="30"/>
      <c r="G248" s="27"/>
      <c r="H248" s="27">
        <f t="shared" si="3"/>
        <v>0</v>
      </c>
    </row>
    <row r="249" spans="1:8">
      <c r="A249" s="30"/>
      <c r="G249" s="27"/>
      <c r="H249" s="27">
        <f t="shared" si="3"/>
        <v>0</v>
      </c>
    </row>
    <row r="250" spans="1:8">
      <c r="A250" s="30"/>
      <c r="G250" s="27"/>
      <c r="H250" s="27">
        <f t="shared" si="3"/>
        <v>0</v>
      </c>
    </row>
    <row r="251" spans="1:8">
      <c r="A251" s="30"/>
      <c r="G251" s="27"/>
      <c r="H251" s="27">
        <f t="shared" si="3"/>
        <v>0</v>
      </c>
    </row>
    <row r="252" spans="1:8">
      <c r="A252" s="30"/>
      <c r="G252" s="27"/>
      <c r="H252" s="27">
        <f t="shared" si="3"/>
        <v>0</v>
      </c>
    </row>
    <row r="253" spans="1:8">
      <c r="A253" s="30"/>
      <c r="G253" s="27"/>
      <c r="H253" s="27">
        <f t="shared" si="3"/>
        <v>0</v>
      </c>
    </row>
    <row r="254" spans="1:8">
      <c r="A254" s="30"/>
      <c r="G254" s="27"/>
      <c r="H254" s="27">
        <f t="shared" si="3"/>
        <v>0</v>
      </c>
    </row>
    <row r="255" spans="1:8">
      <c r="A255" s="30"/>
      <c r="G255" s="27"/>
      <c r="H255" s="27">
        <f t="shared" si="3"/>
        <v>0</v>
      </c>
    </row>
    <row r="256" spans="1:8">
      <c r="A256" s="30"/>
      <c r="G256" s="27"/>
      <c r="H256" s="27">
        <f t="shared" si="3"/>
        <v>0</v>
      </c>
    </row>
    <row r="257" spans="1:8">
      <c r="A257" s="30"/>
      <c r="G257" s="27"/>
      <c r="H257" s="27">
        <f t="shared" si="3"/>
        <v>0</v>
      </c>
    </row>
    <row r="258" spans="1:8">
      <c r="A258" s="30"/>
      <c r="G258" s="27"/>
      <c r="H258" s="27">
        <f t="shared" ref="H258:H300" si="4">IF(OR(B258="Opening Float",B258="Cash Top-up",B258="Adjustment In"),G258,IF(OR(B258="Expense Paid",B258="Cash Returned",B258="Adjustment Out"),-G258,0))</f>
        <v>0</v>
      </c>
    </row>
    <row r="259" spans="1:8">
      <c r="A259" s="30"/>
      <c r="G259" s="27"/>
      <c r="H259" s="27">
        <f t="shared" si="4"/>
        <v>0</v>
      </c>
    </row>
    <row r="260" spans="1:8">
      <c r="A260" s="30"/>
      <c r="G260" s="27"/>
      <c r="H260" s="27">
        <f t="shared" si="4"/>
        <v>0</v>
      </c>
    </row>
    <row r="261" spans="1:8">
      <c r="A261" s="30"/>
      <c r="G261" s="27"/>
      <c r="H261" s="27">
        <f t="shared" si="4"/>
        <v>0</v>
      </c>
    </row>
    <row r="262" spans="1:8">
      <c r="A262" s="30"/>
      <c r="G262" s="27"/>
      <c r="H262" s="27">
        <f t="shared" si="4"/>
        <v>0</v>
      </c>
    </row>
    <row r="263" spans="1:8">
      <c r="A263" s="30"/>
      <c r="G263" s="27"/>
      <c r="H263" s="27">
        <f t="shared" si="4"/>
        <v>0</v>
      </c>
    </row>
    <row r="264" spans="1:8">
      <c r="A264" s="30"/>
      <c r="G264" s="27"/>
      <c r="H264" s="27">
        <f t="shared" si="4"/>
        <v>0</v>
      </c>
    </row>
    <row r="265" spans="1:8">
      <c r="A265" s="30"/>
      <c r="G265" s="27"/>
      <c r="H265" s="27">
        <f t="shared" si="4"/>
        <v>0</v>
      </c>
    </row>
    <row r="266" spans="1:8">
      <c r="A266" s="30"/>
      <c r="G266" s="27"/>
      <c r="H266" s="27">
        <f t="shared" si="4"/>
        <v>0</v>
      </c>
    </row>
    <row r="267" spans="1:8">
      <c r="A267" s="30"/>
      <c r="G267" s="27"/>
      <c r="H267" s="27">
        <f t="shared" si="4"/>
        <v>0</v>
      </c>
    </row>
    <row r="268" spans="1:8">
      <c r="A268" s="30"/>
      <c r="G268" s="27"/>
      <c r="H268" s="27">
        <f t="shared" si="4"/>
        <v>0</v>
      </c>
    </row>
    <row r="269" spans="1:8">
      <c r="A269" s="30"/>
      <c r="G269" s="27"/>
      <c r="H269" s="27">
        <f t="shared" si="4"/>
        <v>0</v>
      </c>
    </row>
    <row r="270" spans="1:8">
      <c r="A270" s="30"/>
      <c r="G270" s="27"/>
      <c r="H270" s="27">
        <f t="shared" si="4"/>
        <v>0</v>
      </c>
    </row>
    <row r="271" spans="1:8">
      <c r="A271" s="30"/>
      <c r="G271" s="27"/>
      <c r="H271" s="27">
        <f t="shared" si="4"/>
        <v>0</v>
      </c>
    </row>
    <row r="272" spans="1:8">
      <c r="A272" s="30"/>
      <c r="G272" s="27"/>
      <c r="H272" s="27">
        <f t="shared" si="4"/>
        <v>0</v>
      </c>
    </row>
    <row r="273" spans="1:8">
      <c r="A273" s="30"/>
      <c r="G273" s="27"/>
      <c r="H273" s="27">
        <f t="shared" si="4"/>
        <v>0</v>
      </c>
    </row>
    <row r="274" spans="1:8">
      <c r="A274" s="30"/>
      <c r="G274" s="27"/>
      <c r="H274" s="27">
        <f t="shared" si="4"/>
        <v>0</v>
      </c>
    </row>
    <row r="275" spans="1:8">
      <c r="A275" s="30"/>
      <c r="G275" s="27"/>
      <c r="H275" s="27">
        <f t="shared" si="4"/>
        <v>0</v>
      </c>
    </row>
    <row r="276" spans="1:8">
      <c r="A276" s="30"/>
      <c r="G276" s="27"/>
      <c r="H276" s="27">
        <f t="shared" si="4"/>
        <v>0</v>
      </c>
    </row>
    <row r="277" spans="1:8">
      <c r="A277" s="30"/>
      <c r="G277" s="27"/>
      <c r="H277" s="27">
        <f t="shared" si="4"/>
        <v>0</v>
      </c>
    </row>
    <row r="278" spans="1:8">
      <c r="A278" s="30"/>
      <c r="G278" s="27"/>
      <c r="H278" s="27">
        <f t="shared" si="4"/>
        <v>0</v>
      </c>
    </row>
    <row r="279" spans="1:8">
      <c r="A279" s="30"/>
      <c r="G279" s="27"/>
      <c r="H279" s="27">
        <f t="shared" si="4"/>
        <v>0</v>
      </c>
    </row>
    <row r="280" spans="1:8">
      <c r="A280" s="30"/>
      <c r="G280" s="27"/>
      <c r="H280" s="27">
        <f t="shared" si="4"/>
        <v>0</v>
      </c>
    </row>
    <row r="281" spans="1:8">
      <c r="A281" s="30"/>
      <c r="G281" s="27"/>
      <c r="H281" s="27">
        <f t="shared" si="4"/>
        <v>0</v>
      </c>
    </row>
    <row r="282" spans="1:8">
      <c r="A282" s="30"/>
      <c r="G282" s="27"/>
      <c r="H282" s="27">
        <f t="shared" si="4"/>
        <v>0</v>
      </c>
    </row>
    <row r="283" spans="1:8">
      <c r="A283" s="30"/>
      <c r="G283" s="27"/>
      <c r="H283" s="27">
        <f t="shared" si="4"/>
        <v>0</v>
      </c>
    </row>
    <row r="284" spans="1:8">
      <c r="A284" s="30"/>
      <c r="G284" s="27"/>
      <c r="H284" s="27">
        <f t="shared" si="4"/>
        <v>0</v>
      </c>
    </row>
    <row r="285" spans="1:8">
      <c r="A285" s="30"/>
      <c r="G285" s="27"/>
      <c r="H285" s="27">
        <f t="shared" si="4"/>
        <v>0</v>
      </c>
    </row>
    <row r="286" spans="1:8">
      <c r="A286" s="30"/>
      <c r="G286" s="27"/>
      <c r="H286" s="27">
        <f t="shared" si="4"/>
        <v>0</v>
      </c>
    </row>
    <row r="287" spans="1:8">
      <c r="A287" s="30"/>
      <c r="G287" s="27"/>
      <c r="H287" s="27">
        <f t="shared" si="4"/>
        <v>0</v>
      </c>
    </row>
    <row r="288" spans="1:8">
      <c r="A288" s="30"/>
      <c r="G288" s="27"/>
      <c r="H288" s="27">
        <f t="shared" si="4"/>
        <v>0</v>
      </c>
    </row>
    <row r="289" spans="1:8">
      <c r="A289" s="30"/>
      <c r="G289" s="27"/>
      <c r="H289" s="27">
        <f t="shared" si="4"/>
        <v>0</v>
      </c>
    </row>
    <row r="290" spans="1:8">
      <c r="A290" s="30"/>
      <c r="G290" s="27"/>
      <c r="H290" s="27">
        <f t="shared" si="4"/>
        <v>0</v>
      </c>
    </row>
    <row r="291" spans="1:8">
      <c r="A291" s="30"/>
      <c r="G291" s="27"/>
      <c r="H291" s="27">
        <f t="shared" si="4"/>
        <v>0</v>
      </c>
    </row>
    <row r="292" spans="1:8">
      <c r="A292" s="30"/>
      <c r="G292" s="27"/>
      <c r="H292" s="27">
        <f t="shared" si="4"/>
        <v>0</v>
      </c>
    </row>
    <row r="293" spans="1:8">
      <c r="A293" s="30"/>
      <c r="G293" s="27"/>
      <c r="H293" s="27">
        <f t="shared" si="4"/>
        <v>0</v>
      </c>
    </row>
    <row r="294" spans="1:8">
      <c r="A294" s="30"/>
      <c r="G294" s="27"/>
      <c r="H294" s="27">
        <f t="shared" si="4"/>
        <v>0</v>
      </c>
    </row>
    <row r="295" spans="1:8">
      <c r="A295" s="30"/>
      <c r="G295" s="27"/>
      <c r="H295" s="27">
        <f t="shared" si="4"/>
        <v>0</v>
      </c>
    </row>
    <row r="296" spans="1:8">
      <c r="A296" s="30"/>
      <c r="G296" s="27"/>
      <c r="H296" s="27">
        <f t="shared" si="4"/>
        <v>0</v>
      </c>
    </row>
    <row r="297" spans="1:8">
      <c r="A297" s="30"/>
      <c r="G297" s="27"/>
      <c r="H297" s="27">
        <f t="shared" si="4"/>
        <v>0</v>
      </c>
    </row>
    <row r="298" spans="1:8">
      <c r="A298" s="30"/>
      <c r="G298" s="27"/>
      <c r="H298" s="27">
        <f t="shared" si="4"/>
        <v>0</v>
      </c>
    </row>
    <row r="299" spans="1:8">
      <c r="A299" s="30"/>
      <c r="G299" s="27"/>
      <c r="H299" s="27">
        <f t="shared" si="4"/>
        <v>0</v>
      </c>
    </row>
    <row r="300" spans="1:8">
      <c r="A300" s="30"/>
      <c r="G300" s="27"/>
      <c r="H300" s="27">
        <f t="shared" si="4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Lists!$F$2:$F$7</xm:f>
          </x14:formula1>
          <xm:sqref>B2:B300</xm:sqref>
        </x14:dataValidation>
        <x14:dataValidation type="list" xr:uid="{00000000-0002-0000-0500-000001000000}">
          <x14:formula1>
            <xm:f>Lists!$A$2:$A$9</xm:f>
          </x14:formula1>
          <xm:sqref>C2:C300</xm:sqref>
        </x14:dataValidation>
        <x14:dataValidation type="list" xr:uid="{00000000-0002-0000-0500-000002000000}">
          <x14:formula1>
            <xm:f>Lists!$B$2:$B$46</xm:f>
          </x14:formula1>
          <xm:sqref>D2:D300</xm:sqref>
        </x14:dataValidation>
        <x14:dataValidation type="list" xr:uid="{00000000-0002-0000-0500-000003000000}">
          <x14:formula1>
            <xm:f>Lists!$D$2:$D$4</xm:f>
          </x14:formula1>
          <xm:sqref>F2:F300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0"/>
  <sheetViews>
    <sheetView workbookViewId="0">
      <selection activeCell="H16" sqref="H16"/>
    </sheetView>
  </sheetViews>
  <sheetFormatPr baseColWidth="10" defaultColWidth="8.83203125" defaultRowHeight="14"/>
  <cols>
    <col min="1" max="1" width="13.83203125" bestFit="1" customWidth="1"/>
    <col min="2" max="2" width="27" bestFit="1" customWidth="1"/>
    <col min="3" max="3" width="21.5" bestFit="1" customWidth="1"/>
    <col min="4" max="4" width="6.33203125" bestFit="1" customWidth="1"/>
  </cols>
  <sheetData>
    <row r="1" spans="1:4" ht="15">
      <c r="A1" s="1" t="s">
        <v>36</v>
      </c>
      <c r="B1" s="1" t="s">
        <v>28</v>
      </c>
      <c r="C1" s="1" t="s">
        <v>37</v>
      </c>
      <c r="D1" s="1" t="s">
        <v>35</v>
      </c>
    </row>
    <row r="2" spans="1:4">
      <c r="A2" s="29">
        <v>46174</v>
      </c>
      <c r="B2" t="s">
        <v>8</v>
      </c>
      <c r="C2" s="27">
        <v>1000</v>
      </c>
    </row>
    <row r="3" spans="1:4">
      <c r="A3" s="29">
        <v>46174</v>
      </c>
      <c r="B3" t="s">
        <v>18</v>
      </c>
      <c r="C3" s="27">
        <v>1000</v>
      </c>
    </row>
    <row r="4" spans="1:4">
      <c r="A4" s="29"/>
      <c r="C4" s="27"/>
    </row>
    <row r="5" spans="1:4">
      <c r="A5" s="29"/>
      <c r="C5" s="27"/>
    </row>
    <row r="6" spans="1:4">
      <c r="A6" s="29"/>
      <c r="C6" s="27"/>
    </row>
    <row r="7" spans="1:4">
      <c r="A7" s="29"/>
      <c r="C7" s="27"/>
    </row>
    <row r="8" spans="1:4">
      <c r="A8" s="29"/>
      <c r="C8" s="27"/>
    </row>
    <row r="9" spans="1:4">
      <c r="A9" s="29"/>
      <c r="C9" s="27"/>
    </row>
    <row r="10" spans="1:4">
      <c r="A10" s="29"/>
      <c r="C10" s="27"/>
    </row>
    <row r="11" spans="1:4">
      <c r="A11" s="29"/>
      <c r="C11" s="27"/>
    </row>
    <row r="12" spans="1:4">
      <c r="A12" s="29"/>
      <c r="C12" s="27"/>
    </row>
    <row r="13" spans="1:4">
      <c r="A13" s="29"/>
      <c r="C13" s="27"/>
    </row>
    <row r="14" spans="1:4">
      <c r="A14" s="29"/>
      <c r="C14" s="27"/>
    </row>
    <row r="15" spans="1:4">
      <c r="A15" s="29"/>
      <c r="C15" s="27"/>
    </row>
    <row r="16" spans="1:4">
      <c r="A16" s="29"/>
      <c r="C16" s="27"/>
    </row>
    <row r="17" spans="1:3">
      <c r="A17" s="29"/>
      <c r="C17" s="27"/>
    </row>
    <row r="18" spans="1:3">
      <c r="A18" s="29"/>
      <c r="C18" s="27"/>
    </row>
    <row r="19" spans="1:3">
      <c r="A19" s="29"/>
      <c r="C19" s="27"/>
    </row>
    <row r="20" spans="1:3">
      <c r="A20" s="29"/>
      <c r="C20" s="27"/>
    </row>
    <row r="21" spans="1:3">
      <c r="A21" s="29"/>
      <c r="C21" s="27"/>
    </row>
    <row r="22" spans="1:3">
      <c r="A22" s="29"/>
      <c r="C22" s="27"/>
    </row>
    <row r="23" spans="1:3">
      <c r="A23" s="29"/>
      <c r="C23" s="27"/>
    </row>
    <row r="24" spans="1:3">
      <c r="A24" s="29"/>
      <c r="C24" s="27"/>
    </row>
    <row r="25" spans="1:3">
      <c r="A25" s="29"/>
      <c r="C25" s="27"/>
    </row>
    <row r="26" spans="1:3">
      <c r="A26" s="29"/>
      <c r="C26" s="27"/>
    </row>
    <row r="27" spans="1:3">
      <c r="A27" s="29"/>
      <c r="C27" s="27"/>
    </row>
    <row r="28" spans="1:3">
      <c r="A28" s="29"/>
      <c r="C28" s="27"/>
    </row>
    <row r="29" spans="1:3">
      <c r="A29" s="29"/>
      <c r="C29" s="27"/>
    </row>
    <row r="30" spans="1:3">
      <c r="A30" s="29"/>
      <c r="C30" s="27"/>
    </row>
    <row r="31" spans="1:3">
      <c r="A31" s="29"/>
      <c r="C31" s="27"/>
    </row>
    <row r="32" spans="1:3">
      <c r="A32" s="29"/>
      <c r="C32" s="27"/>
    </row>
    <row r="33" spans="1:3">
      <c r="A33" s="29"/>
      <c r="C33" s="27"/>
    </row>
    <row r="34" spans="1:3">
      <c r="A34" s="29"/>
      <c r="C34" s="27"/>
    </row>
    <row r="35" spans="1:3">
      <c r="A35" s="29"/>
      <c r="C35" s="27"/>
    </row>
    <row r="36" spans="1:3">
      <c r="A36" s="29"/>
      <c r="C36" s="27"/>
    </row>
    <row r="37" spans="1:3">
      <c r="A37" s="29"/>
      <c r="C37" s="27"/>
    </row>
    <row r="38" spans="1:3">
      <c r="A38" s="29"/>
      <c r="C38" s="27"/>
    </row>
    <row r="39" spans="1:3">
      <c r="A39" s="29"/>
      <c r="C39" s="27"/>
    </row>
    <row r="40" spans="1:3">
      <c r="A40" s="29"/>
      <c r="C40" s="27"/>
    </row>
    <row r="41" spans="1:3">
      <c r="A41" s="29"/>
      <c r="C41" s="27"/>
    </row>
    <row r="42" spans="1:3">
      <c r="A42" s="29"/>
      <c r="C42" s="27"/>
    </row>
    <row r="43" spans="1:3">
      <c r="A43" s="29"/>
      <c r="C43" s="27"/>
    </row>
    <row r="44" spans="1:3">
      <c r="A44" s="29"/>
      <c r="C44" s="27"/>
    </row>
    <row r="45" spans="1:3">
      <c r="A45" s="29"/>
      <c r="C45" s="27"/>
    </row>
    <row r="46" spans="1:3">
      <c r="A46" s="29"/>
      <c r="C46" s="27"/>
    </row>
    <row r="47" spans="1:3">
      <c r="A47" s="29"/>
      <c r="C47" s="27"/>
    </row>
    <row r="48" spans="1:3">
      <c r="A48" s="29"/>
      <c r="C48" s="27"/>
    </row>
    <row r="49" spans="1:3">
      <c r="A49" s="29"/>
      <c r="C49" s="27"/>
    </row>
    <row r="50" spans="1:3">
      <c r="A50" s="29"/>
      <c r="C50" s="27"/>
    </row>
    <row r="51" spans="1:3">
      <c r="A51" s="29"/>
      <c r="C51" s="27"/>
    </row>
    <row r="52" spans="1:3">
      <c r="A52" s="29"/>
      <c r="C52" s="27"/>
    </row>
    <row r="53" spans="1:3">
      <c r="A53" s="29"/>
      <c r="C53" s="27"/>
    </row>
    <row r="54" spans="1:3">
      <c r="A54" s="29"/>
      <c r="C54" s="27"/>
    </row>
    <row r="55" spans="1:3">
      <c r="A55" s="29"/>
      <c r="C55" s="27"/>
    </row>
    <row r="56" spans="1:3">
      <c r="A56" s="29"/>
      <c r="C56" s="27"/>
    </row>
    <row r="57" spans="1:3">
      <c r="A57" s="29"/>
      <c r="C57" s="27"/>
    </row>
    <row r="58" spans="1:3">
      <c r="A58" s="29"/>
      <c r="C58" s="27"/>
    </row>
    <row r="59" spans="1:3">
      <c r="A59" s="29"/>
      <c r="C59" s="27"/>
    </row>
    <row r="60" spans="1:3">
      <c r="A60" s="29"/>
      <c r="C60" s="27"/>
    </row>
    <row r="61" spans="1:3">
      <c r="A61" s="29"/>
      <c r="C61" s="27"/>
    </row>
    <row r="62" spans="1:3">
      <c r="A62" s="29"/>
      <c r="C62" s="27"/>
    </row>
    <row r="63" spans="1:3">
      <c r="A63" s="29"/>
      <c r="C63" s="27"/>
    </row>
    <row r="64" spans="1:3">
      <c r="A64" s="29"/>
      <c r="C64" s="27"/>
    </row>
    <row r="65" spans="1:3">
      <c r="A65" s="29"/>
      <c r="C65" s="27"/>
    </row>
    <row r="66" spans="1:3">
      <c r="A66" s="29"/>
      <c r="C66" s="27"/>
    </row>
    <row r="67" spans="1:3">
      <c r="A67" s="29"/>
      <c r="C67" s="27"/>
    </row>
    <row r="68" spans="1:3">
      <c r="A68" s="29"/>
      <c r="C68" s="27"/>
    </row>
    <row r="69" spans="1:3">
      <c r="A69" s="29"/>
      <c r="C69" s="27"/>
    </row>
    <row r="70" spans="1:3">
      <c r="A70" s="29"/>
      <c r="C70" s="27"/>
    </row>
    <row r="71" spans="1:3">
      <c r="A71" s="29"/>
      <c r="C71" s="27"/>
    </row>
    <row r="72" spans="1:3">
      <c r="A72" s="29"/>
      <c r="C72" s="27"/>
    </row>
    <row r="73" spans="1:3">
      <c r="A73" s="29"/>
      <c r="C73" s="27"/>
    </row>
    <row r="74" spans="1:3">
      <c r="A74" s="29"/>
      <c r="C74" s="27"/>
    </row>
    <row r="75" spans="1:3">
      <c r="A75" s="29"/>
      <c r="C75" s="27"/>
    </row>
    <row r="76" spans="1:3">
      <c r="A76" s="29"/>
      <c r="C76" s="27"/>
    </row>
    <row r="77" spans="1:3">
      <c r="A77" s="29"/>
      <c r="C77" s="27"/>
    </row>
    <row r="78" spans="1:3">
      <c r="A78" s="29"/>
      <c r="C78" s="27"/>
    </row>
    <row r="79" spans="1:3">
      <c r="A79" s="29"/>
      <c r="C79" s="27"/>
    </row>
    <row r="80" spans="1:3">
      <c r="A80" s="29"/>
      <c r="C80" s="27"/>
    </row>
    <row r="81" spans="1:3">
      <c r="A81" s="29"/>
      <c r="C81" s="27"/>
    </row>
    <row r="82" spans="1:3">
      <c r="A82" s="29"/>
      <c r="C82" s="27"/>
    </row>
    <row r="83" spans="1:3">
      <c r="A83" s="29"/>
      <c r="C83" s="27"/>
    </row>
    <row r="84" spans="1:3">
      <c r="A84" s="29"/>
      <c r="C84" s="27"/>
    </row>
    <row r="85" spans="1:3">
      <c r="A85" s="29"/>
      <c r="C85" s="27"/>
    </row>
    <row r="86" spans="1:3">
      <c r="A86" s="29"/>
      <c r="C86" s="27"/>
    </row>
    <row r="87" spans="1:3">
      <c r="A87" s="29"/>
      <c r="C87" s="27"/>
    </row>
    <row r="88" spans="1:3">
      <c r="A88" s="29"/>
      <c r="C88" s="27"/>
    </row>
    <row r="89" spans="1:3">
      <c r="A89" s="29"/>
      <c r="C89" s="27"/>
    </row>
    <row r="90" spans="1:3">
      <c r="A90" s="29"/>
      <c r="C90" s="27"/>
    </row>
    <row r="91" spans="1:3">
      <c r="A91" s="29"/>
      <c r="C91" s="27"/>
    </row>
    <row r="92" spans="1:3">
      <c r="A92" s="29"/>
      <c r="C92" s="27"/>
    </row>
    <row r="93" spans="1:3">
      <c r="A93" s="29"/>
      <c r="C93" s="27"/>
    </row>
    <row r="94" spans="1:3">
      <c r="A94" s="29"/>
      <c r="C94" s="27"/>
    </row>
    <row r="95" spans="1:3">
      <c r="A95" s="29"/>
      <c r="C95" s="27"/>
    </row>
    <row r="96" spans="1:3">
      <c r="A96" s="29"/>
      <c r="C96" s="27"/>
    </row>
    <row r="97" spans="1:3">
      <c r="A97" s="29"/>
      <c r="C97" s="27"/>
    </row>
    <row r="98" spans="1:3">
      <c r="A98" s="29"/>
      <c r="C98" s="27"/>
    </row>
    <row r="99" spans="1:3">
      <c r="A99" s="29"/>
      <c r="C99" s="27"/>
    </row>
    <row r="100" spans="1:3">
      <c r="A100" s="29"/>
      <c r="C100" s="27"/>
    </row>
    <row r="101" spans="1:3">
      <c r="A101" s="29"/>
      <c r="C101" s="27"/>
    </row>
    <row r="102" spans="1:3">
      <c r="A102" s="29"/>
      <c r="C102" s="27"/>
    </row>
    <row r="103" spans="1:3">
      <c r="A103" s="29"/>
      <c r="C103" s="27"/>
    </row>
    <row r="104" spans="1:3">
      <c r="A104" s="29"/>
      <c r="C104" s="27"/>
    </row>
    <row r="105" spans="1:3">
      <c r="A105" s="29"/>
      <c r="C105" s="27"/>
    </row>
    <row r="106" spans="1:3">
      <c r="A106" s="29"/>
      <c r="C106" s="27"/>
    </row>
    <row r="107" spans="1:3">
      <c r="A107" s="29"/>
      <c r="C107" s="27"/>
    </row>
    <row r="108" spans="1:3">
      <c r="A108" s="29"/>
      <c r="C108" s="27"/>
    </row>
    <row r="109" spans="1:3">
      <c r="A109" s="29"/>
      <c r="C109" s="27"/>
    </row>
    <row r="110" spans="1:3">
      <c r="A110" s="29"/>
      <c r="C110" s="27"/>
    </row>
    <row r="111" spans="1:3">
      <c r="A111" s="29"/>
      <c r="C111" s="27"/>
    </row>
    <row r="112" spans="1:3">
      <c r="A112" s="29"/>
      <c r="C112" s="27"/>
    </row>
    <row r="113" spans="1:3">
      <c r="A113" s="29"/>
      <c r="C113" s="27"/>
    </row>
    <row r="114" spans="1:3">
      <c r="A114" s="29"/>
      <c r="C114" s="27"/>
    </row>
    <row r="115" spans="1:3">
      <c r="A115" s="29"/>
      <c r="C115" s="27"/>
    </row>
    <row r="116" spans="1:3">
      <c r="A116" s="29"/>
      <c r="C116" s="27"/>
    </row>
    <row r="117" spans="1:3">
      <c r="A117" s="29"/>
      <c r="C117" s="27"/>
    </row>
    <row r="118" spans="1:3">
      <c r="A118" s="29"/>
      <c r="C118" s="27"/>
    </row>
    <row r="119" spans="1:3">
      <c r="A119" s="29"/>
      <c r="C119" s="27"/>
    </row>
    <row r="120" spans="1:3">
      <c r="A120" s="29"/>
      <c r="C120" s="27"/>
    </row>
    <row r="121" spans="1:3">
      <c r="A121" s="29"/>
      <c r="C121" s="27"/>
    </row>
    <row r="122" spans="1:3">
      <c r="A122" s="29"/>
      <c r="C122" s="27"/>
    </row>
    <row r="123" spans="1:3">
      <c r="A123" s="29"/>
      <c r="C123" s="27"/>
    </row>
    <row r="124" spans="1:3">
      <c r="A124" s="29"/>
      <c r="C124" s="27"/>
    </row>
    <row r="125" spans="1:3">
      <c r="A125" s="29"/>
      <c r="C125" s="27"/>
    </row>
    <row r="126" spans="1:3">
      <c r="A126" s="29"/>
      <c r="C126" s="27"/>
    </row>
    <row r="127" spans="1:3">
      <c r="A127" s="29"/>
      <c r="C127" s="27"/>
    </row>
    <row r="128" spans="1:3">
      <c r="A128" s="29"/>
      <c r="C128" s="27"/>
    </row>
    <row r="129" spans="1:3">
      <c r="A129" s="29"/>
      <c r="C129" s="27"/>
    </row>
    <row r="130" spans="1:3">
      <c r="A130" s="29"/>
      <c r="C130" s="27"/>
    </row>
    <row r="131" spans="1:3">
      <c r="A131" s="29"/>
      <c r="C131" s="27"/>
    </row>
    <row r="132" spans="1:3">
      <c r="A132" s="29"/>
      <c r="C132" s="27"/>
    </row>
    <row r="133" spans="1:3">
      <c r="A133" s="29"/>
      <c r="C133" s="27"/>
    </row>
    <row r="134" spans="1:3">
      <c r="A134" s="29"/>
      <c r="C134" s="27"/>
    </row>
    <row r="135" spans="1:3">
      <c r="A135" s="29"/>
      <c r="C135" s="27"/>
    </row>
    <row r="136" spans="1:3">
      <c r="A136" s="29"/>
      <c r="C136" s="27"/>
    </row>
    <row r="137" spans="1:3">
      <c r="A137" s="29"/>
      <c r="C137" s="27"/>
    </row>
    <row r="138" spans="1:3">
      <c r="A138" s="29"/>
      <c r="C138" s="27"/>
    </row>
    <row r="139" spans="1:3">
      <c r="A139" s="29"/>
      <c r="C139" s="27"/>
    </row>
    <row r="140" spans="1:3">
      <c r="A140" s="29"/>
      <c r="C140" s="27"/>
    </row>
    <row r="141" spans="1:3">
      <c r="A141" s="29"/>
      <c r="C141" s="27"/>
    </row>
    <row r="142" spans="1:3">
      <c r="A142" s="29"/>
      <c r="C142" s="27"/>
    </row>
    <row r="143" spans="1:3">
      <c r="A143" s="29"/>
      <c r="C143" s="27"/>
    </row>
    <row r="144" spans="1:3">
      <c r="A144" s="29"/>
      <c r="C144" s="27"/>
    </row>
    <row r="145" spans="1:3">
      <c r="A145" s="29"/>
      <c r="C145" s="27"/>
    </row>
    <row r="146" spans="1:3">
      <c r="A146" s="29"/>
      <c r="C146" s="27"/>
    </row>
    <row r="147" spans="1:3">
      <c r="A147" s="29"/>
      <c r="C147" s="27"/>
    </row>
    <row r="148" spans="1:3">
      <c r="A148" s="29"/>
      <c r="C148" s="27"/>
    </row>
    <row r="149" spans="1:3">
      <c r="A149" s="29"/>
      <c r="C149" s="27"/>
    </row>
    <row r="150" spans="1:3">
      <c r="A150" s="29"/>
      <c r="C150" s="27"/>
    </row>
    <row r="151" spans="1:3">
      <c r="A151" s="29"/>
      <c r="C151" s="27"/>
    </row>
    <row r="152" spans="1:3">
      <c r="A152" s="29"/>
      <c r="C152" s="27"/>
    </row>
    <row r="153" spans="1:3">
      <c r="A153" s="29"/>
      <c r="C153" s="27"/>
    </row>
    <row r="154" spans="1:3">
      <c r="A154" s="29"/>
      <c r="C154" s="27"/>
    </row>
    <row r="155" spans="1:3">
      <c r="A155" s="29"/>
      <c r="C155" s="27"/>
    </row>
    <row r="156" spans="1:3">
      <c r="A156" s="29"/>
      <c r="C156" s="27"/>
    </row>
    <row r="157" spans="1:3">
      <c r="A157" s="29"/>
      <c r="C157" s="27"/>
    </row>
    <row r="158" spans="1:3">
      <c r="A158" s="29"/>
      <c r="C158" s="27"/>
    </row>
    <row r="159" spans="1:3">
      <c r="A159" s="29"/>
      <c r="C159" s="27"/>
    </row>
    <row r="160" spans="1:3">
      <c r="A160" s="29"/>
      <c r="C160" s="27"/>
    </row>
    <row r="161" spans="1:3">
      <c r="A161" s="29"/>
      <c r="C161" s="27"/>
    </row>
    <row r="162" spans="1:3">
      <c r="A162" s="29"/>
      <c r="C162" s="27"/>
    </row>
    <row r="163" spans="1:3">
      <c r="A163" s="29"/>
      <c r="C163" s="27"/>
    </row>
    <row r="164" spans="1:3">
      <c r="A164" s="29"/>
      <c r="C164" s="27"/>
    </row>
    <row r="165" spans="1:3">
      <c r="A165" s="29"/>
      <c r="C165" s="27"/>
    </row>
    <row r="166" spans="1:3">
      <c r="A166" s="29"/>
      <c r="C166" s="27"/>
    </row>
    <row r="167" spans="1:3">
      <c r="A167" s="29"/>
      <c r="C167" s="27"/>
    </row>
    <row r="168" spans="1:3">
      <c r="A168" s="29"/>
      <c r="C168" s="27"/>
    </row>
    <row r="169" spans="1:3">
      <c r="A169" s="29"/>
      <c r="C169" s="27"/>
    </row>
    <row r="170" spans="1:3">
      <c r="A170" s="29"/>
      <c r="C170" s="27"/>
    </row>
    <row r="171" spans="1:3">
      <c r="A171" s="29"/>
      <c r="C171" s="27"/>
    </row>
    <row r="172" spans="1:3">
      <c r="A172" s="29"/>
      <c r="C172" s="27"/>
    </row>
    <row r="173" spans="1:3">
      <c r="A173" s="29"/>
      <c r="C173" s="27"/>
    </row>
    <row r="174" spans="1:3">
      <c r="A174" s="29"/>
      <c r="C174" s="27"/>
    </row>
    <row r="175" spans="1:3">
      <c r="A175" s="29"/>
      <c r="C175" s="27"/>
    </row>
    <row r="176" spans="1:3">
      <c r="A176" s="29"/>
      <c r="C176" s="27"/>
    </row>
    <row r="177" spans="1:3">
      <c r="A177" s="29"/>
      <c r="C177" s="27"/>
    </row>
    <row r="178" spans="1:3">
      <c r="A178" s="29"/>
      <c r="C178" s="27"/>
    </row>
    <row r="179" spans="1:3">
      <c r="A179" s="29"/>
      <c r="C179" s="27"/>
    </row>
    <row r="180" spans="1:3">
      <c r="A180" s="29"/>
      <c r="C180" s="27"/>
    </row>
    <row r="181" spans="1:3">
      <c r="A181" s="29"/>
      <c r="C181" s="27"/>
    </row>
    <row r="182" spans="1:3">
      <c r="A182" s="29"/>
      <c r="C182" s="27"/>
    </row>
    <row r="183" spans="1:3">
      <c r="A183" s="29"/>
      <c r="C183" s="27"/>
    </row>
    <row r="184" spans="1:3">
      <c r="A184" s="29"/>
      <c r="C184" s="27"/>
    </row>
    <row r="185" spans="1:3">
      <c r="A185" s="29"/>
      <c r="C185" s="27"/>
    </row>
    <row r="186" spans="1:3">
      <c r="A186" s="29"/>
      <c r="C186" s="27"/>
    </row>
    <row r="187" spans="1:3">
      <c r="A187" s="29"/>
      <c r="C187" s="27"/>
    </row>
    <row r="188" spans="1:3">
      <c r="A188" s="29"/>
      <c r="C188" s="27"/>
    </row>
    <row r="189" spans="1:3">
      <c r="A189" s="29"/>
      <c r="C189" s="27"/>
    </row>
    <row r="190" spans="1:3">
      <c r="A190" s="29"/>
      <c r="C190" s="27"/>
    </row>
    <row r="191" spans="1:3">
      <c r="A191" s="29"/>
      <c r="C191" s="27"/>
    </row>
    <row r="192" spans="1:3">
      <c r="A192" s="29"/>
      <c r="C192" s="27"/>
    </row>
    <row r="193" spans="1:3">
      <c r="A193" s="29"/>
      <c r="C193" s="27"/>
    </row>
    <row r="194" spans="1:3">
      <c r="A194" s="29"/>
      <c r="C194" s="27"/>
    </row>
    <row r="195" spans="1:3">
      <c r="A195" s="29"/>
      <c r="C195" s="27"/>
    </row>
    <row r="196" spans="1:3">
      <c r="A196" s="29"/>
      <c r="C196" s="27"/>
    </row>
    <row r="197" spans="1:3">
      <c r="A197" s="29"/>
      <c r="C197" s="27"/>
    </row>
    <row r="198" spans="1:3">
      <c r="A198" s="29"/>
      <c r="C198" s="27"/>
    </row>
    <row r="199" spans="1:3">
      <c r="A199" s="29"/>
      <c r="C199" s="27"/>
    </row>
    <row r="200" spans="1:3">
      <c r="A200" s="29"/>
      <c r="C200" s="27"/>
    </row>
    <row r="201" spans="1:3">
      <c r="A201" s="29"/>
      <c r="C201" s="27"/>
    </row>
    <row r="202" spans="1:3">
      <c r="A202" s="29"/>
      <c r="C202" s="27"/>
    </row>
    <row r="203" spans="1:3">
      <c r="A203" s="29"/>
      <c r="C203" s="27"/>
    </row>
    <row r="204" spans="1:3">
      <c r="A204" s="29"/>
      <c r="C204" s="27"/>
    </row>
    <row r="205" spans="1:3">
      <c r="A205" s="29"/>
      <c r="C205" s="27"/>
    </row>
    <row r="206" spans="1:3">
      <c r="A206" s="29"/>
      <c r="C206" s="27"/>
    </row>
    <row r="207" spans="1:3">
      <c r="A207" s="29"/>
      <c r="C207" s="27"/>
    </row>
    <row r="208" spans="1:3">
      <c r="A208" s="29"/>
      <c r="C208" s="27"/>
    </row>
    <row r="209" spans="1:3">
      <c r="A209" s="29"/>
      <c r="C209" s="27"/>
    </row>
    <row r="210" spans="1:3">
      <c r="A210" s="29"/>
      <c r="C210" s="27"/>
    </row>
    <row r="211" spans="1:3">
      <c r="A211" s="29"/>
      <c r="C211" s="27"/>
    </row>
    <row r="212" spans="1:3">
      <c r="A212" s="29"/>
      <c r="C212" s="27"/>
    </row>
    <row r="213" spans="1:3">
      <c r="A213" s="29"/>
      <c r="C213" s="27"/>
    </row>
    <row r="214" spans="1:3">
      <c r="A214" s="29"/>
      <c r="C214" s="27"/>
    </row>
    <row r="215" spans="1:3">
      <c r="A215" s="29"/>
      <c r="C215" s="27"/>
    </row>
    <row r="216" spans="1:3">
      <c r="A216" s="29"/>
      <c r="C216" s="27"/>
    </row>
    <row r="217" spans="1:3">
      <c r="A217" s="29"/>
      <c r="C217" s="27"/>
    </row>
    <row r="218" spans="1:3">
      <c r="A218" s="29"/>
      <c r="C218" s="27"/>
    </row>
    <row r="219" spans="1:3">
      <c r="A219" s="29"/>
      <c r="C219" s="27"/>
    </row>
    <row r="220" spans="1:3">
      <c r="A220" s="29"/>
      <c r="C220" s="27"/>
    </row>
    <row r="221" spans="1:3">
      <c r="A221" s="29"/>
      <c r="C221" s="27"/>
    </row>
    <row r="222" spans="1:3">
      <c r="A222" s="29"/>
      <c r="C222" s="27"/>
    </row>
    <row r="223" spans="1:3">
      <c r="A223" s="29"/>
      <c r="C223" s="27"/>
    </row>
    <row r="224" spans="1:3">
      <c r="A224" s="29"/>
      <c r="C224" s="27"/>
    </row>
    <row r="225" spans="1:3">
      <c r="A225" s="29"/>
      <c r="C225" s="27"/>
    </row>
    <row r="226" spans="1:3">
      <c r="A226" s="29"/>
      <c r="C226" s="27"/>
    </row>
    <row r="227" spans="1:3">
      <c r="A227" s="29"/>
      <c r="C227" s="27"/>
    </row>
    <row r="228" spans="1:3">
      <c r="A228" s="29"/>
      <c r="C228" s="27"/>
    </row>
    <row r="229" spans="1:3">
      <c r="A229" s="29"/>
      <c r="C229" s="27"/>
    </row>
    <row r="230" spans="1:3">
      <c r="A230" s="29"/>
      <c r="C230" s="27"/>
    </row>
    <row r="231" spans="1:3">
      <c r="A231" s="29"/>
      <c r="C231" s="27"/>
    </row>
    <row r="232" spans="1:3">
      <c r="A232" s="29"/>
      <c r="C232" s="27"/>
    </row>
    <row r="233" spans="1:3">
      <c r="A233" s="29"/>
      <c r="C233" s="27"/>
    </row>
    <row r="234" spans="1:3">
      <c r="A234" s="29"/>
      <c r="C234" s="27"/>
    </row>
    <row r="235" spans="1:3">
      <c r="A235" s="29"/>
      <c r="C235" s="27"/>
    </row>
    <row r="236" spans="1:3">
      <c r="A236" s="29"/>
      <c r="C236" s="27"/>
    </row>
    <row r="237" spans="1:3">
      <c r="A237" s="29"/>
      <c r="C237" s="27"/>
    </row>
    <row r="238" spans="1:3">
      <c r="A238" s="29"/>
      <c r="C238" s="27"/>
    </row>
    <row r="239" spans="1:3">
      <c r="A239" s="29"/>
      <c r="C239" s="27"/>
    </row>
    <row r="240" spans="1:3">
      <c r="A240" s="29"/>
      <c r="C240" s="27"/>
    </row>
    <row r="241" spans="1:3">
      <c r="A241" s="29"/>
      <c r="C241" s="27"/>
    </row>
    <row r="242" spans="1:3">
      <c r="A242" s="29"/>
      <c r="C242" s="27"/>
    </row>
    <row r="243" spans="1:3">
      <c r="A243" s="29"/>
      <c r="C243" s="27"/>
    </row>
    <row r="244" spans="1:3">
      <c r="A244" s="29"/>
      <c r="C244" s="27"/>
    </row>
    <row r="245" spans="1:3">
      <c r="A245" s="29"/>
      <c r="C245" s="27"/>
    </row>
    <row r="246" spans="1:3">
      <c r="A246" s="29"/>
      <c r="C246" s="27"/>
    </row>
    <row r="247" spans="1:3">
      <c r="A247" s="29"/>
      <c r="C247" s="27"/>
    </row>
    <row r="248" spans="1:3">
      <c r="A248" s="29"/>
      <c r="C248" s="27"/>
    </row>
    <row r="249" spans="1:3">
      <c r="A249" s="29"/>
      <c r="C249" s="27"/>
    </row>
    <row r="250" spans="1:3">
      <c r="A250" s="29"/>
      <c r="C250" s="27"/>
    </row>
    <row r="251" spans="1:3">
      <c r="A251" s="29"/>
      <c r="C251" s="27"/>
    </row>
    <row r="252" spans="1:3">
      <c r="A252" s="29"/>
      <c r="C252" s="27"/>
    </row>
    <row r="253" spans="1:3">
      <c r="A253" s="29"/>
      <c r="C253" s="27"/>
    </row>
    <row r="254" spans="1:3">
      <c r="A254" s="29"/>
      <c r="C254" s="27"/>
    </row>
    <row r="255" spans="1:3">
      <c r="A255" s="29"/>
      <c r="C255" s="27"/>
    </row>
    <row r="256" spans="1:3">
      <c r="A256" s="29"/>
      <c r="C256" s="27"/>
    </row>
    <row r="257" spans="1:3">
      <c r="A257" s="29"/>
      <c r="C257" s="27"/>
    </row>
    <row r="258" spans="1:3">
      <c r="A258" s="29"/>
      <c r="C258" s="27"/>
    </row>
    <row r="259" spans="1:3">
      <c r="A259" s="29"/>
      <c r="C259" s="27"/>
    </row>
    <row r="260" spans="1:3">
      <c r="A260" s="29"/>
      <c r="C260" s="27"/>
    </row>
    <row r="261" spans="1:3">
      <c r="A261" s="29"/>
      <c r="C261" s="27"/>
    </row>
    <row r="262" spans="1:3">
      <c r="A262" s="29"/>
      <c r="C262" s="27"/>
    </row>
    <row r="263" spans="1:3">
      <c r="A263" s="29"/>
      <c r="C263" s="27"/>
    </row>
    <row r="264" spans="1:3">
      <c r="A264" s="29"/>
      <c r="C264" s="27"/>
    </row>
    <row r="265" spans="1:3">
      <c r="A265" s="29"/>
      <c r="C265" s="27"/>
    </row>
    <row r="266" spans="1:3">
      <c r="A266" s="29"/>
      <c r="C266" s="27"/>
    </row>
    <row r="267" spans="1:3">
      <c r="A267" s="29"/>
      <c r="C267" s="27"/>
    </row>
    <row r="268" spans="1:3">
      <c r="A268" s="29"/>
      <c r="C268" s="27"/>
    </row>
    <row r="269" spans="1:3">
      <c r="A269" s="29"/>
      <c r="C269" s="27"/>
    </row>
    <row r="270" spans="1:3">
      <c r="A270" s="29"/>
      <c r="C270" s="27"/>
    </row>
    <row r="271" spans="1:3">
      <c r="A271" s="29"/>
      <c r="C271" s="27"/>
    </row>
    <row r="272" spans="1:3">
      <c r="A272" s="29"/>
      <c r="C272" s="27"/>
    </row>
    <row r="273" spans="1:3">
      <c r="A273" s="29"/>
      <c r="C273" s="27"/>
    </row>
    <row r="274" spans="1:3">
      <c r="A274" s="29"/>
      <c r="C274" s="27"/>
    </row>
    <row r="275" spans="1:3">
      <c r="A275" s="29"/>
      <c r="C275" s="27"/>
    </row>
    <row r="276" spans="1:3">
      <c r="A276" s="29"/>
      <c r="C276" s="27"/>
    </row>
    <row r="277" spans="1:3">
      <c r="A277" s="29"/>
      <c r="C277" s="27"/>
    </row>
    <row r="278" spans="1:3">
      <c r="A278" s="29"/>
      <c r="C278" s="27"/>
    </row>
    <row r="279" spans="1:3">
      <c r="A279" s="29"/>
      <c r="C279" s="27"/>
    </row>
    <row r="280" spans="1:3">
      <c r="A280" s="29"/>
      <c r="C280" s="27"/>
    </row>
    <row r="281" spans="1:3">
      <c r="A281" s="29"/>
      <c r="C281" s="27"/>
    </row>
    <row r="282" spans="1:3">
      <c r="A282" s="29"/>
      <c r="C282" s="27"/>
    </row>
    <row r="283" spans="1:3">
      <c r="A283" s="29"/>
      <c r="C283" s="27"/>
    </row>
    <row r="284" spans="1:3">
      <c r="A284" s="29"/>
      <c r="C284" s="27"/>
    </row>
    <row r="285" spans="1:3">
      <c r="A285" s="29"/>
      <c r="C285" s="27"/>
    </row>
    <row r="286" spans="1:3">
      <c r="A286" s="29"/>
      <c r="C286" s="27"/>
    </row>
    <row r="287" spans="1:3">
      <c r="A287" s="29"/>
      <c r="C287" s="27"/>
    </row>
    <row r="288" spans="1:3">
      <c r="A288" s="29"/>
      <c r="C288" s="27"/>
    </row>
    <row r="289" spans="1:3">
      <c r="A289" s="29"/>
      <c r="C289" s="27"/>
    </row>
    <row r="290" spans="1:3">
      <c r="A290" s="29"/>
      <c r="C290" s="27"/>
    </row>
    <row r="291" spans="1:3">
      <c r="A291" s="29"/>
      <c r="C291" s="27"/>
    </row>
    <row r="292" spans="1:3">
      <c r="A292" s="29"/>
      <c r="C292" s="27"/>
    </row>
    <row r="293" spans="1:3">
      <c r="A293" s="29"/>
      <c r="C293" s="27"/>
    </row>
    <row r="294" spans="1:3">
      <c r="A294" s="29"/>
      <c r="C294" s="27"/>
    </row>
    <row r="295" spans="1:3">
      <c r="A295" s="29"/>
      <c r="C295" s="27"/>
    </row>
    <row r="296" spans="1:3">
      <c r="A296" s="29"/>
      <c r="C296" s="27"/>
    </row>
    <row r="297" spans="1:3">
      <c r="A297" s="29"/>
      <c r="C297" s="27"/>
    </row>
    <row r="298" spans="1:3">
      <c r="A298" s="29"/>
      <c r="C298" s="27"/>
    </row>
    <row r="299" spans="1:3">
      <c r="A299" s="29"/>
      <c r="C299" s="27"/>
    </row>
    <row r="300" spans="1:3">
      <c r="A300" s="29"/>
      <c r="C300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Lists!$A$2:$A$9</xm:f>
          </x14:formula1>
          <xm:sqref>B2:B300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6"/>
  <sheetViews>
    <sheetView workbookViewId="0"/>
  </sheetViews>
  <sheetFormatPr baseColWidth="10" defaultColWidth="8.83203125" defaultRowHeight="14"/>
  <cols>
    <col min="1" max="1" width="27.5" customWidth="1"/>
    <col min="2" max="2" width="23.1640625" customWidth="1"/>
    <col min="3" max="3" width="13.83203125" customWidth="1"/>
    <col min="4" max="4" width="12.83203125" customWidth="1"/>
    <col min="5" max="5" width="25.5" customWidth="1"/>
    <col min="6" max="6" width="13.1640625" customWidth="1"/>
  </cols>
  <sheetData>
    <row r="1" spans="1:6" ht="1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6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>
      <c r="A3" t="s">
        <v>8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</row>
    <row r="4" spans="1:6">
      <c r="A4" t="s">
        <v>10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</row>
    <row r="5" spans="1:6">
      <c r="A5" t="s">
        <v>12</v>
      </c>
      <c r="B5" t="s">
        <v>76</v>
      </c>
      <c r="C5" t="s">
        <v>77</v>
      </c>
      <c r="E5" t="s">
        <v>78</v>
      </c>
      <c r="F5" t="s">
        <v>79</v>
      </c>
    </row>
    <row r="6" spans="1:6">
      <c r="A6" t="s">
        <v>14</v>
      </c>
      <c r="B6" t="s">
        <v>80</v>
      </c>
      <c r="C6" t="s">
        <v>81</v>
      </c>
      <c r="E6" t="s">
        <v>82</v>
      </c>
      <c r="F6" t="s">
        <v>83</v>
      </c>
    </row>
    <row r="7" spans="1:6">
      <c r="A7" t="s">
        <v>16</v>
      </c>
      <c r="B7" t="s">
        <v>84</v>
      </c>
      <c r="C7" t="s">
        <v>85</v>
      </c>
      <c r="E7" t="s">
        <v>86</v>
      </c>
      <c r="F7" t="s">
        <v>87</v>
      </c>
    </row>
    <row r="8" spans="1:6">
      <c r="A8" t="s">
        <v>18</v>
      </c>
      <c r="B8" t="s">
        <v>88</v>
      </c>
      <c r="E8" t="s">
        <v>89</v>
      </c>
    </row>
    <row r="9" spans="1:6">
      <c r="A9" t="s">
        <v>20</v>
      </c>
      <c r="B9" t="s">
        <v>90</v>
      </c>
      <c r="E9" t="s">
        <v>91</v>
      </c>
    </row>
    <row r="10" spans="1:6">
      <c r="B10" t="s">
        <v>92</v>
      </c>
      <c r="E10" t="s">
        <v>93</v>
      </c>
    </row>
    <row r="11" spans="1:6">
      <c r="B11" t="s">
        <v>94</v>
      </c>
      <c r="E11" t="s">
        <v>95</v>
      </c>
    </row>
    <row r="12" spans="1:6">
      <c r="B12" t="s">
        <v>96</v>
      </c>
      <c r="E12" t="s">
        <v>97</v>
      </c>
    </row>
    <row r="13" spans="1:6">
      <c r="B13" t="s">
        <v>98</v>
      </c>
    </row>
    <row r="14" spans="1:6">
      <c r="B14" t="s">
        <v>99</v>
      </c>
    </row>
    <row r="15" spans="1:6">
      <c r="B15" t="s">
        <v>100</v>
      </c>
    </row>
    <row r="16" spans="1:6">
      <c r="B16" t="s">
        <v>101</v>
      </c>
    </row>
    <row r="17" spans="2:2">
      <c r="B17" t="s">
        <v>102</v>
      </c>
    </row>
    <row r="18" spans="2:2">
      <c r="B18" t="s">
        <v>103</v>
      </c>
    </row>
    <row r="19" spans="2:2">
      <c r="B19" t="s">
        <v>104</v>
      </c>
    </row>
    <row r="20" spans="2:2">
      <c r="B20" t="s">
        <v>105</v>
      </c>
    </row>
    <row r="21" spans="2:2">
      <c r="B21" t="s">
        <v>106</v>
      </c>
    </row>
    <row r="22" spans="2:2">
      <c r="B22" t="s">
        <v>107</v>
      </c>
    </row>
    <row r="23" spans="2:2">
      <c r="B23" t="s">
        <v>108</v>
      </c>
    </row>
    <row r="24" spans="2:2">
      <c r="B24" t="s">
        <v>109</v>
      </c>
    </row>
    <row r="25" spans="2:2">
      <c r="B25" t="s">
        <v>110</v>
      </c>
    </row>
    <row r="26" spans="2:2">
      <c r="B26" t="s">
        <v>111</v>
      </c>
    </row>
    <row r="27" spans="2:2">
      <c r="B27" t="s">
        <v>112</v>
      </c>
    </row>
    <row r="28" spans="2:2">
      <c r="B28" t="s">
        <v>113</v>
      </c>
    </row>
    <row r="29" spans="2:2">
      <c r="B29" t="s">
        <v>114</v>
      </c>
    </row>
    <row r="30" spans="2:2">
      <c r="B30" t="s">
        <v>115</v>
      </c>
    </row>
    <row r="31" spans="2:2">
      <c r="B31" t="s">
        <v>116</v>
      </c>
    </row>
    <row r="32" spans="2:2">
      <c r="B32" t="s">
        <v>117</v>
      </c>
    </row>
    <row r="33" spans="2:2">
      <c r="B33" t="s">
        <v>118</v>
      </c>
    </row>
    <row r="34" spans="2:2">
      <c r="B34" t="s">
        <v>119</v>
      </c>
    </row>
    <row r="35" spans="2:2">
      <c r="B35" t="s">
        <v>120</v>
      </c>
    </row>
    <row r="36" spans="2:2">
      <c r="B36" t="s">
        <v>121</v>
      </c>
    </row>
    <row r="37" spans="2:2">
      <c r="B37" t="s">
        <v>122</v>
      </c>
    </row>
    <row r="38" spans="2:2">
      <c r="B38" t="s">
        <v>123</v>
      </c>
    </row>
    <row r="39" spans="2:2">
      <c r="B39" t="s">
        <v>124</v>
      </c>
    </row>
    <row r="40" spans="2:2">
      <c r="B40" t="s">
        <v>125</v>
      </c>
    </row>
    <row r="41" spans="2:2">
      <c r="B41" t="s">
        <v>126</v>
      </c>
    </row>
    <row r="42" spans="2:2">
      <c r="B42" t="s">
        <v>127</v>
      </c>
    </row>
    <row r="43" spans="2:2">
      <c r="B43" t="s">
        <v>128</v>
      </c>
    </row>
    <row r="44" spans="2:2">
      <c r="B44" t="s">
        <v>129</v>
      </c>
    </row>
    <row r="45" spans="2:2">
      <c r="B45" t="s">
        <v>130</v>
      </c>
    </row>
    <row r="46" spans="2:2">
      <c r="B4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Expenses</vt:lpstr>
      <vt:lpstr>Budget_Planner</vt:lpstr>
      <vt:lpstr>Daily_Sales</vt:lpstr>
      <vt:lpstr>Apartments</vt:lpstr>
      <vt:lpstr>Petty_Cash</vt:lpstr>
      <vt:lpstr>Petty_Cash_Budget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Boakye</cp:lastModifiedBy>
  <dcterms:created xsi:type="dcterms:W3CDTF">2026-06-25T07:45:07Z</dcterms:created>
  <dcterms:modified xsi:type="dcterms:W3CDTF">2026-06-28T22:48:40Z</dcterms:modified>
</cp:coreProperties>
</file>